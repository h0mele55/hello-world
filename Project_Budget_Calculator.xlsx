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Projects" sheetId="2" state="visible" r:id="rId4"/>
    <sheet name="Phasing" sheetId="3" state="visible" r:id="rId5"/>
    <sheet name="WIP Log" sheetId="4" state="visible" r:id="rId6"/>
    <sheet name="Project Page" sheetId="5" state="visible" r:id="rId7"/>
    <sheet name="Timeline" sheetId="6" state="visible" r:id="rId8"/>
    <sheet name="Aggregator" sheetId="7" state="visible" r:id="rId9"/>
    <sheet name="Phased Budget" sheetId="8" state="visible" r:id="rId10"/>
  </sheets>
  <definedNames>
    <definedName function="false" hidden="true" localSheetId="1" name="_xlnm._FilterDatabase" vbProcedure="false">Projects!$A$5:$N$55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Example row from the slide: contract 10k, weights 1:2:2:2:2, 1k of WIP in month I. Overwrite or delete it.</t>
        </r>
      </text>
    </comment>
    <comment ref="C2" authorId="0">
      <text>
        <r>
          <rPr>
            <sz val="10"/>
            <rFont val="Arial"/>
            <family val="2"/>
          </rPr>
          <t xml:space="preserve">Default: October 2026 (the build date). Move it forward each month.</t>
        </r>
      </text>
    </comment>
    <comment ref="C3" authorId="0">
      <text>
        <r>
          <rPr>
            <sz val="10"/>
            <rFont val="Arial"/>
            <family val="2"/>
          </rPr>
          <t xml:space="preserve">Default: Jan 2026. The timeline is 36 months long.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TRM: monthly target, entered by hand (per user). Leave it blank where you have no target.</t>
        </r>
      </text>
    </comment>
  </commentList>
</comments>
</file>

<file path=xl/sharedStrings.xml><?xml version="1.0" encoding="utf-8"?>
<sst xmlns="http://schemas.openxmlformats.org/spreadsheetml/2006/main" count="209" uniqueCount="151">
  <si>
    <t xml:space="preserve">Project Budget Calculator</t>
  </si>
  <si>
    <t xml:space="preserve">PURPOSE</t>
  </si>
  <si>
    <t xml:space="preserve">Calculates the Budgeted balance of each project and phases it over the remaining months of the project.</t>
  </si>
  <si>
    <t xml:space="preserve">FORMULAS</t>
  </si>
  <si>
    <t xml:space="preserve">Budgeted</t>
  </si>
  <si>
    <t xml:space="preserve">Budgeted = Contracted Budget − WIP to date (the sum of WIP logged in months up to and including the Current Month).</t>
  </si>
  <si>
    <t xml:space="preserve">Phased Budgeted</t>
  </si>
  <si>
    <t xml:space="preserve">Budgeted is spread only over the project months AFTER the Current Month, using that project's phasing weights for those months, renormalised to 1.0.</t>
  </si>
  <si>
    <t xml:space="preserve">Phased Budgeted (month k) = Budgeted × weight(k) ÷ Σ weights of remaining months.</t>
  </si>
  <si>
    <t xml:space="preserve">Weights</t>
  </si>
  <si>
    <t xml:space="preserve">Enter raw weights (e.g. 1,2,2,2,2). They don't need to sum to 1. If a project has no weights at all, every month gets an equal weight.</t>
  </si>
  <si>
    <t xml:space="preserve">Example (from the slide)</t>
  </si>
  <si>
    <t xml:space="preserve">Contract 10,000. 5 months, weights 1:2:2:2:2. 1,000 of WIP logged in month I (the current month).</t>
  </si>
  <si>
    <t xml:space="preserve">→ Budgeted = 9,000, phased over months II–V (weights 2:2:2:2 → 25% each) = 2,250 per month.</t>
  </si>
  <si>
    <t xml:space="preserve">SHEETS</t>
  </si>
  <si>
    <t xml:space="preserve">Projects</t>
  </si>
  <si>
    <t xml:space="preserve">Project ∑ table (page 1). Holds the global Current Month field. Add a project by filling in the next empty row. Use the header filter buttons to filter.</t>
  </si>
  <si>
    <t xml:space="preserve">Phasing</t>
  </si>
  <si>
    <t xml:space="preserve">Raw phasing weights per project, month 1–24 of the project. Also shows the weights normalised to 1.0 over the full duration.</t>
  </si>
  <si>
    <t xml:space="preserve">WIP Log</t>
  </si>
  <si>
    <t xml:space="preserve">Monthly WIP actuals per project on the calendar timeline. Only months ≤ Current Month count towards WIP to date.</t>
  </si>
  <si>
    <t xml:space="preserve">Project Page</t>
  </si>
  <si>
    <t xml:space="preserve">Page 2: pick a project from the dropdown to see its details, month-by-month phasing and chart (the "visualize" view).</t>
  </si>
  <si>
    <t xml:space="preserve">Timeline</t>
  </si>
  <si>
    <t xml:space="preserve">Page 3: Gantt-style view of every project. Each cell shows the WIP actual (≤ Current Month) or the Phased Budgeted (after it).</t>
  </si>
  <si>
    <t xml:space="preserve">Aggregator</t>
  </si>
  <si>
    <t xml:space="preserve">Page 4: Σ WIP + Σ Phased Budgeted per month against the manual TRM input, with a chart and calendar-year totals.</t>
  </si>
  <si>
    <t xml:space="preserve">Phased Budget</t>
  </si>
  <si>
    <t xml:space="preserve">Calculation grid (no inputs): Phased Budgeted per project per calendar month.</t>
  </si>
  <si>
    <t xml:space="preserve">HOW TO USE</t>
  </si>
  <si>
    <t xml:space="preserve">Yellow cells</t>
  </si>
  <si>
    <t xml:space="preserve">Key inputs: Current Month, Timeline Start, the TRM row and the project selector.</t>
  </si>
  <si>
    <t xml:space="preserve">Blue text</t>
  </si>
  <si>
    <t xml:space="preserve">Hard-coded inputs: project fields, weights, WIP amounts. Black text = formulas. Green text = links to another sheet.</t>
  </si>
  <si>
    <t xml:space="preserve">Light yellow grids</t>
  </si>
  <si>
    <t xml:space="preserve">Input grids on Phasing and WIP Log. Grey cells there are outside the project's duration or window.</t>
  </si>
  <si>
    <t xml:space="preserve">Monthly routine</t>
  </si>
  <si>
    <t xml:space="preserve">1) Log the month's WIP on WIP Log.  2) Move Current Month forward one month on Projects.  Everything recalculates.</t>
  </si>
  <si>
    <t xml:space="preserve">Status column</t>
  </si>
  <si>
    <t xml:space="preserve">Projects!N flags problems: WIP above contract, no remaining months left to phase the budget into, missing fields, etc.</t>
  </si>
  <si>
    <t xml:space="preserve">LIMITS &amp; ASSUMPTIONS</t>
  </si>
  <si>
    <t xml:space="preserve">Capacity</t>
  </si>
  <si>
    <t xml:space="preserve">50 projects, durations up to 24 months, calendar timeline of 36 months from Timeline Start (default Jan 2026 – Dec 2028).</t>
  </si>
  <si>
    <t xml:space="preserve">Timeline Start</t>
  </si>
  <si>
    <t xml:space="preserve">Change it only before logging WIP: the WIP Log columns are tied to calendar months, so moving the start shifts those columns.</t>
  </si>
  <si>
    <t xml:space="preserve">Months</t>
  </si>
  <si>
    <t xml:space="preserve">Starting Month and Current Month are compared by year and month only (the day is ignored).</t>
  </si>
  <si>
    <t xml:space="preserve">Units</t>
  </si>
  <si>
    <t xml:space="preserve">All amounts are in one currency unit (enter 10000 for 10k). No currency symbol is applied.</t>
  </si>
  <si>
    <t xml:space="preserve">TRM</t>
  </si>
  <si>
    <t xml:space="preserve">Monthly comparison target, entered manually on the Aggregator sheet (per user).</t>
  </si>
  <si>
    <t xml:space="preserve">Annual totals</t>
  </si>
  <si>
    <t xml:space="preserve">Calendar years (Jan–Dec), WIP actuals + Phased Budgeted.</t>
  </si>
  <si>
    <t xml:space="preserve">Source</t>
  </si>
  <si>
    <t xml:space="preserve">Logic from "Revenue_Forecast_Calculator.pptx", with the user's clarifications from 2026-10-06.</t>
  </si>
  <si>
    <t xml:space="preserve">Project ∑ Table</t>
  </si>
  <si>
    <t xml:space="preserve">Current Month</t>
  </si>
  <si>
    <t xml:space="preserve">Months up to and including this month are actuals (WIP). Later months are forecast (Phased Budgeted).</t>
  </si>
  <si>
    <t xml:space="preserve">First month of the 36-month calendar timeline. Change it only before logging WIP.</t>
  </si>
  <si>
    <t xml:space="preserve">#</t>
  </si>
  <si>
    <t xml:space="preserve">Project Name</t>
  </si>
  <si>
    <t xml:space="preserve">Engagement Manager</t>
  </si>
  <si>
    <t xml:space="preserve">Starting Month</t>
  </si>
  <si>
    <t xml:space="preserve">Duration (months)</t>
  </si>
  <si>
    <t xml:space="preserve">End Month</t>
  </si>
  <si>
    <t xml:space="preserve">Contracted Budget</t>
  </si>
  <si>
    <t xml:space="preserve">WIP to Date</t>
  </si>
  <si>
    <t xml:space="preserve">Budgeted (Contract − WIP)</t>
  </si>
  <si>
    <t xml:space="preserve">Remaining Months</t>
  </si>
  <si>
    <t xml:space="preserve">Phased Budgeted – Next Month</t>
  </si>
  <si>
    <t xml:space="preserve">Phased Budgeted – Rest of Current Year</t>
  </si>
  <si>
    <t xml:space="preserve">Current-Year Forecast (WIP + Phased)</t>
  </si>
  <si>
    <t xml:space="preserve">Status</t>
  </si>
  <si>
    <t xml:space="preserve">Example Project (slide)</t>
  </si>
  <si>
    <t xml:space="preserve">J. Doe</t>
  </si>
  <si>
    <t xml:space="preserve">TOTAL</t>
  </si>
  <si>
    <t xml:space="preserve">Phasing Weights</t>
  </si>
  <si>
    <t xml:space="preserve">month index</t>
  </si>
  <si>
    <t xml:space="preserve">Enter raw weights in the yellow cells (month 1 = Starting Month). They are renormalised to 1.0 automatically. Leave a row blank for equal weights.</t>
  </si>
  <si>
    <t xml:space="preserve">RAW WEIGHTS (input) →</t>
  </si>
  <si>
    <t xml:space="preserve">NORMALISED WEIGHTS, FULL DURATION (Σ = 1.0) →</t>
  </si>
  <si>
    <t xml:space="preserve">Duration</t>
  </si>
  <si>
    <t xml:space="preserve">Weights entered</t>
  </si>
  <si>
    <t xml:space="preserve">Σ weights (full duration)</t>
  </si>
  <si>
    <t xml:space="preserve">First remaining month #</t>
  </si>
  <si>
    <t xml:space="preserve">Σ weights (remaining months)</t>
  </si>
  <si>
    <t xml:space="preserve">Non-zero weights beyond duration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</si>
  <si>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</si>
  <si>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</si>
  <si>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</si>
  <si>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</si>
  <si>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</si>
  <si>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</si>
  <si>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</si>
  <si>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</si>
  <si>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</si>
  <si>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</si>
  <si>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</si>
  <si>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</si>
  <si>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</si>
  <si>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</si>
  <si>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</si>
  <si>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</si>
  <si>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</si>
  <si>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</si>
  <si>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</si>
  <si>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</si>
  <si>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</si>
  <si>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</si>
  <si>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</si>
  <si>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</si>
  <si>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Check Σ</t>
  </si>
  <si>
    <t xml:space="preserve">WIP Log (monthly actuals)</t>
  </si>
  <si>
    <t xml:space="preserve">Enter the WIP actual for each project and month. Only months up to and including the Current Month count; later months are ignored.</t>
  </si>
  <si>
    <t xml:space="preserve">WIP to Date (≤ Current Month)</t>
  </si>
  <si>
    <t xml:space="preserve">row</t>
  </si>
  <si>
    <t xml:space="preserve">Select project ▸</t>
  </si>
  <si>
    <t xml:space="preserve">Project Month</t>
  </si>
  <si>
    <t xml:space="preserve">Calendar Month</t>
  </si>
  <si>
    <t xml:space="preserve">Raw Weight</t>
  </si>
  <si>
    <t xml:space="preserve">Plan Weight (Σ=1)</t>
  </si>
  <si>
    <t xml:space="preserve">Original Plan (Contract × weight)</t>
  </si>
  <si>
    <t xml:space="preserve">WIP Actual</t>
  </si>
  <si>
    <t xml:space="preserve">Total (WIP + Phased)</t>
  </si>
  <si>
    <t xml:space="preserve">Actual / Forecast</t>
  </si>
  <si>
    <t xml:space="preserve">Check: Total = Contract</t>
  </si>
  <si>
    <t xml:space="preserve">Project Timeline</t>
  </si>
  <si>
    <t xml:space="preserve">Dark orange = WIP actual (≤ Current Month). Light orange = Phased Budgeted. The bordered column is the Current Month.</t>
  </si>
  <si>
    <t xml:space="preserve">Start</t>
  </si>
  <si>
    <t xml:space="preserve">End</t>
  </si>
  <si>
    <t xml:space="preserve">Σ WIP actuals (≤ Current Month) + Σ Phased Budgeted (after it) per month, against TRM. Enter TRM in the yellow column.</t>
  </si>
  <si>
    <t xml:space="preserve">Month</t>
  </si>
  <si>
    <t xml:space="preserve">Year</t>
  </si>
  <si>
    <t xml:space="preserve">Σ WIP (actual)</t>
  </si>
  <si>
    <t xml:space="preserve">Σ Phased Budgeted</t>
  </si>
  <si>
    <t xml:space="preserve">TRM (input)</t>
  </si>
  <si>
    <t xml:space="preserve">Variance (Total − TRM)</t>
  </si>
  <si>
    <t xml:space="preserve">Annual (calendar year)</t>
  </si>
  <si>
    <t xml:space="preserve">Σ Phased Budget</t>
  </si>
  <si>
    <t xml:space="preserve">WIP + Phased Budget</t>
  </si>
  <si>
    <t xml:space="preserve">Variance</t>
  </si>
  <si>
    <t xml:space="preserve">Total</t>
  </si>
  <si>
    <t xml:space="preserve">Reconciliation</t>
  </si>
  <si>
    <t xml:space="preserve">Σ Contracted Budget</t>
  </si>
  <si>
    <t xml:space="preserve">Σ WIP to date (all projects)</t>
  </si>
  <si>
    <t xml:space="preserve">Σ Phased Budgeted (on timeline)</t>
  </si>
  <si>
    <t xml:space="preserve">Difference (unphased / off-timeline)</t>
  </si>
  <si>
    <t xml:space="preserve">Phased Budgeted – calculation grid (no inputs)</t>
  </si>
  <si>
    <t xml:space="preserve">Budgeted × weight(k) ÷ Σ remaining weights, for project months after the Current Month only.</t>
  </si>
  <si>
    <t xml:space="preserve">Σ remaining weights</t>
  </si>
  <si>
    <t xml:space="preserve">Equal weights?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</si>
</sst>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yyyy"/>
    <numFmt numFmtId="166" formatCode="#,##0;\(#,##0\);\-"/>
    <numFmt numFmtId="167" formatCode="General"/>
    <numFmt numFmtId="168" formatCode="0.##"/>
    <numFmt numFmtId="169" formatCode="0.0%;\(0.0%\);\-"/>
    <numFmt numFmtId="170" formatCode="mmm\ yy"/>
    <numFmt numFmtId="171" formatCode="0"/>
    <numFmt numFmtId="172" formatCode="#,##0;\(#,##0\);0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name val="Arial"/>
      <family val="0"/>
      <charset val="1"/>
    </font>
    <font>
      <b val="true"/>
      <sz val="10"/>
      <color rgb="FFC0392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DE9E7"/>
      </patternFill>
    </fill>
    <fill>
      <patternFill patternType="solid">
        <fgColor rgb="FFC0392B"/>
        <bgColor rgb="FFC0504D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C039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ont>
        <b val="1"/>
        <color rgb="FFC00000"/>
      </font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ont>
        <strike val="1"/>
        <color rgb="FFC00000"/>
      </font>
      <fill>
        <patternFill>
          <bgColor rgb="FFFDE9E7"/>
        </patternFill>
      </fill>
    </dxf>
    <dxf>
      <fill>
        <patternFill>
          <bgColor rgb="FFEDEDED"/>
        </patternFill>
      </fill>
    </dxf>
    <dxf>
      <font>
        <color rgb="FFFFFFFF"/>
      </font>
      <fill>
        <patternFill>
          <bgColor rgb="FFE67E22"/>
        </patternFill>
      </fill>
    </dxf>
    <dxf>
      <fill>
        <patternFill>
          <bgColor rgb="FFFAD7A0"/>
        </patternFill>
      </fill>
    </dxf>
    <dxf>
      <border diagonalUp="false" diagonalDown="false">
        <left style="medium">
          <color rgb="FFC0392B"/>
        </left>
        <right style="medium">
          <color rgb="FFC0392B"/>
        </right>
        <top/>
        <bottom/>
        <diagonal/>
      </border>
    </dxf>
    <dxf>
      <font>
        <b val="1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FDE9E7"/>
      <rgbColor rgb="FFFCE4D6"/>
      <rgbColor rgb="FF99CCFF"/>
      <rgbColor rgb="FFFF99CC"/>
      <rgbColor rgb="FFCC99FF"/>
      <rgbColor rgb="FFFAD7A0"/>
      <rgbColor rgb="FF2E86C1"/>
      <rgbColor rgb="FF33CCCC"/>
      <rgbColor rgb="FF98B855"/>
      <rgbColor rgb="FFFFCC00"/>
      <rgbColor rgb="FFF39C12"/>
      <rgbColor rgb="FFE67E22"/>
      <rgbColor rgb="FF595959"/>
      <rgbColor rgb="FF878787"/>
      <rgbColor rgb="FF003366"/>
      <rgbColor rgb="FF4F81BD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phasing – selected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'Project Page'!F16</c:f>
              <c:strCache>
                <c:ptCount val="1"/>
                <c:pt idx="0">
                  <c:v>WIP 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Page'!$B$17:$B$40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'Project Page'!$F$17:$F$40</c:f>
              <c:numCache>
                <c:formatCode>#,##0;\(#,##0\);\-</c:formatCode>
                <c:ptCount val="24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'Project Page'!G16</c:f>
              <c:strCache>
                <c:ptCount val="1"/>
                <c:pt idx="0">
                  <c:v>Phased Budgeted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Page'!$B$17:$B$40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'Project Page'!$G$17:$G$40</c:f>
              <c:numCache>
                <c:formatCode>#,##0;\(#,##0\);\-</c:formatCode>
                <c:ptCount val="24"/>
                <c:pt idx="0">
                  <c:v>0</c:v>
                </c:pt>
                <c:pt idx="1">
                  <c:v>2250</c:v>
                </c:pt>
                <c:pt idx="2">
                  <c:v>2250</c:v>
                </c:pt>
                <c:pt idx="3">
                  <c:v>2250</c:v>
                </c:pt>
                <c:pt idx="4">
                  <c:v>2250</c:v>
                </c:pt>
              </c:numCache>
            </c:numRef>
          </c:val>
        </c:ser>
        <c:gapWidth val="50"/>
        <c:overlap val="100"/>
        <c:axId val="52233159"/>
        <c:axId val="43534993"/>
      </c:barChart>
      <c:lineChart>
        <c:grouping val="stacked"/>
        <c:varyColors val="0"/>
        <c:ser>
          <c:idx val="2"/>
          <c:order val="2"/>
          <c:tx>
            <c:strRef>
              <c:f>'Project Page'!E16</c:f>
              <c:strCache>
                <c:ptCount val="1"/>
                <c:pt idx="0">
                  <c:v>Original Plan (Contract × weight)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Page'!$B$17:$B$40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'Project Page'!$E$17:$E$40</c:f>
              <c:numCache>
                <c:formatCode>#,##0;\(#,##0\);\-</c:formatCode>
                <c:ptCount val="24"/>
                <c:pt idx="0">
                  <c:v>1111.11111111111</c:v>
                </c:pt>
                <c:pt idx="1">
                  <c:v>2222.22222222222</c:v>
                </c:pt>
                <c:pt idx="2">
                  <c:v>2222.22222222222</c:v>
                </c:pt>
                <c:pt idx="3">
                  <c:v>2222.22222222222</c:v>
                </c:pt>
                <c:pt idx="4">
                  <c:v>2222.22222222222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233159"/>
        <c:axId val="43534993"/>
      </c:lineChart>
      <c:catAx>
        <c:axId val="52233159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34993"/>
        <c:crosses val="autoZero"/>
        <c:auto val="1"/>
        <c:lblAlgn val="ctr"/>
        <c:lblOffset val="100"/>
        <c:noMultiLvlLbl val="0"/>
      </c:catAx>
      <c:valAx>
        <c:axId val="43534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33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Σ WIP + Σ Phased Budgeted vs TRM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Aggregator!C5</c:f>
              <c:strCache>
                <c:ptCount val="1"/>
                <c:pt idx="0">
                  <c:v>Σ WIP (actual)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Aggregator!$A$6:$A$41</c:f>
              <c:strCache>
                <c:ptCount val="36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  <c:pt idx="10">
                  <c:v>Nov 26</c:v>
                </c:pt>
                <c:pt idx="11">
                  <c:v>Dec 26</c:v>
                </c:pt>
                <c:pt idx="12">
                  <c:v>Jan 27</c:v>
                </c:pt>
                <c:pt idx="13">
                  <c:v>Feb 27</c:v>
                </c:pt>
                <c:pt idx="14">
                  <c:v>Mar 27</c:v>
                </c:pt>
                <c:pt idx="15">
                  <c:v>Apr 27</c:v>
                </c:pt>
                <c:pt idx="16">
                  <c:v>May 27</c:v>
                </c:pt>
                <c:pt idx="17">
                  <c:v>Jun 27</c:v>
                </c:pt>
                <c:pt idx="18">
                  <c:v>Jul 27</c:v>
                </c:pt>
                <c:pt idx="19">
                  <c:v>Aug 27</c:v>
                </c:pt>
                <c:pt idx="20">
                  <c:v>Sep 27</c:v>
                </c:pt>
                <c:pt idx="21">
                  <c:v>Oct 27</c:v>
                </c:pt>
                <c:pt idx="22">
                  <c:v>Nov 27</c:v>
                </c:pt>
                <c:pt idx="23">
                  <c:v>Dec 27</c:v>
                </c:pt>
                <c:pt idx="24">
                  <c:v>Jan 28</c:v>
                </c:pt>
                <c:pt idx="25">
                  <c:v>Feb 28</c:v>
                </c:pt>
                <c:pt idx="26">
                  <c:v>Mar 28</c:v>
                </c:pt>
                <c:pt idx="27">
                  <c:v>Apr 28</c:v>
                </c:pt>
                <c:pt idx="28">
                  <c:v>May 28</c:v>
                </c:pt>
                <c:pt idx="29">
                  <c:v>Jun 28</c:v>
                </c:pt>
                <c:pt idx="30">
                  <c:v>Jul 28</c:v>
                </c:pt>
                <c:pt idx="31">
                  <c:v>Aug 28</c:v>
                </c:pt>
                <c:pt idx="32">
                  <c:v>Sep 28</c:v>
                </c:pt>
                <c:pt idx="33">
                  <c:v>Oct 28</c:v>
                </c:pt>
                <c:pt idx="34">
                  <c:v>Nov 28</c:v>
                </c:pt>
                <c:pt idx="35">
                  <c:v>Dec 28</c:v>
                </c:pt>
              </c:strCache>
            </c:strRef>
          </c:cat>
          <c:val>
            <c:numRef>
              <c:f>Aggregator!$C$6:$C$41</c:f>
              <c:numCache>
                <c:formatCode>#,##0;\(#,##0\);\-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1"/>
          <c:order val="1"/>
          <c:tx>
            <c:strRef>
              <c:f>Aggregator!D5</c:f>
              <c:strCache>
                <c:ptCount val="1"/>
                <c:pt idx="0">
                  <c:v>Σ Phased Budgeted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Aggregator!$A$6:$A$41</c:f>
              <c:strCache>
                <c:ptCount val="36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  <c:pt idx="10">
                  <c:v>Nov 26</c:v>
                </c:pt>
                <c:pt idx="11">
                  <c:v>Dec 26</c:v>
                </c:pt>
                <c:pt idx="12">
                  <c:v>Jan 27</c:v>
                </c:pt>
                <c:pt idx="13">
                  <c:v>Feb 27</c:v>
                </c:pt>
                <c:pt idx="14">
                  <c:v>Mar 27</c:v>
                </c:pt>
                <c:pt idx="15">
                  <c:v>Apr 27</c:v>
                </c:pt>
                <c:pt idx="16">
                  <c:v>May 27</c:v>
                </c:pt>
                <c:pt idx="17">
                  <c:v>Jun 27</c:v>
                </c:pt>
                <c:pt idx="18">
                  <c:v>Jul 27</c:v>
                </c:pt>
                <c:pt idx="19">
                  <c:v>Aug 27</c:v>
                </c:pt>
                <c:pt idx="20">
                  <c:v>Sep 27</c:v>
                </c:pt>
                <c:pt idx="21">
                  <c:v>Oct 27</c:v>
                </c:pt>
                <c:pt idx="22">
                  <c:v>Nov 27</c:v>
                </c:pt>
                <c:pt idx="23">
                  <c:v>Dec 27</c:v>
                </c:pt>
                <c:pt idx="24">
                  <c:v>Jan 28</c:v>
                </c:pt>
                <c:pt idx="25">
                  <c:v>Feb 28</c:v>
                </c:pt>
                <c:pt idx="26">
                  <c:v>Mar 28</c:v>
                </c:pt>
                <c:pt idx="27">
                  <c:v>Apr 28</c:v>
                </c:pt>
                <c:pt idx="28">
                  <c:v>May 28</c:v>
                </c:pt>
                <c:pt idx="29">
                  <c:v>Jun 28</c:v>
                </c:pt>
                <c:pt idx="30">
                  <c:v>Jul 28</c:v>
                </c:pt>
                <c:pt idx="31">
                  <c:v>Aug 28</c:v>
                </c:pt>
                <c:pt idx="32">
                  <c:v>Sep 28</c:v>
                </c:pt>
                <c:pt idx="33">
                  <c:v>Oct 28</c:v>
                </c:pt>
                <c:pt idx="34">
                  <c:v>Nov 28</c:v>
                </c:pt>
                <c:pt idx="35">
                  <c:v>Dec 28</c:v>
                </c:pt>
              </c:strCache>
            </c:strRef>
          </c:cat>
          <c:val>
            <c:numRef>
              <c:f>Aggregator!$D$6:$D$41</c:f>
              <c:numCache>
                <c:formatCode>#,##0;\(#,##0\);\-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2250</c:v>
                </c:pt>
                <c:pt idx="11">
                  <c:v>2250</c:v>
                </c:pt>
                <c:pt idx="12">
                  <c:v>2250</c:v>
                </c:pt>
                <c:pt idx="13">
                  <c:v>2250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gapWidth val="50"/>
        <c:overlap val="100"/>
        <c:axId val="39142671"/>
        <c:axId val="22526521"/>
      </c:barChart>
      <c:lineChart>
        <c:grouping val="stacked"/>
        <c:varyColors val="0"/>
        <c:ser>
          <c:idx val="2"/>
          <c:order val="2"/>
          <c:tx>
            <c:strRef>
              <c:f>Aggregator!F5</c:f>
              <c:strCache>
                <c:ptCount val="1"/>
                <c:pt idx="0">
                  <c:v>TRM (input)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Aggregator!$A$6:$A$41</c:f>
              <c:strCache>
                <c:ptCount val="36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  <c:pt idx="10">
                  <c:v>Nov 26</c:v>
                </c:pt>
                <c:pt idx="11">
                  <c:v>Dec 26</c:v>
                </c:pt>
                <c:pt idx="12">
                  <c:v>Jan 27</c:v>
                </c:pt>
                <c:pt idx="13">
                  <c:v>Feb 27</c:v>
                </c:pt>
                <c:pt idx="14">
                  <c:v>Mar 27</c:v>
                </c:pt>
                <c:pt idx="15">
                  <c:v>Apr 27</c:v>
                </c:pt>
                <c:pt idx="16">
                  <c:v>May 27</c:v>
                </c:pt>
                <c:pt idx="17">
                  <c:v>Jun 27</c:v>
                </c:pt>
                <c:pt idx="18">
                  <c:v>Jul 27</c:v>
                </c:pt>
                <c:pt idx="19">
                  <c:v>Aug 27</c:v>
                </c:pt>
                <c:pt idx="20">
                  <c:v>Sep 27</c:v>
                </c:pt>
                <c:pt idx="21">
                  <c:v>Oct 27</c:v>
                </c:pt>
                <c:pt idx="22">
                  <c:v>Nov 27</c:v>
                </c:pt>
                <c:pt idx="23">
                  <c:v>Dec 27</c:v>
                </c:pt>
                <c:pt idx="24">
                  <c:v>Jan 28</c:v>
                </c:pt>
                <c:pt idx="25">
                  <c:v>Feb 28</c:v>
                </c:pt>
                <c:pt idx="26">
                  <c:v>Mar 28</c:v>
                </c:pt>
                <c:pt idx="27">
                  <c:v>Apr 28</c:v>
                </c:pt>
                <c:pt idx="28">
                  <c:v>May 28</c:v>
                </c:pt>
                <c:pt idx="29">
                  <c:v>Jun 28</c:v>
                </c:pt>
                <c:pt idx="30">
                  <c:v>Jul 28</c:v>
                </c:pt>
                <c:pt idx="31">
                  <c:v>Aug 28</c:v>
                </c:pt>
                <c:pt idx="32">
                  <c:v>Sep 28</c:v>
                </c:pt>
                <c:pt idx="33">
                  <c:v>Oct 28</c:v>
                </c:pt>
                <c:pt idx="34">
                  <c:v>Nov 28</c:v>
                </c:pt>
                <c:pt idx="35">
                  <c:v>Dec 28</c:v>
                </c:pt>
              </c:strCache>
            </c:strRef>
          </c:cat>
          <c:val>
            <c:numRef>
              <c:f>Aggregator!$F$6:$F$41</c:f>
              <c:numCache>
                <c:formatCode>General</c:formatCode>
                <c:ptCount val="3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142671"/>
        <c:axId val="22526521"/>
      </c:lineChart>
      <c:catAx>
        <c:axId val="39142671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26521"/>
        <c:crosses val="autoZero"/>
        <c:auto val="1"/>
        <c:lblAlgn val="ctr"/>
        <c:lblOffset val="100"/>
        <c:noMultiLvlLbl val="0"/>
      </c:catAx>
      <c:valAx>
        <c:axId val="22526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42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20</xdr:col>
      <xdr:colOff>364320</xdr:colOff>
      <xdr:row>18</xdr:row>
      <xdr:rowOff>9720</xdr:rowOff>
    </xdr:to>
    <xdr:graphicFrame>
      <xdr:nvGraphicFramePr>
        <xdr:cNvPr id="0" name="Chart 1"/>
        <xdr:cNvGraphicFramePr/>
      </xdr:nvGraphicFramePr>
      <xdr:xfrm>
        <a:off x="10197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17</xdr:row>
      <xdr:rowOff>160560</xdr:rowOff>
    </xdr:from>
    <xdr:to>
      <xdr:col>18</xdr:col>
      <xdr:colOff>343440</xdr:colOff>
      <xdr:row>34</xdr:row>
      <xdr:rowOff>162000</xdr:rowOff>
    </xdr:to>
    <xdr:graphicFrame>
      <xdr:nvGraphicFramePr>
        <xdr:cNvPr id="1" name="Chart 1"/>
        <xdr:cNvGraphicFramePr/>
      </xdr:nvGraphicFramePr>
      <xdr:xfrm>
        <a:off x="7237080" y="41529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1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s">
        <v>2</v>
      </c>
    </row>
    <row r="4" customFormat="false" ht="15" hidden="false" customHeight="false" outlineLevel="0" collapsed="false">
      <c r="B4" s="4"/>
      <c r="C4" s="3"/>
    </row>
    <row r="5" customFormat="false" ht="15" hidden="false" customHeight="false" outlineLevel="0" collapsed="false">
      <c r="B5" s="2" t="s">
        <v>3</v>
      </c>
      <c r="C5" s="3"/>
    </row>
    <row r="6" customFormat="false" ht="15" hidden="false" customHeight="false" outlineLevel="0" collapsed="false">
      <c r="B6" s="4" t="s">
        <v>4</v>
      </c>
      <c r="C6" s="3" t="s">
        <v>5</v>
      </c>
    </row>
    <row r="7" customFormat="false" ht="28.35" hidden="false" customHeight="false" outlineLevel="0" collapsed="false">
      <c r="B7" s="4" t="s">
        <v>6</v>
      </c>
      <c r="C7" s="3" t="s">
        <v>7</v>
      </c>
    </row>
    <row r="8" customFormat="false" ht="15" hidden="false" customHeight="false" outlineLevel="0" collapsed="false">
      <c r="B8" s="4"/>
      <c r="C8" s="3" t="s">
        <v>8</v>
      </c>
    </row>
    <row r="9" customFormat="false" ht="28.35" hidden="false" customHeight="false" outlineLevel="0" collapsed="false">
      <c r="B9" s="4" t="s">
        <v>9</v>
      </c>
      <c r="C9" s="3" t="s">
        <v>10</v>
      </c>
    </row>
    <row r="10" customFormat="false" ht="15" hidden="false" customHeight="false" outlineLevel="0" collapsed="false">
      <c r="B10" s="4" t="s">
        <v>11</v>
      </c>
      <c r="C10" s="3" t="s">
        <v>12</v>
      </c>
    </row>
    <row r="11" customFormat="false" ht="15" hidden="false" customHeight="false" outlineLevel="0" collapsed="false">
      <c r="B11" s="4"/>
      <c r="C11" s="3" t="s">
        <v>13</v>
      </c>
    </row>
    <row r="12" customFormat="false" ht="15" hidden="false" customHeight="false" outlineLevel="0" collapsed="false">
      <c r="B12" s="4"/>
      <c r="C12" s="3"/>
    </row>
    <row r="13" customFormat="false" ht="15" hidden="false" customHeight="false" outlineLevel="0" collapsed="false">
      <c r="B13" s="2" t="s">
        <v>14</v>
      </c>
      <c r="C13" s="3"/>
    </row>
    <row r="14" customFormat="false" ht="28.35" hidden="false" customHeight="false" outlineLevel="0" collapsed="false">
      <c r="B14" s="4" t="s">
        <v>15</v>
      </c>
      <c r="C14" s="3" t="s">
        <v>16</v>
      </c>
    </row>
    <row r="15" customFormat="false" ht="15" hidden="false" customHeight="false" outlineLevel="0" collapsed="false">
      <c r="B15" s="4" t="s">
        <v>17</v>
      </c>
      <c r="C15" s="3" t="s">
        <v>18</v>
      </c>
    </row>
    <row r="16" customFormat="false" ht="15" hidden="false" customHeight="false" outlineLevel="0" collapsed="false">
      <c r="B16" s="4" t="s">
        <v>19</v>
      </c>
      <c r="C16" s="3" t="s">
        <v>20</v>
      </c>
    </row>
    <row r="17" customFormat="false" ht="15" hidden="false" customHeight="false" outlineLevel="0" collapsed="false">
      <c r="B17" s="4" t="s">
        <v>21</v>
      </c>
      <c r="C17" s="3" t="s">
        <v>22</v>
      </c>
    </row>
    <row r="18" customFormat="false" ht="15" hidden="false" customHeight="false" outlineLevel="0" collapsed="false">
      <c r="B18" s="4" t="s">
        <v>23</v>
      </c>
      <c r="C18" s="3" t="s">
        <v>24</v>
      </c>
    </row>
    <row r="19" customFormat="false" ht="15" hidden="false" customHeight="false" outlineLevel="0" collapsed="false">
      <c r="B19" s="4" t="s">
        <v>25</v>
      </c>
      <c r="C19" s="3" t="s">
        <v>26</v>
      </c>
    </row>
    <row r="20" customFormat="false" ht="15" hidden="false" customHeight="false" outlineLevel="0" collapsed="false">
      <c r="B20" s="4" t="s">
        <v>27</v>
      </c>
      <c r="C20" s="3" t="s">
        <v>28</v>
      </c>
    </row>
    <row r="21" customFormat="false" ht="15" hidden="false" customHeight="false" outlineLevel="0" collapsed="false">
      <c r="B21" s="4"/>
      <c r="C21" s="3"/>
    </row>
    <row r="22" customFormat="false" ht="15" hidden="false" customHeight="false" outlineLevel="0" collapsed="false">
      <c r="B22" s="2" t="s">
        <v>29</v>
      </c>
      <c r="C22" s="3"/>
    </row>
    <row r="23" customFormat="false" ht="15" hidden="false" customHeight="false" outlineLevel="0" collapsed="false">
      <c r="B23" s="5" t="s">
        <v>30</v>
      </c>
      <c r="C23" s="3" t="s">
        <v>31</v>
      </c>
    </row>
    <row r="24" customFormat="false" ht="15" hidden="false" customHeight="false" outlineLevel="0" collapsed="false">
      <c r="B24" s="6" t="s">
        <v>32</v>
      </c>
      <c r="C24" s="3" t="s">
        <v>33</v>
      </c>
    </row>
    <row r="25" customFormat="false" ht="15" hidden="false" customHeight="false" outlineLevel="0" collapsed="false">
      <c r="B25" s="7" t="s">
        <v>34</v>
      </c>
      <c r="C25" s="3" t="s">
        <v>35</v>
      </c>
    </row>
    <row r="26" customFormat="false" ht="15" hidden="false" customHeight="false" outlineLevel="0" collapsed="false">
      <c r="B26" s="4" t="s">
        <v>36</v>
      </c>
      <c r="C26" s="3" t="s">
        <v>37</v>
      </c>
    </row>
    <row r="27" customFormat="false" ht="15" hidden="false" customHeight="false" outlineLevel="0" collapsed="false">
      <c r="B27" s="4" t="s">
        <v>38</v>
      </c>
      <c r="C27" s="3" t="s">
        <v>39</v>
      </c>
    </row>
    <row r="28" customFormat="false" ht="15" hidden="false" customHeight="false" outlineLevel="0" collapsed="false">
      <c r="B28" s="4"/>
      <c r="C28" s="3"/>
    </row>
    <row r="29" customFormat="false" ht="15" hidden="false" customHeight="false" outlineLevel="0" collapsed="false">
      <c r="B29" s="2" t="s">
        <v>40</v>
      </c>
      <c r="C29" s="3"/>
    </row>
    <row r="30" customFormat="false" ht="15" hidden="false" customHeight="false" outlineLevel="0" collapsed="false">
      <c r="B30" s="4" t="s">
        <v>41</v>
      </c>
      <c r="C30" s="3" t="s">
        <v>42</v>
      </c>
    </row>
    <row r="31" customFormat="false" ht="15" hidden="false" customHeight="false" outlineLevel="0" collapsed="false">
      <c r="B31" s="4" t="s">
        <v>43</v>
      </c>
      <c r="C31" s="3" t="s">
        <v>44</v>
      </c>
    </row>
    <row r="32" customFormat="false" ht="15" hidden="false" customHeight="false" outlineLevel="0" collapsed="false">
      <c r="B32" s="4" t="s">
        <v>45</v>
      </c>
      <c r="C32" s="3" t="s">
        <v>46</v>
      </c>
    </row>
    <row r="33" customFormat="false" ht="15" hidden="false" customHeight="false" outlineLevel="0" collapsed="false">
      <c r="B33" s="4" t="s">
        <v>47</v>
      </c>
      <c r="C33" s="3" t="s">
        <v>48</v>
      </c>
    </row>
    <row r="34" customFormat="false" ht="15" hidden="false" customHeight="false" outlineLevel="0" collapsed="false">
      <c r="B34" s="2" t="s">
        <v>49</v>
      </c>
      <c r="C34" s="3" t="s">
        <v>50</v>
      </c>
    </row>
    <row r="35" customFormat="false" ht="15" hidden="false" customHeight="false" outlineLevel="0" collapsed="false">
      <c r="B35" s="4" t="s">
        <v>51</v>
      </c>
      <c r="C35" s="3" t="s">
        <v>52</v>
      </c>
    </row>
    <row r="36" customFormat="false" ht="15" hidden="false" customHeight="false" outlineLevel="0" collapsed="false">
      <c r="B36" s="4" t="s">
        <v>53</v>
      </c>
      <c r="C36" s="3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3" min="12" style="0" width="17"/>
    <col collapsed="false" customWidth="true" hidden="false" outlineLevel="0" max="14" min="14" style="0" width="34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4" t="s">
        <v>56</v>
      </c>
      <c r="C2" s="8" t="n">
        <v>46296</v>
      </c>
      <c r="D2" s="9" t="s">
        <v>57</v>
      </c>
    </row>
    <row r="3" customFormat="false" ht="15" hidden="false" customHeight="false" outlineLevel="0" collapsed="false">
      <c r="A3" s="4" t="s">
        <v>43</v>
      </c>
      <c r="C3" s="8" t="n">
        <v>46023</v>
      </c>
      <c r="D3" s="9" t="s">
        <v>58</v>
      </c>
    </row>
    <row r="5" customFormat="false" ht="43.5" hidden="false" customHeight="true" outlineLevel="0" collapsed="false">
      <c r="A5" s="10" t="s">
        <v>59</v>
      </c>
      <c r="B5" s="10" t="s">
        <v>60</v>
      </c>
      <c r="C5" s="10" t="s">
        <v>61</v>
      </c>
      <c r="D5" s="10" t="s">
        <v>62</v>
      </c>
      <c r="E5" s="10" t="s">
        <v>63</v>
      </c>
      <c r="F5" s="10" t="s">
        <v>64</v>
      </c>
      <c r="G5" s="10" t="s">
        <v>65</v>
      </c>
      <c r="H5" s="10" t="s">
        <v>66</v>
      </c>
      <c r="I5" s="10" t="s">
        <v>67</v>
      </c>
      <c r="J5" s="10" t="s">
        <v>68</v>
      </c>
      <c r="K5" s="10" t="s">
        <v>69</v>
      </c>
      <c r="L5" s="10" t="s">
        <v>70</v>
      </c>
      <c r="M5" s="10" t="s">
        <v>71</v>
      </c>
      <c r="N5" s="10" t="s">
        <v>72</v>
      </c>
    </row>
    <row r="6" customFormat="false" ht="15" hidden="false" customHeight="false" outlineLevel="0" collapsed="false">
      <c r="A6" s="11" t="n">
        <v>1</v>
      </c>
      <c r="B6" s="12" t="s">
        <v>73</v>
      </c>
      <c r="C6" s="12" t="s">
        <v>74</v>
      </c>
      <c r="D6" s="13" t="n">
        <v>46296</v>
      </c>
      <c r="E6" s="12" t="n">
        <v>5</v>
      </c>
      <c r="F6" s="14" t="n">
        <f aca="false">IF(OR(D6="",E6=""),"",EDATE(D6,E6-1))</f>
        <v>46419</v>
      </c>
      <c r="G6" s="15" t="n">
        <v>10000</v>
      </c>
      <c r="H6" s="16" t="n">
        <f aca="false">IF(B6="","",'WIP Log'!C6)</f>
        <v>1000</v>
      </c>
      <c r="I6" s="17" t="n">
        <f aca="false">IF(B6="","",N(G6)-N(H6))</f>
        <v>9000</v>
      </c>
      <c r="J6" s="17" t="n">
        <f aca="false">IF(OR(B6="",E6=""),"",MAX(0,E6-Phasing!F6+1))</f>
        <v>4</v>
      </c>
      <c r="K6" s="17" t="n">
        <f aca="false">IF(B6="","",IF(AND(((YEAR(Projects!$C$2)-YEAR(Projects!$C$3))*12+MONTH(Projects!$C$2)-MONTH(Projects!$C$3)+1)+1&gt;=1,((YEAR(Projects!$C$2)-YEAR(Projects!$C$3))*12+MONTH(Projects!$C$2)-MONTH(Projects!$C$3)+1)+1&lt;=36),INDEX('Phased Budget'!$H6:$AQ6,((YEAR(Projects!$C$2)-YEAR(Projects!$C$3))*12+MONTH(Projects!$C$2)-MONTH(Projects!$C$3)+1)+1),0))</f>
        <v>2250</v>
      </c>
      <c r="L6" s="17" t="n">
        <f aca="false">IF(B6="","",SUMPRODUCT('Phased Budget'!$H6:$AQ6*(YEAR('Phased Budget'!$H$5:$AQ$5)=YEAR(Projects!$C$2))))</f>
        <v>4500</v>
      </c>
      <c r="M6" s="17" t="n">
        <f aca="false">IF(B6="","",SUMPRODUCT('WIP Log'!$D6:$AM6*('WIP Log'!$D$5:$AM$5&lt;=Projects!$C$2)*(YEAR('WIP Log'!$D$5:$AM$5)=YEAR(Projects!$C$2)))+L6)</f>
        <v>5500</v>
      </c>
      <c r="N6" s="18" t="str">
        <f aca="false">IF(B6="","",IF(OR(D6="",E6="",G6=""),"Missing start / duration / contract",IF(OR(E6&lt;1,E6&gt;24),"Duration must be 1–24",IF(I6&lt;0,"WIP exceeds contract",IF(AND(J6=0,I6&lt;&gt;0),"Budget not phased: no remaining months",IF(AND(J6&gt;0,Phasing!G6=0,I6&lt;&gt;0),"Budget not phased: remaining weights are 0",IF(OR(D6&lt;Projects!$C$3,F6&gt;EDATE(Projects!$C$3,35)),"Partly outside timeline",IF(Phasing!H6=0,"OK","Weights entered beyond duration (ignored)"))))))))</f>
        <v>OK</v>
      </c>
    </row>
    <row r="7" customFormat="false" ht="15" hidden="false" customHeight="false" outlineLevel="0" collapsed="false">
      <c r="A7" s="11" t="n">
        <v>2</v>
      </c>
      <c r="B7" s="12"/>
      <c r="C7" s="12"/>
      <c r="D7" s="13"/>
      <c r="E7" s="12"/>
      <c r="F7" s="14" t="str">
        <f aca="false">IF(OR(D7="",E7=""),"",EDATE(D7,E7-1))</f>
        <v/>
      </c>
      <c r="G7" s="15"/>
      <c r="H7" s="16" t="str">
        <f aca="false">IF(B7="","",'WIP Log'!C7)</f>
        <v/>
      </c>
      <c r="I7" s="17" t="str">
        <f aca="false">IF(B7="","",N(G7)-N(H7))</f>
        <v/>
      </c>
      <c r="J7" s="17" t="str">
        <f aca="false">IF(OR(B7="",E7=""),"",MAX(0,E7-Phasing!F7+1))</f>
        <v/>
      </c>
      <c r="K7" s="17" t="str">
        <f aca="false">IF(B7="","",IF(AND(((YEAR(Projects!$C$2)-YEAR(Projects!$C$3))*12+MONTH(Projects!$C$2)-MONTH(Projects!$C$3)+1)+1&gt;=1,((YEAR(Projects!$C$2)-YEAR(Projects!$C$3))*12+MONTH(Projects!$C$2)-MONTH(Projects!$C$3)+1)+1&lt;=36),INDEX('Phased Budget'!$H7:$AQ7,((YEAR(Projects!$C$2)-YEAR(Projects!$C$3))*12+MONTH(Projects!$C$2)-MONTH(Projects!$C$3)+1)+1),0))</f>
        <v/>
      </c>
      <c r="L7" s="17" t="str">
        <f aca="false">IF(B7="","",SUMPRODUCT('Phased Budget'!$H7:$AQ7*(YEAR('Phased Budget'!$H$5:$AQ$5)=YEAR(Projects!$C$2))))</f>
        <v/>
      </c>
      <c r="M7" s="17" t="str">
        <f aca="false">IF(B7="","",SUMPRODUCT('WIP Log'!$D7:$AM7*('WIP Log'!$D$5:$AM$5&lt;=Projects!$C$2)*(YEAR('WIP Log'!$D$5:$AM$5)=YEAR(Projects!$C$2)))+L7)</f>
        <v/>
      </c>
      <c r="N7" s="18" t="str">
        <f aca="false">IF(B7="","",IF(OR(D7="",E7="",G7=""),"Missing start / duration / contract",IF(OR(E7&lt;1,E7&gt;24),"Duration must be 1–24",IF(I7&lt;0,"WIP exceeds contract",IF(AND(J7=0,I7&lt;&gt;0),"Budget not phased: no remaining months",IF(AND(J7&gt;0,Phasing!G7=0,I7&lt;&gt;0),"Budget not phased: remaining weights are 0",IF(OR(D7&lt;Projects!$C$3,F7&gt;EDATE(Projects!$C$3,35)),"Partly outside timeline",IF(Phasing!H7=0,"OK","Weights entered beyond duration (ignored)"))))))))</f>
        <v/>
      </c>
    </row>
    <row r="8" customFormat="false" ht="15" hidden="false" customHeight="false" outlineLevel="0" collapsed="false">
      <c r="A8" s="11" t="n">
        <v>3</v>
      </c>
      <c r="B8" s="12"/>
      <c r="C8" s="12"/>
      <c r="D8" s="13"/>
      <c r="E8" s="12"/>
      <c r="F8" s="14" t="str">
        <f aca="false">IF(OR(D8="",E8=""),"",EDATE(D8,E8-1))</f>
        <v/>
      </c>
      <c r="G8" s="15"/>
      <c r="H8" s="16" t="str">
        <f aca="false">IF(B8="","",'WIP Log'!C8)</f>
        <v/>
      </c>
      <c r="I8" s="17" t="str">
        <f aca="false">IF(B8="","",N(G8)-N(H8))</f>
        <v/>
      </c>
      <c r="J8" s="17" t="str">
        <f aca="false">IF(OR(B8="",E8=""),"",MAX(0,E8-Phasing!F8+1))</f>
        <v/>
      </c>
      <c r="K8" s="17" t="str">
        <f aca="false">IF(B8="","",IF(AND(((YEAR(Projects!$C$2)-YEAR(Projects!$C$3))*12+MONTH(Projects!$C$2)-MONTH(Projects!$C$3)+1)+1&gt;=1,((YEAR(Projects!$C$2)-YEAR(Projects!$C$3))*12+MONTH(Projects!$C$2)-MONTH(Projects!$C$3)+1)+1&lt;=36),INDEX('Phased Budget'!$H8:$AQ8,((YEAR(Projects!$C$2)-YEAR(Projects!$C$3))*12+MONTH(Projects!$C$2)-MONTH(Projects!$C$3)+1)+1),0))</f>
        <v/>
      </c>
      <c r="L8" s="17" t="str">
        <f aca="false">IF(B8="","",SUMPRODUCT('Phased Budget'!$H8:$AQ8*(YEAR('Phased Budget'!$H$5:$AQ$5)=YEAR(Projects!$C$2))))</f>
        <v/>
      </c>
      <c r="M8" s="17" t="str">
        <f aca="false">IF(B8="","",SUMPRODUCT('WIP Log'!$D8:$AM8*('WIP Log'!$D$5:$AM$5&lt;=Projects!$C$2)*(YEAR('WIP Log'!$D$5:$AM$5)=YEAR(Projects!$C$2)))+L8)</f>
        <v/>
      </c>
      <c r="N8" s="18" t="str">
        <f aca="false">IF(B8="","",IF(OR(D8="",E8="",G8=""),"Missing start / duration / contract",IF(OR(E8&lt;1,E8&gt;24),"Duration must be 1–24",IF(I8&lt;0,"WIP exceeds contract",IF(AND(J8=0,I8&lt;&gt;0),"Budget not phased: no remaining months",IF(AND(J8&gt;0,Phasing!G8=0,I8&lt;&gt;0),"Budget not phased: remaining weights are 0",IF(OR(D8&lt;Projects!$C$3,F8&gt;EDATE(Projects!$C$3,35)),"Partly outside timeline",IF(Phasing!H8=0,"OK","Weights entered beyond duration (ignored)"))))))))</f>
        <v/>
      </c>
    </row>
    <row r="9" customFormat="false" ht="15" hidden="false" customHeight="false" outlineLevel="0" collapsed="false">
      <c r="A9" s="11" t="n">
        <v>4</v>
      </c>
      <c r="B9" s="12"/>
      <c r="C9" s="12"/>
      <c r="D9" s="13"/>
      <c r="E9" s="12"/>
      <c r="F9" s="14" t="str">
        <f aca="false">IF(OR(D9="",E9=""),"",EDATE(D9,E9-1))</f>
        <v/>
      </c>
      <c r="G9" s="15"/>
      <c r="H9" s="16" t="str">
        <f aca="false">IF(B9="","",'WIP Log'!C9)</f>
        <v/>
      </c>
      <c r="I9" s="17" t="str">
        <f aca="false">IF(B9="","",N(G9)-N(H9))</f>
        <v/>
      </c>
      <c r="J9" s="17" t="str">
        <f aca="false">IF(OR(B9="",E9=""),"",MAX(0,E9-Phasing!F9+1))</f>
        <v/>
      </c>
      <c r="K9" s="17" t="str">
        <f aca="false">IF(B9="","",IF(AND(((YEAR(Projects!$C$2)-YEAR(Projects!$C$3))*12+MONTH(Projects!$C$2)-MONTH(Projects!$C$3)+1)+1&gt;=1,((YEAR(Projects!$C$2)-YEAR(Projects!$C$3))*12+MONTH(Projects!$C$2)-MONTH(Projects!$C$3)+1)+1&lt;=36),INDEX('Phased Budget'!$H9:$AQ9,((YEAR(Projects!$C$2)-YEAR(Projects!$C$3))*12+MONTH(Projects!$C$2)-MONTH(Projects!$C$3)+1)+1),0))</f>
        <v/>
      </c>
      <c r="L9" s="17" t="str">
        <f aca="false">IF(B9="","",SUMPRODUCT('Phased Budget'!$H9:$AQ9*(YEAR('Phased Budget'!$H$5:$AQ$5)=YEAR(Projects!$C$2))))</f>
        <v/>
      </c>
      <c r="M9" s="17" t="str">
        <f aca="false">IF(B9="","",SUMPRODUCT('WIP Log'!$D9:$AM9*('WIP Log'!$D$5:$AM$5&lt;=Projects!$C$2)*(YEAR('WIP Log'!$D$5:$AM$5)=YEAR(Projects!$C$2)))+L9)</f>
        <v/>
      </c>
      <c r="N9" s="18" t="str">
        <f aca="false">IF(B9="","",IF(OR(D9="",E9="",G9=""),"Missing start / duration / contract",IF(OR(E9&lt;1,E9&gt;24),"Duration must be 1–24",IF(I9&lt;0,"WIP exceeds contract",IF(AND(J9=0,I9&lt;&gt;0),"Budget not phased: no remaining months",IF(AND(J9&gt;0,Phasing!G9=0,I9&lt;&gt;0),"Budget not phased: remaining weights are 0",IF(OR(D9&lt;Projects!$C$3,F9&gt;EDATE(Projects!$C$3,35)),"Partly outside timeline",IF(Phasing!H9=0,"OK","Weights entered beyond duration (ignored)"))))))))</f>
        <v/>
      </c>
    </row>
    <row r="10" customFormat="false" ht="15" hidden="false" customHeight="false" outlineLevel="0" collapsed="false">
      <c r="A10" s="11" t="n">
        <v>5</v>
      </c>
      <c r="B10" s="12"/>
      <c r="C10" s="12"/>
      <c r="D10" s="13"/>
      <c r="E10" s="12"/>
      <c r="F10" s="14" t="str">
        <f aca="false">IF(OR(D10="",E10=""),"",EDATE(D10,E10-1))</f>
        <v/>
      </c>
      <c r="G10" s="15"/>
      <c r="H10" s="16" t="str">
        <f aca="false">IF(B10="","",'WIP Log'!C10)</f>
        <v/>
      </c>
      <c r="I10" s="17" t="str">
        <f aca="false">IF(B10="","",N(G10)-N(H10))</f>
        <v/>
      </c>
      <c r="J10" s="17" t="str">
        <f aca="false">IF(OR(B10="",E10=""),"",MAX(0,E10-Phasing!F10+1))</f>
        <v/>
      </c>
      <c r="K10" s="17" t="str">
        <f aca="false">IF(B10="","",IF(AND(((YEAR(Projects!$C$2)-YEAR(Projects!$C$3))*12+MONTH(Projects!$C$2)-MONTH(Projects!$C$3)+1)+1&gt;=1,((YEAR(Projects!$C$2)-YEAR(Projects!$C$3))*12+MONTH(Projects!$C$2)-MONTH(Projects!$C$3)+1)+1&lt;=36),INDEX('Phased Budget'!$H10:$AQ10,((YEAR(Projects!$C$2)-YEAR(Projects!$C$3))*12+MONTH(Projects!$C$2)-MONTH(Projects!$C$3)+1)+1),0))</f>
        <v/>
      </c>
      <c r="L10" s="17" t="str">
        <f aca="false">IF(B10="","",SUMPRODUCT('Phased Budget'!$H10:$AQ10*(YEAR('Phased Budget'!$H$5:$AQ$5)=YEAR(Projects!$C$2))))</f>
        <v/>
      </c>
      <c r="M10" s="17" t="str">
        <f aca="false">IF(B10="","",SUMPRODUCT('WIP Log'!$D10:$AM10*('WIP Log'!$D$5:$AM$5&lt;=Projects!$C$2)*(YEAR('WIP Log'!$D$5:$AM$5)=YEAR(Projects!$C$2)))+L10)</f>
        <v/>
      </c>
      <c r="N10" s="18" t="str">
        <f aca="false">IF(B10="","",IF(OR(D10="",E10="",G10=""),"Missing start / duration / contract",IF(OR(E10&lt;1,E10&gt;24),"Duration must be 1–24",IF(I10&lt;0,"WIP exceeds contract",IF(AND(J10=0,I10&lt;&gt;0),"Budget not phased: no remaining months",IF(AND(J10&gt;0,Phasing!G10=0,I10&lt;&gt;0),"Budget not phased: remaining weights are 0",IF(OR(D10&lt;Projects!$C$3,F10&gt;EDATE(Projects!$C$3,35)),"Partly outside timeline",IF(Phasing!H10=0,"OK","Weights entered beyond duration (ignored)"))))))))</f>
        <v/>
      </c>
    </row>
    <row r="11" customFormat="false" ht="15" hidden="false" customHeight="false" outlineLevel="0" collapsed="false">
      <c r="A11" s="11" t="n">
        <v>6</v>
      </c>
      <c r="B11" s="12"/>
      <c r="C11" s="12"/>
      <c r="D11" s="13"/>
      <c r="E11" s="12"/>
      <c r="F11" s="14" t="str">
        <f aca="false">IF(OR(D11="",E11=""),"",EDATE(D11,E11-1))</f>
        <v/>
      </c>
      <c r="G11" s="15"/>
      <c r="H11" s="16" t="str">
        <f aca="false">IF(B11="","",'WIP Log'!C11)</f>
        <v/>
      </c>
      <c r="I11" s="17" t="str">
        <f aca="false">IF(B11="","",N(G11)-N(H11))</f>
        <v/>
      </c>
      <c r="J11" s="17" t="str">
        <f aca="false">IF(OR(B11="",E11=""),"",MAX(0,E11-Phasing!F11+1))</f>
        <v/>
      </c>
      <c r="K11" s="17" t="str">
        <f aca="false">IF(B11="","",IF(AND(((YEAR(Projects!$C$2)-YEAR(Projects!$C$3))*12+MONTH(Projects!$C$2)-MONTH(Projects!$C$3)+1)+1&gt;=1,((YEAR(Projects!$C$2)-YEAR(Projects!$C$3))*12+MONTH(Projects!$C$2)-MONTH(Projects!$C$3)+1)+1&lt;=36),INDEX('Phased Budget'!$H11:$AQ11,((YEAR(Projects!$C$2)-YEAR(Projects!$C$3))*12+MONTH(Projects!$C$2)-MONTH(Projects!$C$3)+1)+1),0))</f>
        <v/>
      </c>
      <c r="L11" s="17" t="str">
        <f aca="false">IF(B11="","",SUMPRODUCT('Phased Budget'!$H11:$AQ11*(YEAR('Phased Budget'!$H$5:$AQ$5)=YEAR(Projects!$C$2))))</f>
        <v/>
      </c>
      <c r="M11" s="17" t="str">
        <f aca="false">IF(B11="","",SUMPRODUCT('WIP Log'!$D11:$AM11*('WIP Log'!$D$5:$AM$5&lt;=Projects!$C$2)*(YEAR('WIP Log'!$D$5:$AM$5)=YEAR(Projects!$C$2)))+L11)</f>
        <v/>
      </c>
      <c r="N11" s="18" t="str">
        <f aca="false">IF(B11="","",IF(OR(D11="",E11="",G11=""),"Missing start / duration / contract",IF(OR(E11&lt;1,E11&gt;24),"Duration must be 1–24",IF(I11&lt;0,"WIP exceeds contract",IF(AND(J11=0,I11&lt;&gt;0),"Budget not phased: no remaining months",IF(AND(J11&gt;0,Phasing!G11=0,I11&lt;&gt;0),"Budget not phased: remaining weights are 0",IF(OR(D11&lt;Projects!$C$3,F11&gt;EDATE(Projects!$C$3,35)),"Partly outside timeline",IF(Phasing!H11=0,"OK","Weights entered beyond duration (ignored)"))))))))</f>
        <v/>
      </c>
    </row>
    <row r="12" customFormat="false" ht="15" hidden="false" customHeight="false" outlineLevel="0" collapsed="false">
      <c r="A12" s="11" t="n">
        <v>7</v>
      </c>
      <c r="B12" s="12"/>
      <c r="C12" s="12"/>
      <c r="D12" s="13"/>
      <c r="E12" s="12"/>
      <c r="F12" s="14" t="str">
        <f aca="false">IF(OR(D12="",E12=""),"",EDATE(D12,E12-1))</f>
        <v/>
      </c>
      <c r="G12" s="15"/>
      <c r="H12" s="16" t="str">
        <f aca="false">IF(B12="","",'WIP Log'!C12)</f>
        <v/>
      </c>
      <c r="I12" s="17" t="str">
        <f aca="false">IF(B12="","",N(G12)-N(H12))</f>
        <v/>
      </c>
      <c r="J12" s="17" t="str">
        <f aca="false">IF(OR(B12="",E12=""),"",MAX(0,E12-Phasing!F12+1))</f>
        <v/>
      </c>
      <c r="K12" s="17" t="str">
        <f aca="false">IF(B12="","",IF(AND(((YEAR(Projects!$C$2)-YEAR(Projects!$C$3))*12+MONTH(Projects!$C$2)-MONTH(Projects!$C$3)+1)+1&gt;=1,((YEAR(Projects!$C$2)-YEAR(Projects!$C$3))*12+MONTH(Projects!$C$2)-MONTH(Projects!$C$3)+1)+1&lt;=36),INDEX('Phased Budget'!$H12:$AQ12,((YEAR(Projects!$C$2)-YEAR(Projects!$C$3))*12+MONTH(Projects!$C$2)-MONTH(Projects!$C$3)+1)+1),0))</f>
        <v/>
      </c>
      <c r="L12" s="17" t="str">
        <f aca="false">IF(B12="","",SUMPRODUCT('Phased Budget'!$H12:$AQ12*(YEAR('Phased Budget'!$H$5:$AQ$5)=YEAR(Projects!$C$2))))</f>
        <v/>
      </c>
      <c r="M12" s="17" t="str">
        <f aca="false">IF(B12="","",SUMPRODUCT('WIP Log'!$D12:$AM12*('WIP Log'!$D$5:$AM$5&lt;=Projects!$C$2)*(YEAR('WIP Log'!$D$5:$AM$5)=YEAR(Projects!$C$2)))+L12)</f>
        <v/>
      </c>
      <c r="N12" s="18" t="str">
        <f aca="false">IF(B12="","",IF(OR(D12="",E12="",G12=""),"Missing start / duration / contract",IF(OR(E12&lt;1,E12&gt;24),"Duration must be 1–24",IF(I12&lt;0,"WIP exceeds contract",IF(AND(J12=0,I12&lt;&gt;0),"Budget not phased: no remaining months",IF(AND(J12&gt;0,Phasing!G12=0,I12&lt;&gt;0),"Budget not phased: remaining weights are 0",IF(OR(D12&lt;Projects!$C$3,F12&gt;EDATE(Projects!$C$3,35)),"Partly outside timeline",IF(Phasing!H12=0,"OK","Weights entered beyond duration (ignored)"))))))))</f>
        <v/>
      </c>
    </row>
    <row r="13" customFormat="false" ht="15" hidden="false" customHeight="false" outlineLevel="0" collapsed="false">
      <c r="A13" s="11" t="n">
        <v>8</v>
      </c>
      <c r="B13" s="12"/>
      <c r="C13" s="12"/>
      <c r="D13" s="13"/>
      <c r="E13" s="12"/>
      <c r="F13" s="14" t="str">
        <f aca="false">IF(OR(D13="",E13=""),"",EDATE(D13,E13-1))</f>
        <v/>
      </c>
      <c r="G13" s="15"/>
      <c r="H13" s="16" t="str">
        <f aca="false">IF(B13="","",'WIP Log'!C13)</f>
        <v/>
      </c>
      <c r="I13" s="17" t="str">
        <f aca="false">IF(B13="","",N(G13)-N(H13))</f>
        <v/>
      </c>
      <c r="J13" s="17" t="str">
        <f aca="false">IF(OR(B13="",E13=""),"",MAX(0,E13-Phasing!F13+1))</f>
        <v/>
      </c>
      <c r="K13" s="17" t="str">
        <f aca="false">IF(B13="","",IF(AND(((YEAR(Projects!$C$2)-YEAR(Projects!$C$3))*12+MONTH(Projects!$C$2)-MONTH(Projects!$C$3)+1)+1&gt;=1,((YEAR(Projects!$C$2)-YEAR(Projects!$C$3))*12+MONTH(Projects!$C$2)-MONTH(Projects!$C$3)+1)+1&lt;=36),INDEX('Phased Budget'!$H13:$AQ13,((YEAR(Projects!$C$2)-YEAR(Projects!$C$3))*12+MONTH(Projects!$C$2)-MONTH(Projects!$C$3)+1)+1),0))</f>
        <v/>
      </c>
      <c r="L13" s="17" t="str">
        <f aca="false">IF(B13="","",SUMPRODUCT('Phased Budget'!$H13:$AQ13*(YEAR('Phased Budget'!$H$5:$AQ$5)=YEAR(Projects!$C$2))))</f>
        <v/>
      </c>
      <c r="M13" s="17" t="str">
        <f aca="false">IF(B13="","",SUMPRODUCT('WIP Log'!$D13:$AM13*('WIP Log'!$D$5:$AM$5&lt;=Projects!$C$2)*(YEAR('WIP Log'!$D$5:$AM$5)=YEAR(Projects!$C$2)))+L13)</f>
        <v/>
      </c>
      <c r="N13" s="18" t="str">
        <f aca="false">IF(B13="","",IF(OR(D13="",E13="",G13=""),"Missing start / duration / contract",IF(OR(E13&lt;1,E13&gt;24),"Duration must be 1–24",IF(I13&lt;0,"WIP exceeds contract",IF(AND(J13=0,I13&lt;&gt;0),"Budget not phased: no remaining months",IF(AND(J13&gt;0,Phasing!G13=0,I13&lt;&gt;0),"Budget not phased: remaining weights are 0",IF(OR(D13&lt;Projects!$C$3,F13&gt;EDATE(Projects!$C$3,35)),"Partly outside timeline",IF(Phasing!H13=0,"OK","Weights entered beyond duration (ignored)"))))))))</f>
        <v/>
      </c>
    </row>
    <row r="14" customFormat="false" ht="15" hidden="false" customHeight="false" outlineLevel="0" collapsed="false">
      <c r="A14" s="11" t="n">
        <v>9</v>
      </c>
      <c r="B14" s="12"/>
      <c r="C14" s="12"/>
      <c r="D14" s="13"/>
      <c r="E14" s="12"/>
      <c r="F14" s="14" t="str">
        <f aca="false">IF(OR(D14="",E14=""),"",EDATE(D14,E14-1))</f>
        <v/>
      </c>
      <c r="G14" s="15"/>
      <c r="H14" s="16" t="str">
        <f aca="false">IF(B14="","",'WIP Log'!C14)</f>
        <v/>
      </c>
      <c r="I14" s="17" t="str">
        <f aca="false">IF(B14="","",N(G14)-N(H14))</f>
        <v/>
      </c>
      <c r="J14" s="17" t="str">
        <f aca="false">IF(OR(B14="",E14=""),"",MAX(0,E14-Phasing!F14+1))</f>
        <v/>
      </c>
      <c r="K14" s="17" t="str">
        <f aca="false">IF(B14="","",IF(AND(((YEAR(Projects!$C$2)-YEAR(Projects!$C$3))*12+MONTH(Projects!$C$2)-MONTH(Projects!$C$3)+1)+1&gt;=1,((YEAR(Projects!$C$2)-YEAR(Projects!$C$3))*12+MONTH(Projects!$C$2)-MONTH(Projects!$C$3)+1)+1&lt;=36),INDEX('Phased Budget'!$H14:$AQ14,((YEAR(Projects!$C$2)-YEAR(Projects!$C$3))*12+MONTH(Projects!$C$2)-MONTH(Projects!$C$3)+1)+1),0))</f>
        <v/>
      </c>
      <c r="L14" s="17" t="str">
        <f aca="false">IF(B14="","",SUMPRODUCT('Phased Budget'!$H14:$AQ14*(YEAR('Phased Budget'!$H$5:$AQ$5)=YEAR(Projects!$C$2))))</f>
        <v/>
      </c>
      <c r="M14" s="17" t="str">
        <f aca="false">IF(B14="","",SUMPRODUCT('WIP Log'!$D14:$AM14*('WIP Log'!$D$5:$AM$5&lt;=Projects!$C$2)*(YEAR('WIP Log'!$D$5:$AM$5)=YEAR(Projects!$C$2)))+L14)</f>
        <v/>
      </c>
      <c r="N14" s="18" t="str">
        <f aca="false">IF(B14="","",IF(OR(D14="",E14="",G14=""),"Missing start / duration / contract",IF(OR(E14&lt;1,E14&gt;24),"Duration must be 1–24",IF(I14&lt;0,"WIP exceeds contract",IF(AND(J14=0,I14&lt;&gt;0),"Budget not phased: no remaining months",IF(AND(J14&gt;0,Phasing!G14=0,I14&lt;&gt;0),"Budget not phased: remaining weights are 0",IF(OR(D14&lt;Projects!$C$3,F14&gt;EDATE(Projects!$C$3,35)),"Partly outside timeline",IF(Phasing!H14=0,"OK","Weights entered beyond duration (ignored)"))))))))</f>
        <v/>
      </c>
    </row>
    <row r="15" customFormat="false" ht="15" hidden="false" customHeight="false" outlineLevel="0" collapsed="false">
      <c r="A15" s="11" t="n">
        <v>10</v>
      </c>
      <c r="B15" s="12"/>
      <c r="C15" s="12"/>
      <c r="D15" s="13"/>
      <c r="E15" s="12"/>
      <c r="F15" s="14" t="str">
        <f aca="false">IF(OR(D15="",E15=""),"",EDATE(D15,E15-1))</f>
        <v/>
      </c>
      <c r="G15" s="15"/>
      <c r="H15" s="16" t="str">
        <f aca="false">IF(B15="","",'WIP Log'!C15)</f>
        <v/>
      </c>
      <c r="I15" s="17" t="str">
        <f aca="false">IF(B15="","",N(G15)-N(H15))</f>
        <v/>
      </c>
      <c r="J15" s="17" t="str">
        <f aca="false">IF(OR(B15="",E15=""),"",MAX(0,E15-Phasing!F15+1))</f>
        <v/>
      </c>
      <c r="K15" s="17" t="str">
        <f aca="false">IF(B15="","",IF(AND(((YEAR(Projects!$C$2)-YEAR(Projects!$C$3))*12+MONTH(Projects!$C$2)-MONTH(Projects!$C$3)+1)+1&gt;=1,((YEAR(Projects!$C$2)-YEAR(Projects!$C$3))*12+MONTH(Projects!$C$2)-MONTH(Projects!$C$3)+1)+1&lt;=36),INDEX('Phased Budget'!$H15:$AQ15,((YEAR(Projects!$C$2)-YEAR(Projects!$C$3))*12+MONTH(Projects!$C$2)-MONTH(Projects!$C$3)+1)+1),0))</f>
        <v/>
      </c>
      <c r="L15" s="17" t="str">
        <f aca="false">IF(B15="","",SUMPRODUCT('Phased Budget'!$H15:$AQ15*(YEAR('Phased Budget'!$H$5:$AQ$5)=YEAR(Projects!$C$2))))</f>
        <v/>
      </c>
      <c r="M15" s="17" t="str">
        <f aca="false">IF(B15="","",SUMPRODUCT('WIP Log'!$D15:$AM15*('WIP Log'!$D$5:$AM$5&lt;=Projects!$C$2)*(YEAR('WIP Log'!$D$5:$AM$5)=YEAR(Projects!$C$2)))+L15)</f>
        <v/>
      </c>
      <c r="N15" s="18" t="str">
        <f aca="false">IF(B15="","",IF(OR(D15="",E15="",G15=""),"Missing start / duration / contract",IF(OR(E15&lt;1,E15&gt;24),"Duration must be 1–24",IF(I15&lt;0,"WIP exceeds contract",IF(AND(J15=0,I15&lt;&gt;0),"Budget not phased: no remaining months",IF(AND(J15&gt;0,Phasing!G15=0,I15&lt;&gt;0),"Budget not phased: remaining weights are 0",IF(OR(D15&lt;Projects!$C$3,F15&gt;EDATE(Projects!$C$3,35)),"Partly outside timeline",IF(Phasing!H15=0,"OK","Weights entered beyond duration (ignored)"))))))))</f>
        <v/>
      </c>
    </row>
    <row r="16" customFormat="false" ht="15" hidden="false" customHeight="false" outlineLevel="0" collapsed="false">
      <c r="A16" s="11" t="n">
        <v>11</v>
      </c>
      <c r="B16" s="12"/>
      <c r="C16" s="12"/>
      <c r="D16" s="13"/>
      <c r="E16" s="12"/>
      <c r="F16" s="14" t="str">
        <f aca="false">IF(OR(D16="",E16=""),"",EDATE(D16,E16-1))</f>
        <v/>
      </c>
      <c r="G16" s="15"/>
      <c r="H16" s="16" t="str">
        <f aca="false">IF(B16="","",'WIP Log'!C16)</f>
        <v/>
      </c>
      <c r="I16" s="17" t="str">
        <f aca="false">IF(B16="","",N(G16)-N(H16))</f>
        <v/>
      </c>
      <c r="J16" s="17" t="str">
        <f aca="false">IF(OR(B16="",E16=""),"",MAX(0,E16-Phasing!F16+1))</f>
        <v/>
      </c>
      <c r="K16" s="17" t="str">
        <f aca="false">IF(B16="","",IF(AND(((YEAR(Projects!$C$2)-YEAR(Projects!$C$3))*12+MONTH(Projects!$C$2)-MONTH(Projects!$C$3)+1)+1&gt;=1,((YEAR(Projects!$C$2)-YEAR(Projects!$C$3))*12+MONTH(Projects!$C$2)-MONTH(Projects!$C$3)+1)+1&lt;=36),INDEX('Phased Budget'!$H16:$AQ16,((YEAR(Projects!$C$2)-YEAR(Projects!$C$3))*12+MONTH(Projects!$C$2)-MONTH(Projects!$C$3)+1)+1),0))</f>
        <v/>
      </c>
      <c r="L16" s="17" t="str">
        <f aca="false">IF(B16="","",SUMPRODUCT('Phased Budget'!$H16:$AQ16*(YEAR('Phased Budget'!$H$5:$AQ$5)=YEAR(Projects!$C$2))))</f>
        <v/>
      </c>
      <c r="M16" s="17" t="str">
        <f aca="false">IF(B16="","",SUMPRODUCT('WIP Log'!$D16:$AM16*('WIP Log'!$D$5:$AM$5&lt;=Projects!$C$2)*(YEAR('WIP Log'!$D$5:$AM$5)=YEAR(Projects!$C$2)))+L16)</f>
        <v/>
      </c>
      <c r="N16" s="18" t="str">
        <f aca="false">IF(B16="","",IF(OR(D16="",E16="",G16=""),"Missing start / duration / contract",IF(OR(E16&lt;1,E16&gt;24),"Duration must be 1–24",IF(I16&lt;0,"WIP exceeds contract",IF(AND(J16=0,I16&lt;&gt;0),"Budget not phased: no remaining months",IF(AND(J16&gt;0,Phasing!G16=0,I16&lt;&gt;0),"Budget not phased: remaining weights are 0",IF(OR(D16&lt;Projects!$C$3,F16&gt;EDATE(Projects!$C$3,35)),"Partly outside timeline",IF(Phasing!H16=0,"OK","Weights entered beyond duration (ignored)"))))))))</f>
        <v/>
      </c>
    </row>
    <row r="17" customFormat="false" ht="15" hidden="false" customHeight="false" outlineLevel="0" collapsed="false">
      <c r="A17" s="11" t="n">
        <v>12</v>
      </c>
      <c r="B17" s="12"/>
      <c r="C17" s="12"/>
      <c r="D17" s="13"/>
      <c r="E17" s="12"/>
      <c r="F17" s="14" t="str">
        <f aca="false">IF(OR(D17="",E17=""),"",EDATE(D17,E17-1))</f>
        <v/>
      </c>
      <c r="G17" s="15"/>
      <c r="H17" s="16" t="str">
        <f aca="false">IF(B17="","",'WIP Log'!C17)</f>
        <v/>
      </c>
      <c r="I17" s="17" t="str">
        <f aca="false">IF(B17="","",N(G17)-N(H17))</f>
        <v/>
      </c>
      <c r="J17" s="17" t="str">
        <f aca="false">IF(OR(B17="",E17=""),"",MAX(0,E17-Phasing!F17+1))</f>
        <v/>
      </c>
      <c r="K17" s="17" t="str">
        <f aca="false">IF(B17="","",IF(AND(((YEAR(Projects!$C$2)-YEAR(Projects!$C$3))*12+MONTH(Projects!$C$2)-MONTH(Projects!$C$3)+1)+1&gt;=1,((YEAR(Projects!$C$2)-YEAR(Projects!$C$3))*12+MONTH(Projects!$C$2)-MONTH(Projects!$C$3)+1)+1&lt;=36),INDEX('Phased Budget'!$H17:$AQ17,((YEAR(Projects!$C$2)-YEAR(Projects!$C$3))*12+MONTH(Projects!$C$2)-MONTH(Projects!$C$3)+1)+1),0))</f>
        <v/>
      </c>
      <c r="L17" s="17" t="str">
        <f aca="false">IF(B17="","",SUMPRODUCT('Phased Budget'!$H17:$AQ17*(YEAR('Phased Budget'!$H$5:$AQ$5)=YEAR(Projects!$C$2))))</f>
        <v/>
      </c>
      <c r="M17" s="17" t="str">
        <f aca="false">IF(B17="","",SUMPRODUCT('WIP Log'!$D17:$AM17*('WIP Log'!$D$5:$AM$5&lt;=Projects!$C$2)*(YEAR('WIP Log'!$D$5:$AM$5)=YEAR(Projects!$C$2)))+L17)</f>
        <v/>
      </c>
      <c r="N17" s="18" t="str">
        <f aca="false">IF(B17="","",IF(OR(D17="",E17="",G17=""),"Missing start / duration / contract",IF(OR(E17&lt;1,E17&gt;24),"Duration must be 1–24",IF(I17&lt;0,"WIP exceeds contract",IF(AND(J17=0,I17&lt;&gt;0),"Budget not phased: no remaining months",IF(AND(J17&gt;0,Phasing!G17=0,I17&lt;&gt;0),"Budget not phased: remaining weights are 0",IF(OR(D17&lt;Projects!$C$3,F17&gt;EDATE(Projects!$C$3,35)),"Partly outside timeline",IF(Phasing!H17=0,"OK","Weights entered beyond duration (ignored)"))))))))</f>
        <v/>
      </c>
    </row>
    <row r="18" customFormat="false" ht="15" hidden="false" customHeight="false" outlineLevel="0" collapsed="false">
      <c r="A18" s="11" t="n">
        <v>13</v>
      </c>
      <c r="B18" s="12"/>
      <c r="C18" s="12"/>
      <c r="D18" s="13"/>
      <c r="E18" s="12"/>
      <c r="F18" s="14" t="str">
        <f aca="false">IF(OR(D18="",E18=""),"",EDATE(D18,E18-1))</f>
        <v/>
      </c>
      <c r="G18" s="15"/>
      <c r="H18" s="16" t="str">
        <f aca="false">IF(B18="","",'WIP Log'!C18)</f>
        <v/>
      </c>
      <c r="I18" s="17" t="str">
        <f aca="false">IF(B18="","",N(G18)-N(H18))</f>
        <v/>
      </c>
      <c r="J18" s="17" t="str">
        <f aca="false">IF(OR(B18="",E18=""),"",MAX(0,E18-Phasing!F18+1))</f>
        <v/>
      </c>
      <c r="K18" s="17" t="str">
        <f aca="false">IF(B18="","",IF(AND(((YEAR(Projects!$C$2)-YEAR(Projects!$C$3))*12+MONTH(Projects!$C$2)-MONTH(Projects!$C$3)+1)+1&gt;=1,((YEAR(Projects!$C$2)-YEAR(Projects!$C$3))*12+MONTH(Projects!$C$2)-MONTH(Projects!$C$3)+1)+1&lt;=36),INDEX('Phased Budget'!$H18:$AQ18,((YEAR(Projects!$C$2)-YEAR(Projects!$C$3))*12+MONTH(Projects!$C$2)-MONTH(Projects!$C$3)+1)+1),0))</f>
        <v/>
      </c>
      <c r="L18" s="17" t="str">
        <f aca="false">IF(B18="","",SUMPRODUCT('Phased Budget'!$H18:$AQ18*(YEAR('Phased Budget'!$H$5:$AQ$5)=YEAR(Projects!$C$2))))</f>
        <v/>
      </c>
      <c r="M18" s="17" t="str">
        <f aca="false">IF(B18="","",SUMPRODUCT('WIP Log'!$D18:$AM18*('WIP Log'!$D$5:$AM$5&lt;=Projects!$C$2)*(YEAR('WIP Log'!$D$5:$AM$5)=YEAR(Projects!$C$2)))+L18)</f>
        <v/>
      </c>
      <c r="N18" s="18" t="str">
        <f aca="false">IF(B18="","",IF(OR(D18="",E18="",G18=""),"Missing start / duration / contract",IF(OR(E18&lt;1,E18&gt;24),"Duration must be 1–24",IF(I18&lt;0,"WIP exceeds contract",IF(AND(J18=0,I18&lt;&gt;0),"Budget not phased: no remaining months",IF(AND(J18&gt;0,Phasing!G18=0,I18&lt;&gt;0),"Budget not phased: remaining weights are 0",IF(OR(D18&lt;Projects!$C$3,F18&gt;EDATE(Projects!$C$3,35)),"Partly outside timeline",IF(Phasing!H18=0,"OK","Weights entered beyond duration (ignored)"))))))))</f>
        <v/>
      </c>
    </row>
    <row r="19" customFormat="false" ht="15" hidden="false" customHeight="false" outlineLevel="0" collapsed="false">
      <c r="A19" s="11" t="n">
        <v>14</v>
      </c>
      <c r="B19" s="12"/>
      <c r="C19" s="12"/>
      <c r="D19" s="13"/>
      <c r="E19" s="12"/>
      <c r="F19" s="14" t="str">
        <f aca="false">IF(OR(D19="",E19=""),"",EDATE(D19,E19-1))</f>
        <v/>
      </c>
      <c r="G19" s="15"/>
      <c r="H19" s="16" t="str">
        <f aca="false">IF(B19="","",'WIP Log'!C19)</f>
        <v/>
      </c>
      <c r="I19" s="17" t="str">
        <f aca="false">IF(B19="","",N(G19)-N(H19))</f>
        <v/>
      </c>
      <c r="J19" s="17" t="str">
        <f aca="false">IF(OR(B19="",E19=""),"",MAX(0,E19-Phasing!F19+1))</f>
        <v/>
      </c>
      <c r="K19" s="17" t="str">
        <f aca="false">IF(B19="","",IF(AND(((YEAR(Projects!$C$2)-YEAR(Projects!$C$3))*12+MONTH(Projects!$C$2)-MONTH(Projects!$C$3)+1)+1&gt;=1,((YEAR(Projects!$C$2)-YEAR(Projects!$C$3))*12+MONTH(Projects!$C$2)-MONTH(Projects!$C$3)+1)+1&lt;=36),INDEX('Phased Budget'!$H19:$AQ19,((YEAR(Projects!$C$2)-YEAR(Projects!$C$3))*12+MONTH(Projects!$C$2)-MONTH(Projects!$C$3)+1)+1),0))</f>
        <v/>
      </c>
      <c r="L19" s="17" t="str">
        <f aca="false">IF(B19="","",SUMPRODUCT('Phased Budget'!$H19:$AQ19*(YEAR('Phased Budget'!$H$5:$AQ$5)=YEAR(Projects!$C$2))))</f>
        <v/>
      </c>
      <c r="M19" s="17" t="str">
        <f aca="false">IF(B19="","",SUMPRODUCT('WIP Log'!$D19:$AM19*('WIP Log'!$D$5:$AM$5&lt;=Projects!$C$2)*(YEAR('WIP Log'!$D$5:$AM$5)=YEAR(Projects!$C$2)))+L19)</f>
        <v/>
      </c>
      <c r="N19" s="18" t="str">
        <f aca="false">IF(B19="","",IF(OR(D19="",E19="",G19=""),"Missing start / duration / contract",IF(OR(E19&lt;1,E19&gt;24),"Duration must be 1–24",IF(I19&lt;0,"WIP exceeds contract",IF(AND(J19=0,I19&lt;&gt;0),"Budget not phased: no remaining months",IF(AND(J19&gt;0,Phasing!G19=0,I19&lt;&gt;0),"Budget not phased: remaining weights are 0",IF(OR(D19&lt;Projects!$C$3,F19&gt;EDATE(Projects!$C$3,35)),"Partly outside timeline",IF(Phasing!H19=0,"OK","Weights entered beyond duration (ignored)"))))))))</f>
        <v/>
      </c>
    </row>
    <row r="20" customFormat="false" ht="15" hidden="false" customHeight="false" outlineLevel="0" collapsed="false">
      <c r="A20" s="11" t="n">
        <v>15</v>
      </c>
      <c r="B20" s="12"/>
      <c r="C20" s="12"/>
      <c r="D20" s="13"/>
      <c r="E20" s="12"/>
      <c r="F20" s="14" t="str">
        <f aca="false">IF(OR(D20="",E20=""),"",EDATE(D20,E20-1))</f>
        <v/>
      </c>
      <c r="G20" s="15"/>
      <c r="H20" s="16" t="str">
        <f aca="false">IF(B20="","",'WIP Log'!C20)</f>
        <v/>
      </c>
      <c r="I20" s="17" t="str">
        <f aca="false">IF(B20="","",N(G20)-N(H20))</f>
        <v/>
      </c>
      <c r="J20" s="17" t="str">
        <f aca="false">IF(OR(B20="",E20=""),"",MAX(0,E20-Phasing!F20+1))</f>
        <v/>
      </c>
      <c r="K20" s="17" t="str">
        <f aca="false">IF(B20="","",IF(AND(((YEAR(Projects!$C$2)-YEAR(Projects!$C$3))*12+MONTH(Projects!$C$2)-MONTH(Projects!$C$3)+1)+1&gt;=1,((YEAR(Projects!$C$2)-YEAR(Projects!$C$3))*12+MONTH(Projects!$C$2)-MONTH(Projects!$C$3)+1)+1&lt;=36),INDEX('Phased Budget'!$H20:$AQ20,((YEAR(Projects!$C$2)-YEAR(Projects!$C$3))*12+MONTH(Projects!$C$2)-MONTH(Projects!$C$3)+1)+1),0))</f>
        <v/>
      </c>
      <c r="L20" s="17" t="str">
        <f aca="false">IF(B20="","",SUMPRODUCT('Phased Budget'!$H20:$AQ20*(YEAR('Phased Budget'!$H$5:$AQ$5)=YEAR(Projects!$C$2))))</f>
        <v/>
      </c>
      <c r="M20" s="17" t="str">
        <f aca="false">IF(B20="","",SUMPRODUCT('WIP Log'!$D20:$AM20*('WIP Log'!$D$5:$AM$5&lt;=Projects!$C$2)*(YEAR('WIP Log'!$D$5:$AM$5)=YEAR(Projects!$C$2)))+L20)</f>
        <v/>
      </c>
      <c r="N20" s="18" t="str">
        <f aca="false">IF(B20="","",IF(OR(D20="",E20="",G20=""),"Missing start / duration / contract",IF(OR(E20&lt;1,E20&gt;24),"Duration must be 1–24",IF(I20&lt;0,"WIP exceeds contract",IF(AND(J20=0,I20&lt;&gt;0),"Budget not phased: no remaining months",IF(AND(J20&gt;0,Phasing!G20=0,I20&lt;&gt;0),"Budget not phased: remaining weights are 0",IF(OR(D20&lt;Projects!$C$3,F20&gt;EDATE(Projects!$C$3,35)),"Partly outside timeline",IF(Phasing!H20=0,"OK","Weights entered beyond duration (ignored)"))))))))</f>
        <v/>
      </c>
    </row>
    <row r="21" customFormat="false" ht="15" hidden="false" customHeight="false" outlineLevel="0" collapsed="false">
      <c r="A21" s="11" t="n">
        <v>16</v>
      </c>
      <c r="B21" s="12"/>
      <c r="C21" s="12"/>
      <c r="D21" s="13"/>
      <c r="E21" s="12"/>
      <c r="F21" s="14" t="str">
        <f aca="false">IF(OR(D21="",E21=""),"",EDATE(D21,E21-1))</f>
        <v/>
      </c>
      <c r="G21" s="15"/>
      <c r="H21" s="16" t="str">
        <f aca="false">IF(B21="","",'WIP Log'!C21)</f>
        <v/>
      </c>
      <c r="I21" s="17" t="str">
        <f aca="false">IF(B21="","",N(G21)-N(H21))</f>
        <v/>
      </c>
      <c r="J21" s="17" t="str">
        <f aca="false">IF(OR(B21="",E21=""),"",MAX(0,E21-Phasing!F21+1))</f>
        <v/>
      </c>
      <c r="K21" s="17" t="str">
        <f aca="false">IF(B21="","",IF(AND(((YEAR(Projects!$C$2)-YEAR(Projects!$C$3))*12+MONTH(Projects!$C$2)-MONTH(Projects!$C$3)+1)+1&gt;=1,((YEAR(Projects!$C$2)-YEAR(Projects!$C$3))*12+MONTH(Projects!$C$2)-MONTH(Projects!$C$3)+1)+1&lt;=36),INDEX('Phased Budget'!$H21:$AQ21,((YEAR(Projects!$C$2)-YEAR(Projects!$C$3))*12+MONTH(Projects!$C$2)-MONTH(Projects!$C$3)+1)+1),0))</f>
        <v/>
      </c>
      <c r="L21" s="17" t="str">
        <f aca="false">IF(B21="","",SUMPRODUCT('Phased Budget'!$H21:$AQ21*(YEAR('Phased Budget'!$H$5:$AQ$5)=YEAR(Projects!$C$2))))</f>
        <v/>
      </c>
      <c r="M21" s="17" t="str">
        <f aca="false">IF(B21="","",SUMPRODUCT('WIP Log'!$D21:$AM21*('WIP Log'!$D$5:$AM$5&lt;=Projects!$C$2)*(YEAR('WIP Log'!$D$5:$AM$5)=YEAR(Projects!$C$2)))+L21)</f>
        <v/>
      </c>
      <c r="N21" s="18" t="str">
        <f aca="false">IF(B21="","",IF(OR(D21="",E21="",G21=""),"Missing start / duration / contract",IF(OR(E21&lt;1,E21&gt;24),"Duration must be 1–24",IF(I21&lt;0,"WIP exceeds contract",IF(AND(J21=0,I21&lt;&gt;0),"Budget not phased: no remaining months",IF(AND(J21&gt;0,Phasing!G21=0,I21&lt;&gt;0),"Budget not phased: remaining weights are 0",IF(OR(D21&lt;Projects!$C$3,F21&gt;EDATE(Projects!$C$3,35)),"Partly outside timeline",IF(Phasing!H21=0,"OK","Weights entered beyond duration (ignored)"))))))))</f>
        <v/>
      </c>
    </row>
    <row r="22" customFormat="false" ht="15" hidden="false" customHeight="false" outlineLevel="0" collapsed="false">
      <c r="A22" s="11" t="n">
        <v>17</v>
      </c>
      <c r="B22" s="12"/>
      <c r="C22" s="12"/>
      <c r="D22" s="13"/>
      <c r="E22" s="12"/>
      <c r="F22" s="14" t="str">
        <f aca="false">IF(OR(D22="",E22=""),"",EDATE(D22,E22-1))</f>
        <v/>
      </c>
      <c r="G22" s="15"/>
      <c r="H22" s="16" t="str">
        <f aca="false">IF(B22="","",'WIP Log'!C22)</f>
        <v/>
      </c>
      <c r="I22" s="17" t="str">
        <f aca="false">IF(B22="","",N(G22)-N(H22))</f>
        <v/>
      </c>
      <c r="J22" s="17" t="str">
        <f aca="false">IF(OR(B22="",E22=""),"",MAX(0,E22-Phasing!F22+1))</f>
        <v/>
      </c>
      <c r="K22" s="17" t="str">
        <f aca="false">IF(B22="","",IF(AND(((YEAR(Projects!$C$2)-YEAR(Projects!$C$3))*12+MONTH(Projects!$C$2)-MONTH(Projects!$C$3)+1)+1&gt;=1,((YEAR(Projects!$C$2)-YEAR(Projects!$C$3))*12+MONTH(Projects!$C$2)-MONTH(Projects!$C$3)+1)+1&lt;=36),INDEX('Phased Budget'!$H22:$AQ22,((YEAR(Projects!$C$2)-YEAR(Projects!$C$3))*12+MONTH(Projects!$C$2)-MONTH(Projects!$C$3)+1)+1),0))</f>
        <v/>
      </c>
      <c r="L22" s="17" t="str">
        <f aca="false">IF(B22="","",SUMPRODUCT('Phased Budget'!$H22:$AQ22*(YEAR('Phased Budget'!$H$5:$AQ$5)=YEAR(Projects!$C$2))))</f>
        <v/>
      </c>
      <c r="M22" s="17" t="str">
        <f aca="false">IF(B22="","",SUMPRODUCT('WIP Log'!$D22:$AM22*('WIP Log'!$D$5:$AM$5&lt;=Projects!$C$2)*(YEAR('WIP Log'!$D$5:$AM$5)=YEAR(Projects!$C$2)))+L22)</f>
        <v/>
      </c>
      <c r="N22" s="18" t="str">
        <f aca="false">IF(B22="","",IF(OR(D22="",E22="",G22=""),"Missing start / duration / contract",IF(OR(E22&lt;1,E22&gt;24),"Duration must be 1–24",IF(I22&lt;0,"WIP exceeds contract",IF(AND(J22=0,I22&lt;&gt;0),"Budget not phased: no remaining months",IF(AND(J22&gt;0,Phasing!G22=0,I22&lt;&gt;0),"Budget not phased: remaining weights are 0",IF(OR(D22&lt;Projects!$C$3,F22&gt;EDATE(Projects!$C$3,35)),"Partly outside timeline",IF(Phasing!H22=0,"OK","Weights entered beyond duration (ignored)"))))))))</f>
        <v/>
      </c>
    </row>
    <row r="23" customFormat="false" ht="15" hidden="false" customHeight="false" outlineLevel="0" collapsed="false">
      <c r="A23" s="11" t="n">
        <v>18</v>
      </c>
      <c r="B23" s="12"/>
      <c r="C23" s="12"/>
      <c r="D23" s="13"/>
      <c r="E23" s="12"/>
      <c r="F23" s="14" t="str">
        <f aca="false">IF(OR(D23="",E23=""),"",EDATE(D23,E23-1))</f>
        <v/>
      </c>
      <c r="G23" s="15"/>
      <c r="H23" s="16" t="str">
        <f aca="false">IF(B23="","",'WIP Log'!C23)</f>
        <v/>
      </c>
      <c r="I23" s="17" t="str">
        <f aca="false">IF(B23="","",N(G23)-N(H23))</f>
        <v/>
      </c>
      <c r="J23" s="17" t="str">
        <f aca="false">IF(OR(B23="",E23=""),"",MAX(0,E23-Phasing!F23+1))</f>
        <v/>
      </c>
      <c r="K23" s="17" t="str">
        <f aca="false">IF(B23="","",IF(AND(((YEAR(Projects!$C$2)-YEAR(Projects!$C$3))*12+MONTH(Projects!$C$2)-MONTH(Projects!$C$3)+1)+1&gt;=1,((YEAR(Projects!$C$2)-YEAR(Projects!$C$3))*12+MONTH(Projects!$C$2)-MONTH(Projects!$C$3)+1)+1&lt;=36),INDEX('Phased Budget'!$H23:$AQ23,((YEAR(Projects!$C$2)-YEAR(Projects!$C$3))*12+MONTH(Projects!$C$2)-MONTH(Projects!$C$3)+1)+1),0))</f>
        <v/>
      </c>
      <c r="L23" s="17" t="str">
        <f aca="false">IF(B23="","",SUMPRODUCT('Phased Budget'!$H23:$AQ23*(YEAR('Phased Budget'!$H$5:$AQ$5)=YEAR(Projects!$C$2))))</f>
        <v/>
      </c>
      <c r="M23" s="17" t="str">
        <f aca="false">IF(B23="","",SUMPRODUCT('WIP Log'!$D23:$AM23*('WIP Log'!$D$5:$AM$5&lt;=Projects!$C$2)*(YEAR('WIP Log'!$D$5:$AM$5)=YEAR(Projects!$C$2)))+L23)</f>
        <v/>
      </c>
      <c r="N23" s="18" t="str">
        <f aca="false">IF(B23="","",IF(OR(D23="",E23="",G23=""),"Missing start / duration / contract",IF(OR(E23&lt;1,E23&gt;24),"Duration must be 1–24",IF(I23&lt;0,"WIP exceeds contract",IF(AND(J23=0,I23&lt;&gt;0),"Budget not phased: no remaining months",IF(AND(J23&gt;0,Phasing!G23=0,I23&lt;&gt;0),"Budget not phased: remaining weights are 0",IF(OR(D23&lt;Projects!$C$3,F23&gt;EDATE(Projects!$C$3,35)),"Partly outside timeline",IF(Phasing!H23=0,"OK","Weights entered beyond duration (ignored)"))))))))</f>
        <v/>
      </c>
    </row>
    <row r="24" customFormat="false" ht="15" hidden="false" customHeight="false" outlineLevel="0" collapsed="false">
      <c r="A24" s="11" t="n">
        <v>19</v>
      </c>
      <c r="B24" s="12"/>
      <c r="C24" s="12"/>
      <c r="D24" s="13"/>
      <c r="E24" s="12"/>
      <c r="F24" s="14" t="str">
        <f aca="false">IF(OR(D24="",E24=""),"",EDATE(D24,E24-1))</f>
        <v/>
      </c>
      <c r="G24" s="15"/>
      <c r="H24" s="16" t="str">
        <f aca="false">IF(B24="","",'WIP Log'!C24)</f>
        <v/>
      </c>
      <c r="I24" s="17" t="str">
        <f aca="false">IF(B24="","",N(G24)-N(H24))</f>
        <v/>
      </c>
      <c r="J24" s="17" t="str">
        <f aca="false">IF(OR(B24="",E24=""),"",MAX(0,E24-Phasing!F24+1))</f>
        <v/>
      </c>
      <c r="K24" s="17" t="str">
        <f aca="false">IF(B24="","",IF(AND(((YEAR(Projects!$C$2)-YEAR(Projects!$C$3))*12+MONTH(Projects!$C$2)-MONTH(Projects!$C$3)+1)+1&gt;=1,((YEAR(Projects!$C$2)-YEAR(Projects!$C$3))*12+MONTH(Projects!$C$2)-MONTH(Projects!$C$3)+1)+1&lt;=36),INDEX('Phased Budget'!$H24:$AQ24,((YEAR(Projects!$C$2)-YEAR(Projects!$C$3))*12+MONTH(Projects!$C$2)-MONTH(Projects!$C$3)+1)+1),0))</f>
        <v/>
      </c>
      <c r="L24" s="17" t="str">
        <f aca="false">IF(B24="","",SUMPRODUCT('Phased Budget'!$H24:$AQ24*(YEAR('Phased Budget'!$H$5:$AQ$5)=YEAR(Projects!$C$2))))</f>
        <v/>
      </c>
      <c r="M24" s="17" t="str">
        <f aca="false">IF(B24="","",SUMPRODUCT('WIP Log'!$D24:$AM24*('WIP Log'!$D$5:$AM$5&lt;=Projects!$C$2)*(YEAR('WIP Log'!$D$5:$AM$5)=YEAR(Projects!$C$2)))+L24)</f>
        <v/>
      </c>
      <c r="N24" s="18" t="str">
        <f aca="false">IF(B24="","",IF(OR(D24="",E24="",G24=""),"Missing start / duration / contract",IF(OR(E24&lt;1,E24&gt;24),"Duration must be 1–24",IF(I24&lt;0,"WIP exceeds contract",IF(AND(J24=0,I24&lt;&gt;0),"Budget not phased: no remaining months",IF(AND(J24&gt;0,Phasing!G24=0,I24&lt;&gt;0),"Budget not phased: remaining weights are 0",IF(OR(D24&lt;Projects!$C$3,F24&gt;EDATE(Projects!$C$3,35)),"Partly outside timeline",IF(Phasing!H24=0,"OK","Weights entered beyond duration (ignored)"))))))))</f>
        <v/>
      </c>
    </row>
    <row r="25" customFormat="false" ht="15" hidden="false" customHeight="false" outlineLevel="0" collapsed="false">
      <c r="A25" s="11" t="n">
        <v>20</v>
      </c>
      <c r="B25" s="12"/>
      <c r="C25" s="12"/>
      <c r="D25" s="13"/>
      <c r="E25" s="12"/>
      <c r="F25" s="14" t="str">
        <f aca="false">IF(OR(D25="",E25=""),"",EDATE(D25,E25-1))</f>
        <v/>
      </c>
      <c r="G25" s="15"/>
      <c r="H25" s="16" t="str">
        <f aca="false">IF(B25="","",'WIP Log'!C25)</f>
        <v/>
      </c>
      <c r="I25" s="17" t="str">
        <f aca="false">IF(B25="","",N(G25)-N(H25))</f>
        <v/>
      </c>
      <c r="J25" s="17" t="str">
        <f aca="false">IF(OR(B25="",E25=""),"",MAX(0,E25-Phasing!F25+1))</f>
        <v/>
      </c>
      <c r="K25" s="17" t="str">
        <f aca="false">IF(B25="","",IF(AND(((YEAR(Projects!$C$2)-YEAR(Projects!$C$3))*12+MONTH(Projects!$C$2)-MONTH(Projects!$C$3)+1)+1&gt;=1,((YEAR(Projects!$C$2)-YEAR(Projects!$C$3))*12+MONTH(Projects!$C$2)-MONTH(Projects!$C$3)+1)+1&lt;=36),INDEX('Phased Budget'!$H25:$AQ25,((YEAR(Projects!$C$2)-YEAR(Projects!$C$3))*12+MONTH(Projects!$C$2)-MONTH(Projects!$C$3)+1)+1),0))</f>
        <v/>
      </c>
      <c r="L25" s="17" t="str">
        <f aca="false">IF(B25="","",SUMPRODUCT('Phased Budget'!$H25:$AQ25*(YEAR('Phased Budget'!$H$5:$AQ$5)=YEAR(Projects!$C$2))))</f>
        <v/>
      </c>
      <c r="M25" s="17" t="str">
        <f aca="false">IF(B25="","",SUMPRODUCT('WIP Log'!$D25:$AM25*('WIP Log'!$D$5:$AM$5&lt;=Projects!$C$2)*(YEAR('WIP Log'!$D$5:$AM$5)=YEAR(Projects!$C$2)))+L25)</f>
        <v/>
      </c>
      <c r="N25" s="18" t="str">
        <f aca="false">IF(B25="","",IF(OR(D25="",E25="",G25=""),"Missing start / duration / contract",IF(OR(E25&lt;1,E25&gt;24),"Duration must be 1–24",IF(I25&lt;0,"WIP exceeds contract",IF(AND(J25=0,I25&lt;&gt;0),"Budget not phased: no remaining months",IF(AND(J25&gt;0,Phasing!G25=0,I25&lt;&gt;0),"Budget not phased: remaining weights are 0",IF(OR(D25&lt;Projects!$C$3,F25&gt;EDATE(Projects!$C$3,35)),"Partly outside timeline",IF(Phasing!H25=0,"OK","Weights entered beyond duration (ignored)"))))))))</f>
        <v/>
      </c>
    </row>
    <row r="26" customFormat="false" ht="15" hidden="false" customHeight="false" outlineLevel="0" collapsed="false">
      <c r="A26" s="11" t="n">
        <v>21</v>
      </c>
      <c r="B26" s="12"/>
      <c r="C26" s="12"/>
      <c r="D26" s="13"/>
      <c r="E26" s="12"/>
      <c r="F26" s="14" t="str">
        <f aca="false">IF(OR(D26="",E26=""),"",EDATE(D26,E26-1))</f>
        <v/>
      </c>
      <c r="G26" s="15"/>
      <c r="H26" s="16" t="str">
        <f aca="false">IF(B26="","",'WIP Log'!C26)</f>
        <v/>
      </c>
      <c r="I26" s="17" t="str">
        <f aca="false">IF(B26="","",N(G26)-N(H26))</f>
        <v/>
      </c>
      <c r="J26" s="17" t="str">
        <f aca="false">IF(OR(B26="",E26=""),"",MAX(0,E26-Phasing!F26+1))</f>
        <v/>
      </c>
      <c r="K26" s="17" t="str">
        <f aca="false">IF(B26="","",IF(AND(((YEAR(Projects!$C$2)-YEAR(Projects!$C$3))*12+MONTH(Projects!$C$2)-MONTH(Projects!$C$3)+1)+1&gt;=1,((YEAR(Projects!$C$2)-YEAR(Projects!$C$3))*12+MONTH(Projects!$C$2)-MONTH(Projects!$C$3)+1)+1&lt;=36),INDEX('Phased Budget'!$H26:$AQ26,((YEAR(Projects!$C$2)-YEAR(Projects!$C$3))*12+MONTH(Projects!$C$2)-MONTH(Projects!$C$3)+1)+1),0))</f>
        <v/>
      </c>
      <c r="L26" s="17" t="str">
        <f aca="false">IF(B26="","",SUMPRODUCT('Phased Budget'!$H26:$AQ26*(YEAR('Phased Budget'!$H$5:$AQ$5)=YEAR(Projects!$C$2))))</f>
        <v/>
      </c>
      <c r="M26" s="17" t="str">
        <f aca="false">IF(B26="","",SUMPRODUCT('WIP Log'!$D26:$AM26*('WIP Log'!$D$5:$AM$5&lt;=Projects!$C$2)*(YEAR('WIP Log'!$D$5:$AM$5)=YEAR(Projects!$C$2)))+L26)</f>
        <v/>
      </c>
      <c r="N26" s="18" t="str">
        <f aca="false">IF(B26="","",IF(OR(D26="",E26="",G26=""),"Missing start / duration / contract",IF(OR(E26&lt;1,E26&gt;24),"Duration must be 1–24",IF(I26&lt;0,"WIP exceeds contract",IF(AND(J26=0,I26&lt;&gt;0),"Budget not phased: no remaining months",IF(AND(J26&gt;0,Phasing!G26=0,I26&lt;&gt;0),"Budget not phased: remaining weights are 0",IF(OR(D26&lt;Projects!$C$3,F26&gt;EDATE(Projects!$C$3,35)),"Partly outside timeline",IF(Phasing!H26=0,"OK","Weights entered beyond duration (ignored)"))))))))</f>
        <v/>
      </c>
    </row>
    <row r="27" customFormat="false" ht="15" hidden="false" customHeight="false" outlineLevel="0" collapsed="false">
      <c r="A27" s="11" t="n">
        <v>22</v>
      </c>
      <c r="B27" s="12"/>
      <c r="C27" s="12"/>
      <c r="D27" s="13"/>
      <c r="E27" s="12"/>
      <c r="F27" s="14" t="str">
        <f aca="false">IF(OR(D27="",E27=""),"",EDATE(D27,E27-1))</f>
        <v/>
      </c>
      <c r="G27" s="15"/>
      <c r="H27" s="16" t="str">
        <f aca="false">IF(B27="","",'WIP Log'!C27)</f>
        <v/>
      </c>
      <c r="I27" s="17" t="str">
        <f aca="false">IF(B27="","",N(G27)-N(H27))</f>
        <v/>
      </c>
      <c r="J27" s="17" t="str">
        <f aca="false">IF(OR(B27="",E27=""),"",MAX(0,E27-Phasing!F27+1))</f>
        <v/>
      </c>
      <c r="K27" s="17" t="str">
        <f aca="false">IF(B27="","",IF(AND(((YEAR(Projects!$C$2)-YEAR(Projects!$C$3))*12+MONTH(Projects!$C$2)-MONTH(Projects!$C$3)+1)+1&gt;=1,((YEAR(Projects!$C$2)-YEAR(Projects!$C$3))*12+MONTH(Projects!$C$2)-MONTH(Projects!$C$3)+1)+1&lt;=36),INDEX('Phased Budget'!$H27:$AQ27,((YEAR(Projects!$C$2)-YEAR(Projects!$C$3))*12+MONTH(Projects!$C$2)-MONTH(Projects!$C$3)+1)+1),0))</f>
        <v/>
      </c>
      <c r="L27" s="17" t="str">
        <f aca="false">IF(B27="","",SUMPRODUCT('Phased Budget'!$H27:$AQ27*(YEAR('Phased Budget'!$H$5:$AQ$5)=YEAR(Projects!$C$2))))</f>
        <v/>
      </c>
      <c r="M27" s="17" t="str">
        <f aca="false">IF(B27="","",SUMPRODUCT('WIP Log'!$D27:$AM27*('WIP Log'!$D$5:$AM$5&lt;=Projects!$C$2)*(YEAR('WIP Log'!$D$5:$AM$5)=YEAR(Projects!$C$2)))+L27)</f>
        <v/>
      </c>
      <c r="N27" s="18" t="str">
        <f aca="false">IF(B27="","",IF(OR(D27="",E27="",G27=""),"Missing start / duration / contract",IF(OR(E27&lt;1,E27&gt;24),"Duration must be 1–24",IF(I27&lt;0,"WIP exceeds contract",IF(AND(J27=0,I27&lt;&gt;0),"Budget not phased: no remaining months",IF(AND(J27&gt;0,Phasing!G27=0,I27&lt;&gt;0),"Budget not phased: remaining weights are 0",IF(OR(D27&lt;Projects!$C$3,F27&gt;EDATE(Projects!$C$3,35)),"Partly outside timeline",IF(Phasing!H27=0,"OK","Weights entered beyond duration (ignored)"))))))))</f>
        <v/>
      </c>
    </row>
    <row r="28" customFormat="false" ht="15" hidden="false" customHeight="false" outlineLevel="0" collapsed="false">
      <c r="A28" s="11" t="n">
        <v>23</v>
      </c>
      <c r="B28" s="12"/>
      <c r="C28" s="12"/>
      <c r="D28" s="13"/>
      <c r="E28" s="12"/>
      <c r="F28" s="14" t="str">
        <f aca="false">IF(OR(D28="",E28=""),"",EDATE(D28,E28-1))</f>
        <v/>
      </c>
      <c r="G28" s="15"/>
      <c r="H28" s="16" t="str">
        <f aca="false">IF(B28="","",'WIP Log'!C28)</f>
        <v/>
      </c>
      <c r="I28" s="17" t="str">
        <f aca="false">IF(B28="","",N(G28)-N(H28))</f>
        <v/>
      </c>
      <c r="J28" s="17" t="str">
        <f aca="false">IF(OR(B28="",E28=""),"",MAX(0,E28-Phasing!F28+1))</f>
        <v/>
      </c>
      <c r="K28" s="17" t="str">
        <f aca="false">IF(B28="","",IF(AND(((YEAR(Projects!$C$2)-YEAR(Projects!$C$3))*12+MONTH(Projects!$C$2)-MONTH(Projects!$C$3)+1)+1&gt;=1,((YEAR(Projects!$C$2)-YEAR(Projects!$C$3))*12+MONTH(Projects!$C$2)-MONTH(Projects!$C$3)+1)+1&lt;=36),INDEX('Phased Budget'!$H28:$AQ28,((YEAR(Projects!$C$2)-YEAR(Projects!$C$3))*12+MONTH(Projects!$C$2)-MONTH(Projects!$C$3)+1)+1),0))</f>
        <v/>
      </c>
      <c r="L28" s="17" t="str">
        <f aca="false">IF(B28="","",SUMPRODUCT('Phased Budget'!$H28:$AQ28*(YEAR('Phased Budget'!$H$5:$AQ$5)=YEAR(Projects!$C$2))))</f>
        <v/>
      </c>
      <c r="M28" s="17" t="str">
        <f aca="false">IF(B28="","",SUMPRODUCT('WIP Log'!$D28:$AM28*('WIP Log'!$D$5:$AM$5&lt;=Projects!$C$2)*(YEAR('WIP Log'!$D$5:$AM$5)=YEAR(Projects!$C$2)))+L28)</f>
        <v/>
      </c>
      <c r="N28" s="18" t="str">
        <f aca="false">IF(B28="","",IF(OR(D28="",E28="",G28=""),"Missing start / duration / contract",IF(OR(E28&lt;1,E28&gt;24),"Duration must be 1–24",IF(I28&lt;0,"WIP exceeds contract",IF(AND(J28=0,I28&lt;&gt;0),"Budget not phased: no remaining months",IF(AND(J28&gt;0,Phasing!G28=0,I28&lt;&gt;0),"Budget not phased: remaining weights are 0",IF(OR(D28&lt;Projects!$C$3,F28&gt;EDATE(Projects!$C$3,35)),"Partly outside timeline",IF(Phasing!H28=0,"OK","Weights entered beyond duration (ignored)"))))))))</f>
        <v/>
      </c>
    </row>
    <row r="29" customFormat="false" ht="15" hidden="false" customHeight="false" outlineLevel="0" collapsed="false">
      <c r="A29" s="11" t="n">
        <v>24</v>
      </c>
      <c r="B29" s="12"/>
      <c r="C29" s="12"/>
      <c r="D29" s="13"/>
      <c r="E29" s="12"/>
      <c r="F29" s="14" t="str">
        <f aca="false">IF(OR(D29="",E29=""),"",EDATE(D29,E29-1))</f>
        <v/>
      </c>
      <c r="G29" s="15"/>
      <c r="H29" s="16" t="str">
        <f aca="false">IF(B29="","",'WIP Log'!C29)</f>
        <v/>
      </c>
      <c r="I29" s="17" t="str">
        <f aca="false">IF(B29="","",N(G29)-N(H29))</f>
        <v/>
      </c>
      <c r="J29" s="17" t="str">
        <f aca="false">IF(OR(B29="",E29=""),"",MAX(0,E29-Phasing!F29+1))</f>
        <v/>
      </c>
      <c r="K29" s="17" t="str">
        <f aca="false">IF(B29="","",IF(AND(((YEAR(Projects!$C$2)-YEAR(Projects!$C$3))*12+MONTH(Projects!$C$2)-MONTH(Projects!$C$3)+1)+1&gt;=1,((YEAR(Projects!$C$2)-YEAR(Projects!$C$3))*12+MONTH(Projects!$C$2)-MONTH(Projects!$C$3)+1)+1&lt;=36),INDEX('Phased Budget'!$H29:$AQ29,((YEAR(Projects!$C$2)-YEAR(Projects!$C$3))*12+MONTH(Projects!$C$2)-MONTH(Projects!$C$3)+1)+1),0))</f>
        <v/>
      </c>
      <c r="L29" s="17" t="str">
        <f aca="false">IF(B29="","",SUMPRODUCT('Phased Budget'!$H29:$AQ29*(YEAR('Phased Budget'!$H$5:$AQ$5)=YEAR(Projects!$C$2))))</f>
        <v/>
      </c>
      <c r="M29" s="17" t="str">
        <f aca="false">IF(B29="","",SUMPRODUCT('WIP Log'!$D29:$AM29*('WIP Log'!$D$5:$AM$5&lt;=Projects!$C$2)*(YEAR('WIP Log'!$D$5:$AM$5)=YEAR(Projects!$C$2)))+L29)</f>
        <v/>
      </c>
      <c r="N29" s="18" t="str">
        <f aca="false">IF(B29="","",IF(OR(D29="",E29="",G29=""),"Missing start / duration / contract",IF(OR(E29&lt;1,E29&gt;24),"Duration must be 1–24",IF(I29&lt;0,"WIP exceeds contract",IF(AND(J29=0,I29&lt;&gt;0),"Budget not phased: no remaining months",IF(AND(J29&gt;0,Phasing!G29=0,I29&lt;&gt;0),"Budget not phased: remaining weights are 0",IF(OR(D29&lt;Projects!$C$3,F29&gt;EDATE(Projects!$C$3,35)),"Partly outside timeline",IF(Phasing!H29=0,"OK","Weights entered beyond duration (ignored)"))))))))</f>
        <v/>
      </c>
    </row>
    <row r="30" customFormat="false" ht="15" hidden="false" customHeight="false" outlineLevel="0" collapsed="false">
      <c r="A30" s="11" t="n">
        <v>25</v>
      </c>
      <c r="B30" s="12"/>
      <c r="C30" s="12"/>
      <c r="D30" s="13"/>
      <c r="E30" s="12"/>
      <c r="F30" s="14" t="str">
        <f aca="false">IF(OR(D30="",E30=""),"",EDATE(D30,E30-1))</f>
        <v/>
      </c>
      <c r="G30" s="15"/>
      <c r="H30" s="16" t="str">
        <f aca="false">IF(B30="","",'WIP Log'!C30)</f>
        <v/>
      </c>
      <c r="I30" s="17" t="str">
        <f aca="false">IF(B30="","",N(G30)-N(H30))</f>
        <v/>
      </c>
      <c r="J30" s="17" t="str">
        <f aca="false">IF(OR(B30="",E30=""),"",MAX(0,E30-Phasing!F30+1))</f>
        <v/>
      </c>
      <c r="K30" s="17" t="str">
        <f aca="false">IF(B30="","",IF(AND(((YEAR(Projects!$C$2)-YEAR(Projects!$C$3))*12+MONTH(Projects!$C$2)-MONTH(Projects!$C$3)+1)+1&gt;=1,((YEAR(Projects!$C$2)-YEAR(Projects!$C$3))*12+MONTH(Projects!$C$2)-MONTH(Projects!$C$3)+1)+1&lt;=36),INDEX('Phased Budget'!$H30:$AQ30,((YEAR(Projects!$C$2)-YEAR(Projects!$C$3))*12+MONTH(Projects!$C$2)-MONTH(Projects!$C$3)+1)+1),0))</f>
        <v/>
      </c>
      <c r="L30" s="17" t="str">
        <f aca="false">IF(B30="","",SUMPRODUCT('Phased Budget'!$H30:$AQ30*(YEAR('Phased Budget'!$H$5:$AQ$5)=YEAR(Projects!$C$2))))</f>
        <v/>
      </c>
      <c r="M30" s="17" t="str">
        <f aca="false">IF(B30="","",SUMPRODUCT('WIP Log'!$D30:$AM30*('WIP Log'!$D$5:$AM$5&lt;=Projects!$C$2)*(YEAR('WIP Log'!$D$5:$AM$5)=YEAR(Projects!$C$2)))+L30)</f>
        <v/>
      </c>
      <c r="N30" s="18" t="str">
        <f aca="false">IF(B30="","",IF(OR(D30="",E30="",G30=""),"Missing start / duration / contract",IF(OR(E30&lt;1,E30&gt;24),"Duration must be 1–24",IF(I30&lt;0,"WIP exceeds contract",IF(AND(J30=0,I30&lt;&gt;0),"Budget not phased: no remaining months",IF(AND(J30&gt;0,Phasing!G30=0,I30&lt;&gt;0),"Budget not phased: remaining weights are 0",IF(OR(D30&lt;Projects!$C$3,F30&gt;EDATE(Projects!$C$3,35)),"Partly outside timeline",IF(Phasing!H30=0,"OK","Weights entered beyond duration (ignored)"))))))))</f>
        <v/>
      </c>
    </row>
    <row r="31" customFormat="false" ht="15" hidden="false" customHeight="false" outlineLevel="0" collapsed="false">
      <c r="A31" s="11" t="n">
        <v>26</v>
      </c>
      <c r="B31" s="12"/>
      <c r="C31" s="12"/>
      <c r="D31" s="13"/>
      <c r="E31" s="12"/>
      <c r="F31" s="14" t="str">
        <f aca="false">IF(OR(D31="",E31=""),"",EDATE(D31,E31-1))</f>
        <v/>
      </c>
      <c r="G31" s="15"/>
      <c r="H31" s="16" t="str">
        <f aca="false">IF(B31="","",'WIP Log'!C31)</f>
        <v/>
      </c>
      <c r="I31" s="17" t="str">
        <f aca="false">IF(B31="","",N(G31)-N(H31))</f>
        <v/>
      </c>
      <c r="J31" s="17" t="str">
        <f aca="false">IF(OR(B31="",E31=""),"",MAX(0,E31-Phasing!F31+1))</f>
        <v/>
      </c>
      <c r="K31" s="17" t="str">
        <f aca="false">IF(B31="","",IF(AND(((YEAR(Projects!$C$2)-YEAR(Projects!$C$3))*12+MONTH(Projects!$C$2)-MONTH(Projects!$C$3)+1)+1&gt;=1,((YEAR(Projects!$C$2)-YEAR(Projects!$C$3))*12+MONTH(Projects!$C$2)-MONTH(Projects!$C$3)+1)+1&lt;=36),INDEX('Phased Budget'!$H31:$AQ31,((YEAR(Projects!$C$2)-YEAR(Projects!$C$3))*12+MONTH(Projects!$C$2)-MONTH(Projects!$C$3)+1)+1),0))</f>
        <v/>
      </c>
      <c r="L31" s="17" t="str">
        <f aca="false">IF(B31="","",SUMPRODUCT('Phased Budget'!$H31:$AQ31*(YEAR('Phased Budget'!$H$5:$AQ$5)=YEAR(Projects!$C$2))))</f>
        <v/>
      </c>
      <c r="M31" s="17" t="str">
        <f aca="false">IF(B31="","",SUMPRODUCT('WIP Log'!$D31:$AM31*('WIP Log'!$D$5:$AM$5&lt;=Projects!$C$2)*(YEAR('WIP Log'!$D$5:$AM$5)=YEAR(Projects!$C$2)))+L31)</f>
        <v/>
      </c>
      <c r="N31" s="18" t="str">
        <f aca="false">IF(B31="","",IF(OR(D31="",E31="",G31=""),"Missing start / duration / contract",IF(OR(E31&lt;1,E31&gt;24),"Duration must be 1–24",IF(I31&lt;0,"WIP exceeds contract",IF(AND(J31=0,I31&lt;&gt;0),"Budget not phased: no remaining months",IF(AND(J31&gt;0,Phasing!G31=0,I31&lt;&gt;0),"Budget not phased: remaining weights are 0",IF(OR(D31&lt;Projects!$C$3,F31&gt;EDATE(Projects!$C$3,35)),"Partly outside timeline",IF(Phasing!H31=0,"OK","Weights entered beyond duration (ignored)"))))))))</f>
        <v/>
      </c>
    </row>
    <row r="32" customFormat="false" ht="15" hidden="false" customHeight="false" outlineLevel="0" collapsed="false">
      <c r="A32" s="11" t="n">
        <v>27</v>
      </c>
      <c r="B32" s="12"/>
      <c r="C32" s="12"/>
      <c r="D32" s="13"/>
      <c r="E32" s="12"/>
      <c r="F32" s="14" t="str">
        <f aca="false">IF(OR(D32="",E32=""),"",EDATE(D32,E32-1))</f>
        <v/>
      </c>
      <c r="G32" s="15"/>
      <c r="H32" s="16" t="str">
        <f aca="false">IF(B32="","",'WIP Log'!C32)</f>
        <v/>
      </c>
      <c r="I32" s="17" t="str">
        <f aca="false">IF(B32="","",N(G32)-N(H32))</f>
        <v/>
      </c>
      <c r="J32" s="17" t="str">
        <f aca="false">IF(OR(B32="",E32=""),"",MAX(0,E32-Phasing!F32+1))</f>
        <v/>
      </c>
      <c r="K32" s="17" t="str">
        <f aca="false">IF(B32="","",IF(AND(((YEAR(Projects!$C$2)-YEAR(Projects!$C$3))*12+MONTH(Projects!$C$2)-MONTH(Projects!$C$3)+1)+1&gt;=1,((YEAR(Projects!$C$2)-YEAR(Projects!$C$3))*12+MONTH(Projects!$C$2)-MONTH(Projects!$C$3)+1)+1&lt;=36),INDEX('Phased Budget'!$H32:$AQ32,((YEAR(Projects!$C$2)-YEAR(Projects!$C$3))*12+MONTH(Projects!$C$2)-MONTH(Projects!$C$3)+1)+1),0))</f>
        <v/>
      </c>
      <c r="L32" s="17" t="str">
        <f aca="false">IF(B32="","",SUMPRODUCT('Phased Budget'!$H32:$AQ32*(YEAR('Phased Budget'!$H$5:$AQ$5)=YEAR(Projects!$C$2))))</f>
        <v/>
      </c>
      <c r="M32" s="17" t="str">
        <f aca="false">IF(B32="","",SUMPRODUCT('WIP Log'!$D32:$AM32*('WIP Log'!$D$5:$AM$5&lt;=Projects!$C$2)*(YEAR('WIP Log'!$D$5:$AM$5)=YEAR(Projects!$C$2)))+L32)</f>
        <v/>
      </c>
      <c r="N32" s="18" t="str">
        <f aca="false">IF(B32="","",IF(OR(D32="",E32="",G32=""),"Missing start / duration / contract",IF(OR(E32&lt;1,E32&gt;24),"Duration must be 1–24",IF(I32&lt;0,"WIP exceeds contract",IF(AND(J32=0,I32&lt;&gt;0),"Budget not phased: no remaining months",IF(AND(J32&gt;0,Phasing!G32=0,I32&lt;&gt;0),"Budget not phased: remaining weights are 0",IF(OR(D32&lt;Projects!$C$3,F32&gt;EDATE(Projects!$C$3,35)),"Partly outside timeline",IF(Phasing!H32=0,"OK","Weights entered beyond duration (ignored)"))))))))</f>
        <v/>
      </c>
    </row>
    <row r="33" customFormat="false" ht="15" hidden="false" customHeight="false" outlineLevel="0" collapsed="false">
      <c r="A33" s="11" t="n">
        <v>28</v>
      </c>
      <c r="B33" s="12"/>
      <c r="C33" s="12"/>
      <c r="D33" s="13"/>
      <c r="E33" s="12"/>
      <c r="F33" s="14" t="str">
        <f aca="false">IF(OR(D33="",E33=""),"",EDATE(D33,E33-1))</f>
        <v/>
      </c>
      <c r="G33" s="15"/>
      <c r="H33" s="16" t="str">
        <f aca="false">IF(B33="","",'WIP Log'!C33)</f>
        <v/>
      </c>
      <c r="I33" s="17" t="str">
        <f aca="false">IF(B33="","",N(G33)-N(H33))</f>
        <v/>
      </c>
      <c r="J33" s="17" t="str">
        <f aca="false">IF(OR(B33="",E33=""),"",MAX(0,E33-Phasing!F33+1))</f>
        <v/>
      </c>
      <c r="K33" s="17" t="str">
        <f aca="false">IF(B33="","",IF(AND(((YEAR(Projects!$C$2)-YEAR(Projects!$C$3))*12+MONTH(Projects!$C$2)-MONTH(Projects!$C$3)+1)+1&gt;=1,((YEAR(Projects!$C$2)-YEAR(Projects!$C$3))*12+MONTH(Projects!$C$2)-MONTH(Projects!$C$3)+1)+1&lt;=36),INDEX('Phased Budget'!$H33:$AQ33,((YEAR(Projects!$C$2)-YEAR(Projects!$C$3))*12+MONTH(Projects!$C$2)-MONTH(Projects!$C$3)+1)+1),0))</f>
        <v/>
      </c>
      <c r="L33" s="17" t="str">
        <f aca="false">IF(B33="","",SUMPRODUCT('Phased Budget'!$H33:$AQ33*(YEAR('Phased Budget'!$H$5:$AQ$5)=YEAR(Projects!$C$2))))</f>
        <v/>
      </c>
      <c r="M33" s="17" t="str">
        <f aca="false">IF(B33="","",SUMPRODUCT('WIP Log'!$D33:$AM33*('WIP Log'!$D$5:$AM$5&lt;=Projects!$C$2)*(YEAR('WIP Log'!$D$5:$AM$5)=YEAR(Projects!$C$2)))+L33)</f>
        <v/>
      </c>
      <c r="N33" s="18" t="str">
        <f aca="false">IF(B33="","",IF(OR(D33="",E33="",G33=""),"Missing start / duration / contract",IF(OR(E33&lt;1,E33&gt;24),"Duration must be 1–24",IF(I33&lt;0,"WIP exceeds contract",IF(AND(J33=0,I33&lt;&gt;0),"Budget not phased: no remaining months",IF(AND(J33&gt;0,Phasing!G33=0,I33&lt;&gt;0),"Budget not phased: remaining weights are 0",IF(OR(D33&lt;Projects!$C$3,F33&gt;EDATE(Projects!$C$3,35)),"Partly outside timeline",IF(Phasing!H33=0,"OK","Weights entered beyond duration (ignored)"))))))))</f>
        <v/>
      </c>
    </row>
    <row r="34" customFormat="false" ht="15" hidden="false" customHeight="false" outlineLevel="0" collapsed="false">
      <c r="A34" s="11" t="n">
        <v>29</v>
      </c>
      <c r="B34" s="12"/>
      <c r="C34" s="12"/>
      <c r="D34" s="13"/>
      <c r="E34" s="12"/>
      <c r="F34" s="14" t="str">
        <f aca="false">IF(OR(D34="",E34=""),"",EDATE(D34,E34-1))</f>
        <v/>
      </c>
      <c r="G34" s="15"/>
      <c r="H34" s="16" t="str">
        <f aca="false">IF(B34="","",'WIP Log'!C34)</f>
        <v/>
      </c>
      <c r="I34" s="17" t="str">
        <f aca="false">IF(B34="","",N(G34)-N(H34))</f>
        <v/>
      </c>
      <c r="J34" s="17" t="str">
        <f aca="false">IF(OR(B34="",E34=""),"",MAX(0,E34-Phasing!F34+1))</f>
        <v/>
      </c>
      <c r="K34" s="17" t="str">
        <f aca="false">IF(B34="","",IF(AND(((YEAR(Projects!$C$2)-YEAR(Projects!$C$3))*12+MONTH(Projects!$C$2)-MONTH(Projects!$C$3)+1)+1&gt;=1,((YEAR(Projects!$C$2)-YEAR(Projects!$C$3))*12+MONTH(Projects!$C$2)-MONTH(Projects!$C$3)+1)+1&lt;=36),INDEX('Phased Budget'!$H34:$AQ34,((YEAR(Projects!$C$2)-YEAR(Projects!$C$3))*12+MONTH(Projects!$C$2)-MONTH(Projects!$C$3)+1)+1),0))</f>
        <v/>
      </c>
      <c r="L34" s="17" t="str">
        <f aca="false">IF(B34="","",SUMPRODUCT('Phased Budget'!$H34:$AQ34*(YEAR('Phased Budget'!$H$5:$AQ$5)=YEAR(Projects!$C$2))))</f>
        <v/>
      </c>
      <c r="M34" s="17" t="str">
        <f aca="false">IF(B34="","",SUMPRODUCT('WIP Log'!$D34:$AM34*('WIP Log'!$D$5:$AM$5&lt;=Projects!$C$2)*(YEAR('WIP Log'!$D$5:$AM$5)=YEAR(Projects!$C$2)))+L34)</f>
        <v/>
      </c>
      <c r="N34" s="18" t="str">
        <f aca="false">IF(B34="","",IF(OR(D34="",E34="",G34=""),"Missing start / duration / contract",IF(OR(E34&lt;1,E34&gt;24),"Duration must be 1–24",IF(I34&lt;0,"WIP exceeds contract",IF(AND(J34=0,I34&lt;&gt;0),"Budget not phased: no remaining months",IF(AND(J34&gt;0,Phasing!G34=0,I34&lt;&gt;0),"Budget not phased: remaining weights are 0",IF(OR(D34&lt;Projects!$C$3,F34&gt;EDATE(Projects!$C$3,35)),"Partly outside timeline",IF(Phasing!H34=0,"OK","Weights entered beyond duration (ignored)"))))))))</f>
        <v/>
      </c>
    </row>
    <row r="35" customFormat="false" ht="15" hidden="false" customHeight="false" outlineLevel="0" collapsed="false">
      <c r="A35" s="11" t="n">
        <v>30</v>
      </c>
      <c r="B35" s="12"/>
      <c r="C35" s="12"/>
      <c r="D35" s="13"/>
      <c r="E35" s="12"/>
      <c r="F35" s="14" t="str">
        <f aca="false">IF(OR(D35="",E35=""),"",EDATE(D35,E35-1))</f>
        <v/>
      </c>
      <c r="G35" s="15"/>
      <c r="H35" s="16" t="str">
        <f aca="false">IF(B35="","",'WIP Log'!C35)</f>
        <v/>
      </c>
      <c r="I35" s="17" t="str">
        <f aca="false">IF(B35="","",N(G35)-N(H35))</f>
        <v/>
      </c>
      <c r="J35" s="17" t="str">
        <f aca="false">IF(OR(B35="",E35=""),"",MAX(0,E35-Phasing!F35+1))</f>
        <v/>
      </c>
      <c r="K35" s="17" t="str">
        <f aca="false">IF(B35="","",IF(AND(((YEAR(Projects!$C$2)-YEAR(Projects!$C$3))*12+MONTH(Projects!$C$2)-MONTH(Projects!$C$3)+1)+1&gt;=1,((YEAR(Projects!$C$2)-YEAR(Projects!$C$3))*12+MONTH(Projects!$C$2)-MONTH(Projects!$C$3)+1)+1&lt;=36),INDEX('Phased Budget'!$H35:$AQ35,((YEAR(Projects!$C$2)-YEAR(Projects!$C$3))*12+MONTH(Projects!$C$2)-MONTH(Projects!$C$3)+1)+1),0))</f>
        <v/>
      </c>
      <c r="L35" s="17" t="str">
        <f aca="false">IF(B35="","",SUMPRODUCT('Phased Budget'!$H35:$AQ35*(YEAR('Phased Budget'!$H$5:$AQ$5)=YEAR(Projects!$C$2))))</f>
        <v/>
      </c>
      <c r="M35" s="17" t="str">
        <f aca="false">IF(B35="","",SUMPRODUCT('WIP Log'!$D35:$AM35*('WIP Log'!$D$5:$AM$5&lt;=Projects!$C$2)*(YEAR('WIP Log'!$D$5:$AM$5)=YEAR(Projects!$C$2)))+L35)</f>
        <v/>
      </c>
      <c r="N35" s="18" t="str">
        <f aca="false">IF(B35="","",IF(OR(D35="",E35="",G35=""),"Missing start / duration / contract",IF(OR(E35&lt;1,E35&gt;24),"Duration must be 1–24",IF(I35&lt;0,"WIP exceeds contract",IF(AND(J35=0,I35&lt;&gt;0),"Budget not phased: no remaining months",IF(AND(J35&gt;0,Phasing!G35=0,I35&lt;&gt;0),"Budget not phased: remaining weights are 0",IF(OR(D35&lt;Projects!$C$3,F35&gt;EDATE(Projects!$C$3,35)),"Partly outside timeline",IF(Phasing!H35=0,"OK","Weights entered beyond duration (ignored)"))))))))</f>
        <v/>
      </c>
    </row>
    <row r="36" customFormat="false" ht="15" hidden="false" customHeight="false" outlineLevel="0" collapsed="false">
      <c r="A36" s="11" t="n">
        <v>31</v>
      </c>
      <c r="B36" s="12"/>
      <c r="C36" s="12"/>
      <c r="D36" s="13"/>
      <c r="E36" s="12"/>
      <c r="F36" s="14" t="str">
        <f aca="false">IF(OR(D36="",E36=""),"",EDATE(D36,E36-1))</f>
        <v/>
      </c>
      <c r="G36" s="15"/>
      <c r="H36" s="16" t="str">
        <f aca="false">IF(B36="","",'WIP Log'!C36)</f>
        <v/>
      </c>
      <c r="I36" s="17" t="str">
        <f aca="false">IF(B36="","",N(G36)-N(H36))</f>
        <v/>
      </c>
      <c r="J36" s="17" t="str">
        <f aca="false">IF(OR(B36="",E36=""),"",MAX(0,E36-Phasing!F36+1))</f>
        <v/>
      </c>
      <c r="K36" s="17" t="str">
        <f aca="false">IF(B36="","",IF(AND(((YEAR(Projects!$C$2)-YEAR(Projects!$C$3))*12+MONTH(Projects!$C$2)-MONTH(Projects!$C$3)+1)+1&gt;=1,((YEAR(Projects!$C$2)-YEAR(Projects!$C$3))*12+MONTH(Projects!$C$2)-MONTH(Projects!$C$3)+1)+1&lt;=36),INDEX('Phased Budget'!$H36:$AQ36,((YEAR(Projects!$C$2)-YEAR(Projects!$C$3))*12+MONTH(Projects!$C$2)-MONTH(Projects!$C$3)+1)+1),0))</f>
        <v/>
      </c>
      <c r="L36" s="17" t="str">
        <f aca="false">IF(B36="","",SUMPRODUCT('Phased Budget'!$H36:$AQ36*(YEAR('Phased Budget'!$H$5:$AQ$5)=YEAR(Projects!$C$2))))</f>
        <v/>
      </c>
      <c r="M36" s="17" t="str">
        <f aca="false">IF(B36="","",SUMPRODUCT('WIP Log'!$D36:$AM36*('WIP Log'!$D$5:$AM$5&lt;=Projects!$C$2)*(YEAR('WIP Log'!$D$5:$AM$5)=YEAR(Projects!$C$2)))+L36)</f>
        <v/>
      </c>
      <c r="N36" s="18" t="str">
        <f aca="false">IF(B36="","",IF(OR(D36="",E36="",G36=""),"Missing start / duration / contract",IF(OR(E36&lt;1,E36&gt;24),"Duration must be 1–24",IF(I36&lt;0,"WIP exceeds contract",IF(AND(J36=0,I36&lt;&gt;0),"Budget not phased: no remaining months",IF(AND(J36&gt;0,Phasing!G36=0,I36&lt;&gt;0),"Budget not phased: remaining weights are 0",IF(OR(D36&lt;Projects!$C$3,F36&gt;EDATE(Projects!$C$3,35)),"Partly outside timeline",IF(Phasing!H36=0,"OK","Weights entered beyond duration (ignored)"))))))))</f>
        <v/>
      </c>
    </row>
    <row r="37" customFormat="false" ht="15" hidden="false" customHeight="false" outlineLevel="0" collapsed="false">
      <c r="A37" s="11" t="n">
        <v>32</v>
      </c>
      <c r="B37" s="12"/>
      <c r="C37" s="12"/>
      <c r="D37" s="13"/>
      <c r="E37" s="12"/>
      <c r="F37" s="14" t="str">
        <f aca="false">IF(OR(D37="",E37=""),"",EDATE(D37,E37-1))</f>
        <v/>
      </c>
      <c r="G37" s="15"/>
      <c r="H37" s="16" t="str">
        <f aca="false">IF(B37="","",'WIP Log'!C37)</f>
        <v/>
      </c>
      <c r="I37" s="17" t="str">
        <f aca="false">IF(B37="","",N(G37)-N(H37))</f>
        <v/>
      </c>
      <c r="J37" s="17" t="str">
        <f aca="false">IF(OR(B37="",E37=""),"",MAX(0,E37-Phasing!F37+1))</f>
        <v/>
      </c>
      <c r="K37" s="17" t="str">
        <f aca="false">IF(B37="","",IF(AND(((YEAR(Projects!$C$2)-YEAR(Projects!$C$3))*12+MONTH(Projects!$C$2)-MONTH(Projects!$C$3)+1)+1&gt;=1,((YEAR(Projects!$C$2)-YEAR(Projects!$C$3))*12+MONTH(Projects!$C$2)-MONTH(Projects!$C$3)+1)+1&lt;=36),INDEX('Phased Budget'!$H37:$AQ37,((YEAR(Projects!$C$2)-YEAR(Projects!$C$3))*12+MONTH(Projects!$C$2)-MONTH(Projects!$C$3)+1)+1),0))</f>
        <v/>
      </c>
      <c r="L37" s="17" t="str">
        <f aca="false">IF(B37="","",SUMPRODUCT('Phased Budget'!$H37:$AQ37*(YEAR('Phased Budget'!$H$5:$AQ$5)=YEAR(Projects!$C$2))))</f>
        <v/>
      </c>
      <c r="M37" s="17" t="str">
        <f aca="false">IF(B37="","",SUMPRODUCT('WIP Log'!$D37:$AM37*('WIP Log'!$D$5:$AM$5&lt;=Projects!$C$2)*(YEAR('WIP Log'!$D$5:$AM$5)=YEAR(Projects!$C$2)))+L37)</f>
        <v/>
      </c>
      <c r="N37" s="18" t="str">
        <f aca="false">IF(B37="","",IF(OR(D37="",E37="",G37=""),"Missing start / duration / contract",IF(OR(E37&lt;1,E37&gt;24),"Duration must be 1–24",IF(I37&lt;0,"WIP exceeds contract",IF(AND(J37=0,I37&lt;&gt;0),"Budget not phased: no remaining months",IF(AND(J37&gt;0,Phasing!G37=0,I37&lt;&gt;0),"Budget not phased: remaining weights are 0",IF(OR(D37&lt;Projects!$C$3,F37&gt;EDATE(Projects!$C$3,35)),"Partly outside timeline",IF(Phasing!H37=0,"OK","Weights entered beyond duration (ignored)"))))))))</f>
        <v/>
      </c>
    </row>
    <row r="38" customFormat="false" ht="15" hidden="false" customHeight="false" outlineLevel="0" collapsed="false">
      <c r="A38" s="11" t="n">
        <v>33</v>
      </c>
      <c r="B38" s="12"/>
      <c r="C38" s="12"/>
      <c r="D38" s="13"/>
      <c r="E38" s="12"/>
      <c r="F38" s="14" t="str">
        <f aca="false">IF(OR(D38="",E38=""),"",EDATE(D38,E38-1))</f>
        <v/>
      </c>
      <c r="G38" s="15"/>
      <c r="H38" s="16" t="str">
        <f aca="false">IF(B38="","",'WIP Log'!C38)</f>
        <v/>
      </c>
      <c r="I38" s="17" t="str">
        <f aca="false">IF(B38="","",N(G38)-N(H38))</f>
        <v/>
      </c>
      <c r="J38" s="17" t="str">
        <f aca="false">IF(OR(B38="",E38=""),"",MAX(0,E38-Phasing!F38+1))</f>
        <v/>
      </c>
      <c r="K38" s="17" t="str">
        <f aca="false">IF(B38="","",IF(AND(((YEAR(Projects!$C$2)-YEAR(Projects!$C$3))*12+MONTH(Projects!$C$2)-MONTH(Projects!$C$3)+1)+1&gt;=1,((YEAR(Projects!$C$2)-YEAR(Projects!$C$3))*12+MONTH(Projects!$C$2)-MONTH(Projects!$C$3)+1)+1&lt;=36),INDEX('Phased Budget'!$H38:$AQ38,((YEAR(Projects!$C$2)-YEAR(Projects!$C$3))*12+MONTH(Projects!$C$2)-MONTH(Projects!$C$3)+1)+1),0))</f>
        <v/>
      </c>
      <c r="L38" s="17" t="str">
        <f aca="false">IF(B38="","",SUMPRODUCT('Phased Budget'!$H38:$AQ38*(YEAR('Phased Budget'!$H$5:$AQ$5)=YEAR(Projects!$C$2))))</f>
        <v/>
      </c>
      <c r="M38" s="17" t="str">
        <f aca="false">IF(B38="","",SUMPRODUCT('WIP Log'!$D38:$AM38*('WIP Log'!$D$5:$AM$5&lt;=Projects!$C$2)*(YEAR('WIP Log'!$D$5:$AM$5)=YEAR(Projects!$C$2)))+L38)</f>
        <v/>
      </c>
      <c r="N38" s="18" t="str">
        <f aca="false">IF(B38="","",IF(OR(D38="",E38="",G38=""),"Missing start / duration / contract",IF(OR(E38&lt;1,E38&gt;24),"Duration must be 1–24",IF(I38&lt;0,"WIP exceeds contract",IF(AND(J38=0,I38&lt;&gt;0),"Budget not phased: no remaining months",IF(AND(J38&gt;0,Phasing!G38=0,I38&lt;&gt;0),"Budget not phased: remaining weights are 0",IF(OR(D38&lt;Projects!$C$3,F38&gt;EDATE(Projects!$C$3,35)),"Partly outside timeline",IF(Phasing!H38=0,"OK","Weights entered beyond duration (ignored)"))))))))</f>
        <v/>
      </c>
    </row>
    <row r="39" customFormat="false" ht="15" hidden="false" customHeight="false" outlineLevel="0" collapsed="false">
      <c r="A39" s="11" t="n">
        <v>34</v>
      </c>
      <c r="B39" s="12"/>
      <c r="C39" s="12"/>
      <c r="D39" s="13"/>
      <c r="E39" s="12"/>
      <c r="F39" s="14" t="str">
        <f aca="false">IF(OR(D39="",E39=""),"",EDATE(D39,E39-1))</f>
        <v/>
      </c>
      <c r="G39" s="15"/>
      <c r="H39" s="16" t="str">
        <f aca="false">IF(B39="","",'WIP Log'!C39)</f>
        <v/>
      </c>
      <c r="I39" s="17" t="str">
        <f aca="false">IF(B39="","",N(G39)-N(H39))</f>
        <v/>
      </c>
      <c r="J39" s="17" t="str">
        <f aca="false">IF(OR(B39="",E39=""),"",MAX(0,E39-Phasing!F39+1))</f>
        <v/>
      </c>
      <c r="K39" s="17" t="str">
        <f aca="false">IF(B39="","",IF(AND(((YEAR(Projects!$C$2)-YEAR(Projects!$C$3))*12+MONTH(Projects!$C$2)-MONTH(Projects!$C$3)+1)+1&gt;=1,((YEAR(Projects!$C$2)-YEAR(Projects!$C$3))*12+MONTH(Projects!$C$2)-MONTH(Projects!$C$3)+1)+1&lt;=36),INDEX('Phased Budget'!$H39:$AQ39,((YEAR(Projects!$C$2)-YEAR(Projects!$C$3))*12+MONTH(Projects!$C$2)-MONTH(Projects!$C$3)+1)+1),0))</f>
        <v/>
      </c>
      <c r="L39" s="17" t="str">
        <f aca="false">IF(B39="","",SUMPRODUCT('Phased Budget'!$H39:$AQ39*(YEAR('Phased Budget'!$H$5:$AQ$5)=YEAR(Projects!$C$2))))</f>
        <v/>
      </c>
      <c r="M39" s="17" t="str">
        <f aca="false">IF(B39="","",SUMPRODUCT('WIP Log'!$D39:$AM39*('WIP Log'!$D$5:$AM$5&lt;=Projects!$C$2)*(YEAR('WIP Log'!$D$5:$AM$5)=YEAR(Projects!$C$2)))+L39)</f>
        <v/>
      </c>
      <c r="N39" s="18" t="str">
        <f aca="false">IF(B39="","",IF(OR(D39="",E39="",G39=""),"Missing start / duration / contract",IF(OR(E39&lt;1,E39&gt;24),"Duration must be 1–24",IF(I39&lt;0,"WIP exceeds contract",IF(AND(J39=0,I39&lt;&gt;0),"Budget not phased: no remaining months",IF(AND(J39&gt;0,Phasing!G39=0,I39&lt;&gt;0),"Budget not phased: remaining weights are 0",IF(OR(D39&lt;Projects!$C$3,F39&gt;EDATE(Projects!$C$3,35)),"Partly outside timeline",IF(Phasing!H39=0,"OK","Weights entered beyond duration (ignored)"))))))))</f>
        <v/>
      </c>
    </row>
    <row r="40" customFormat="false" ht="15" hidden="false" customHeight="false" outlineLevel="0" collapsed="false">
      <c r="A40" s="11" t="n">
        <v>35</v>
      </c>
      <c r="B40" s="12"/>
      <c r="C40" s="12"/>
      <c r="D40" s="13"/>
      <c r="E40" s="12"/>
      <c r="F40" s="14" t="str">
        <f aca="false">IF(OR(D40="",E40=""),"",EDATE(D40,E40-1))</f>
        <v/>
      </c>
      <c r="G40" s="15"/>
      <c r="H40" s="16" t="str">
        <f aca="false">IF(B40="","",'WIP Log'!C40)</f>
        <v/>
      </c>
      <c r="I40" s="17" t="str">
        <f aca="false">IF(B40="","",N(G40)-N(H40))</f>
        <v/>
      </c>
      <c r="J40" s="17" t="str">
        <f aca="false">IF(OR(B40="",E40=""),"",MAX(0,E40-Phasing!F40+1))</f>
        <v/>
      </c>
      <c r="K40" s="17" t="str">
        <f aca="false">IF(B40="","",IF(AND(((YEAR(Projects!$C$2)-YEAR(Projects!$C$3))*12+MONTH(Projects!$C$2)-MONTH(Projects!$C$3)+1)+1&gt;=1,((YEAR(Projects!$C$2)-YEAR(Projects!$C$3))*12+MONTH(Projects!$C$2)-MONTH(Projects!$C$3)+1)+1&lt;=36),INDEX('Phased Budget'!$H40:$AQ40,((YEAR(Projects!$C$2)-YEAR(Projects!$C$3))*12+MONTH(Projects!$C$2)-MONTH(Projects!$C$3)+1)+1),0))</f>
        <v/>
      </c>
      <c r="L40" s="17" t="str">
        <f aca="false">IF(B40="","",SUMPRODUCT('Phased Budget'!$H40:$AQ40*(YEAR('Phased Budget'!$H$5:$AQ$5)=YEAR(Projects!$C$2))))</f>
        <v/>
      </c>
      <c r="M40" s="17" t="str">
        <f aca="false">IF(B40="","",SUMPRODUCT('WIP Log'!$D40:$AM40*('WIP Log'!$D$5:$AM$5&lt;=Projects!$C$2)*(YEAR('WIP Log'!$D$5:$AM$5)=YEAR(Projects!$C$2)))+L40)</f>
        <v/>
      </c>
      <c r="N40" s="18" t="str">
        <f aca="false">IF(B40="","",IF(OR(D40="",E40="",G40=""),"Missing start / duration / contract",IF(OR(E40&lt;1,E40&gt;24),"Duration must be 1–24",IF(I40&lt;0,"WIP exceeds contract",IF(AND(J40=0,I40&lt;&gt;0),"Budget not phased: no remaining months",IF(AND(J40&gt;0,Phasing!G40=0,I40&lt;&gt;0),"Budget not phased: remaining weights are 0",IF(OR(D40&lt;Projects!$C$3,F40&gt;EDATE(Projects!$C$3,35)),"Partly outside timeline",IF(Phasing!H40=0,"OK","Weights entered beyond duration (ignored)"))))))))</f>
        <v/>
      </c>
    </row>
    <row r="41" customFormat="false" ht="15" hidden="false" customHeight="false" outlineLevel="0" collapsed="false">
      <c r="A41" s="11" t="n">
        <v>36</v>
      </c>
      <c r="B41" s="12"/>
      <c r="C41" s="12"/>
      <c r="D41" s="13"/>
      <c r="E41" s="12"/>
      <c r="F41" s="14" t="str">
        <f aca="false">IF(OR(D41="",E41=""),"",EDATE(D41,E41-1))</f>
        <v/>
      </c>
      <c r="G41" s="15"/>
      <c r="H41" s="16" t="str">
        <f aca="false">IF(B41="","",'WIP Log'!C41)</f>
        <v/>
      </c>
      <c r="I41" s="17" t="str">
        <f aca="false">IF(B41="","",N(G41)-N(H41))</f>
        <v/>
      </c>
      <c r="J41" s="17" t="str">
        <f aca="false">IF(OR(B41="",E41=""),"",MAX(0,E41-Phasing!F41+1))</f>
        <v/>
      </c>
      <c r="K41" s="17" t="str">
        <f aca="false">IF(B41="","",IF(AND(((YEAR(Projects!$C$2)-YEAR(Projects!$C$3))*12+MONTH(Projects!$C$2)-MONTH(Projects!$C$3)+1)+1&gt;=1,((YEAR(Projects!$C$2)-YEAR(Projects!$C$3))*12+MONTH(Projects!$C$2)-MONTH(Projects!$C$3)+1)+1&lt;=36),INDEX('Phased Budget'!$H41:$AQ41,((YEAR(Projects!$C$2)-YEAR(Projects!$C$3))*12+MONTH(Projects!$C$2)-MONTH(Projects!$C$3)+1)+1),0))</f>
        <v/>
      </c>
      <c r="L41" s="17" t="str">
        <f aca="false">IF(B41="","",SUMPRODUCT('Phased Budget'!$H41:$AQ41*(YEAR('Phased Budget'!$H$5:$AQ$5)=YEAR(Projects!$C$2))))</f>
        <v/>
      </c>
      <c r="M41" s="17" t="str">
        <f aca="false">IF(B41="","",SUMPRODUCT('WIP Log'!$D41:$AM41*('WIP Log'!$D$5:$AM$5&lt;=Projects!$C$2)*(YEAR('WIP Log'!$D$5:$AM$5)=YEAR(Projects!$C$2)))+L41)</f>
        <v/>
      </c>
      <c r="N41" s="18" t="str">
        <f aca="false">IF(B41="","",IF(OR(D41="",E41="",G41=""),"Missing start / duration / contract",IF(OR(E41&lt;1,E41&gt;24),"Duration must be 1–24",IF(I41&lt;0,"WIP exceeds contract",IF(AND(J41=0,I41&lt;&gt;0),"Budget not phased: no remaining months",IF(AND(J41&gt;0,Phasing!G41=0,I41&lt;&gt;0),"Budget not phased: remaining weights are 0",IF(OR(D41&lt;Projects!$C$3,F41&gt;EDATE(Projects!$C$3,35)),"Partly outside timeline",IF(Phasing!H41=0,"OK","Weights entered beyond duration (ignored)"))))))))</f>
        <v/>
      </c>
    </row>
    <row r="42" customFormat="false" ht="15" hidden="false" customHeight="false" outlineLevel="0" collapsed="false">
      <c r="A42" s="11" t="n">
        <v>37</v>
      </c>
      <c r="B42" s="12"/>
      <c r="C42" s="12"/>
      <c r="D42" s="13"/>
      <c r="E42" s="12"/>
      <c r="F42" s="14" t="str">
        <f aca="false">IF(OR(D42="",E42=""),"",EDATE(D42,E42-1))</f>
        <v/>
      </c>
      <c r="G42" s="15"/>
      <c r="H42" s="16" t="str">
        <f aca="false">IF(B42="","",'WIP Log'!C42)</f>
        <v/>
      </c>
      <c r="I42" s="17" t="str">
        <f aca="false">IF(B42="","",N(G42)-N(H42))</f>
        <v/>
      </c>
      <c r="J42" s="17" t="str">
        <f aca="false">IF(OR(B42="",E42=""),"",MAX(0,E42-Phasing!F42+1))</f>
        <v/>
      </c>
      <c r="K42" s="17" t="str">
        <f aca="false">IF(B42="","",IF(AND(((YEAR(Projects!$C$2)-YEAR(Projects!$C$3))*12+MONTH(Projects!$C$2)-MONTH(Projects!$C$3)+1)+1&gt;=1,((YEAR(Projects!$C$2)-YEAR(Projects!$C$3))*12+MONTH(Projects!$C$2)-MONTH(Projects!$C$3)+1)+1&lt;=36),INDEX('Phased Budget'!$H42:$AQ42,((YEAR(Projects!$C$2)-YEAR(Projects!$C$3))*12+MONTH(Projects!$C$2)-MONTH(Projects!$C$3)+1)+1),0))</f>
        <v/>
      </c>
      <c r="L42" s="17" t="str">
        <f aca="false">IF(B42="","",SUMPRODUCT('Phased Budget'!$H42:$AQ42*(YEAR('Phased Budget'!$H$5:$AQ$5)=YEAR(Projects!$C$2))))</f>
        <v/>
      </c>
      <c r="M42" s="17" t="str">
        <f aca="false">IF(B42="","",SUMPRODUCT('WIP Log'!$D42:$AM42*('WIP Log'!$D$5:$AM$5&lt;=Projects!$C$2)*(YEAR('WIP Log'!$D$5:$AM$5)=YEAR(Projects!$C$2)))+L42)</f>
        <v/>
      </c>
      <c r="N42" s="18" t="str">
        <f aca="false">IF(B42="","",IF(OR(D42="",E42="",G42=""),"Missing start / duration / contract",IF(OR(E42&lt;1,E42&gt;24),"Duration must be 1–24",IF(I42&lt;0,"WIP exceeds contract",IF(AND(J42=0,I42&lt;&gt;0),"Budget not phased: no remaining months",IF(AND(J42&gt;0,Phasing!G42=0,I42&lt;&gt;0),"Budget not phased: remaining weights are 0",IF(OR(D42&lt;Projects!$C$3,F42&gt;EDATE(Projects!$C$3,35)),"Partly outside timeline",IF(Phasing!H42=0,"OK","Weights entered beyond duration (ignored)"))))))))</f>
        <v/>
      </c>
    </row>
    <row r="43" customFormat="false" ht="15" hidden="false" customHeight="false" outlineLevel="0" collapsed="false">
      <c r="A43" s="11" t="n">
        <v>38</v>
      </c>
      <c r="B43" s="12"/>
      <c r="C43" s="12"/>
      <c r="D43" s="13"/>
      <c r="E43" s="12"/>
      <c r="F43" s="14" t="str">
        <f aca="false">IF(OR(D43="",E43=""),"",EDATE(D43,E43-1))</f>
        <v/>
      </c>
      <c r="G43" s="15"/>
      <c r="H43" s="16" t="str">
        <f aca="false">IF(B43="","",'WIP Log'!C43)</f>
        <v/>
      </c>
      <c r="I43" s="17" t="str">
        <f aca="false">IF(B43="","",N(G43)-N(H43))</f>
        <v/>
      </c>
      <c r="J43" s="17" t="str">
        <f aca="false">IF(OR(B43="",E43=""),"",MAX(0,E43-Phasing!F43+1))</f>
        <v/>
      </c>
      <c r="K43" s="17" t="str">
        <f aca="false">IF(B43="","",IF(AND(((YEAR(Projects!$C$2)-YEAR(Projects!$C$3))*12+MONTH(Projects!$C$2)-MONTH(Projects!$C$3)+1)+1&gt;=1,((YEAR(Projects!$C$2)-YEAR(Projects!$C$3))*12+MONTH(Projects!$C$2)-MONTH(Projects!$C$3)+1)+1&lt;=36),INDEX('Phased Budget'!$H43:$AQ43,((YEAR(Projects!$C$2)-YEAR(Projects!$C$3))*12+MONTH(Projects!$C$2)-MONTH(Projects!$C$3)+1)+1),0))</f>
        <v/>
      </c>
      <c r="L43" s="17" t="str">
        <f aca="false">IF(B43="","",SUMPRODUCT('Phased Budget'!$H43:$AQ43*(YEAR('Phased Budget'!$H$5:$AQ$5)=YEAR(Projects!$C$2))))</f>
        <v/>
      </c>
      <c r="M43" s="17" t="str">
        <f aca="false">IF(B43="","",SUMPRODUCT('WIP Log'!$D43:$AM43*('WIP Log'!$D$5:$AM$5&lt;=Projects!$C$2)*(YEAR('WIP Log'!$D$5:$AM$5)=YEAR(Projects!$C$2)))+L43)</f>
        <v/>
      </c>
      <c r="N43" s="18" t="str">
        <f aca="false">IF(B43="","",IF(OR(D43="",E43="",G43=""),"Missing start / duration / contract",IF(OR(E43&lt;1,E43&gt;24),"Duration must be 1–24",IF(I43&lt;0,"WIP exceeds contract",IF(AND(J43=0,I43&lt;&gt;0),"Budget not phased: no remaining months",IF(AND(J43&gt;0,Phasing!G43=0,I43&lt;&gt;0),"Budget not phased: remaining weights are 0",IF(OR(D43&lt;Projects!$C$3,F43&gt;EDATE(Projects!$C$3,35)),"Partly outside timeline",IF(Phasing!H43=0,"OK","Weights entered beyond duration (ignored)"))))))))</f>
        <v/>
      </c>
    </row>
    <row r="44" customFormat="false" ht="15" hidden="false" customHeight="false" outlineLevel="0" collapsed="false">
      <c r="A44" s="11" t="n">
        <v>39</v>
      </c>
      <c r="B44" s="12"/>
      <c r="C44" s="12"/>
      <c r="D44" s="13"/>
      <c r="E44" s="12"/>
      <c r="F44" s="14" t="str">
        <f aca="false">IF(OR(D44="",E44=""),"",EDATE(D44,E44-1))</f>
        <v/>
      </c>
      <c r="G44" s="15"/>
      <c r="H44" s="16" t="str">
        <f aca="false">IF(B44="","",'WIP Log'!C44)</f>
        <v/>
      </c>
      <c r="I44" s="17" t="str">
        <f aca="false">IF(B44="","",N(G44)-N(H44))</f>
        <v/>
      </c>
      <c r="J44" s="17" t="str">
        <f aca="false">IF(OR(B44="",E44=""),"",MAX(0,E44-Phasing!F44+1))</f>
        <v/>
      </c>
      <c r="K44" s="17" t="str">
        <f aca="false">IF(B44="","",IF(AND(((YEAR(Projects!$C$2)-YEAR(Projects!$C$3))*12+MONTH(Projects!$C$2)-MONTH(Projects!$C$3)+1)+1&gt;=1,((YEAR(Projects!$C$2)-YEAR(Projects!$C$3))*12+MONTH(Projects!$C$2)-MONTH(Projects!$C$3)+1)+1&lt;=36),INDEX('Phased Budget'!$H44:$AQ44,((YEAR(Projects!$C$2)-YEAR(Projects!$C$3))*12+MONTH(Projects!$C$2)-MONTH(Projects!$C$3)+1)+1),0))</f>
        <v/>
      </c>
      <c r="L44" s="17" t="str">
        <f aca="false">IF(B44="","",SUMPRODUCT('Phased Budget'!$H44:$AQ44*(YEAR('Phased Budget'!$H$5:$AQ$5)=YEAR(Projects!$C$2))))</f>
        <v/>
      </c>
      <c r="M44" s="17" t="str">
        <f aca="false">IF(B44="","",SUMPRODUCT('WIP Log'!$D44:$AM44*('WIP Log'!$D$5:$AM$5&lt;=Projects!$C$2)*(YEAR('WIP Log'!$D$5:$AM$5)=YEAR(Projects!$C$2)))+L44)</f>
        <v/>
      </c>
      <c r="N44" s="18" t="str">
        <f aca="false">IF(B44="","",IF(OR(D44="",E44="",G44=""),"Missing start / duration / contract",IF(OR(E44&lt;1,E44&gt;24),"Duration must be 1–24",IF(I44&lt;0,"WIP exceeds contract",IF(AND(J44=0,I44&lt;&gt;0),"Budget not phased: no remaining months",IF(AND(J44&gt;0,Phasing!G44=0,I44&lt;&gt;0),"Budget not phased: remaining weights are 0",IF(OR(D44&lt;Projects!$C$3,F44&gt;EDATE(Projects!$C$3,35)),"Partly outside timeline",IF(Phasing!H44=0,"OK","Weights entered beyond duration (ignored)"))))))))</f>
        <v/>
      </c>
    </row>
    <row r="45" customFormat="false" ht="15" hidden="false" customHeight="false" outlineLevel="0" collapsed="false">
      <c r="A45" s="11" t="n">
        <v>40</v>
      </c>
      <c r="B45" s="12"/>
      <c r="C45" s="12"/>
      <c r="D45" s="13"/>
      <c r="E45" s="12"/>
      <c r="F45" s="14" t="str">
        <f aca="false">IF(OR(D45="",E45=""),"",EDATE(D45,E45-1))</f>
        <v/>
      </c>
      <c r="G45" s="15"/>
      <c r="H45" s="16" t="str">
        <f aca="false">IF(B45="","",'WIP Log'!C45)</f>
        <v/>
      </c>
      <c r="I45" s="17" t="str">
        <f aca="false">IF(B45="","",N(G45)-N(H45))</f>
        <v/>
      </c>
      <c r="J45" s="17" t="str">
        <f aca="false">IF(OR(B45="",E45=""),"",MAX(0,E45-Phasing!F45+1))</f>
        <v/>
      </c>
      <c r="K45" s="17" t="str">
        <f aca="false">IF(B45="","",IF(AND(((YEAR(Projects!$C$2)-YEAR(Projects!$C$3))*12+MONTH(Projects!$C$2)-MONTH(Projects!$C$3)+1)+1&gt;=1,((YEAR(Projects!$C$2)-YEAR(Projects!$C$3))*12+MONTH(Projects!$C$2)-MONTH(Projects!$C$3)+1)+1&lt;=36),INDEX('Phased Budget'!$H45:$AQ45,((YEAR(Projects!$C$2)-YEAR(Projects!$C$3))*12+MONTH(Projects!$C$2)-MONTH(Projects!$C$3)+1)+1),0))</f>
        <v/>
      </c>
      <c r="L45" s="17" t="str">
        <f aca="false">IF(B45="","",SUMPRODUCT('Phased Budget'!$H45:$AQ45*(YEAR('Phased Budget'!$H$5:$AQ$5)=YEAR(Projects!$C$2))))</f>
        <v/>
      </c>
      <c r="M45" s="17" t="str">
        <f aca="false">IF(B45="","",SUMPRODUCT('WIP Log'!$D45:$AM45*('WIP Log'!$D$5:$AM$5&lt;=Projects!$C$2)*(YEAR('WIP Log'!$D$5:$AM$5)=YEAR(Projects!$C$2)))+L45)</f>
        <v/>
      </c>
      <c r="N45" s="18" t="str">
        <f aca="false">IF(B45="","",IF(OR(D45="",E45="",G45=""),"Missing start / duration / contract",IF(OR(E45&lt;1,E45&gt;24),"Duration must be 1–24",IF(I45&lt;0,"WIP exceeds contract",IF(AND(J45=0,I45&lt;&gt;0),"Budget not phased: no remaining months",IF(AND(J45&gt;0,Phasing!G45=0,I45&lt;&gt;0),"Budget not phased: remaining weights are 0",IF(OR(D45&lt;Projects!$C$3,F45&gt;EDATE(Projects!$C$3,35)),"Partly outside timeline",IF(Phasing!H45=0,"OK","Weights entered beyond duration (ignored)"))))))))</f>
        <v/>
      </c>
    </row>
    <row r="46" customFormat="false" ht="15" hidden="false" customHeight="false" outlineLevel="0" collapsed="false">
      <c r="A46" s="11" t="n">
        <v>41</v>
      </c>
      <c r="B46" s="12"/>
      <c r="C46" s="12"/>
      <c r="D46" s="13"/>
      <c r="E46" s="12"/>
      <c r="F46" s="14" t="str">
        <f aca="false">IF(OR(D46="",E46=""),"",EDATE(D46,E46-1))</f>
        <v/>
      </c>
      <c r="G46" s="15"/>
      <c r="H46" s="16" t="str">
        <f aca="false">IF(B46="","",'WIP Log'!C46)</f>
        <v/>
      </c>
      <c r="I46" s="17" t="str">
        <f aca="false">IF(B46="","",N(G46)-N(H46))</f>
        <v/>
      </c>
      <c r="J46" s="17" t="str">
        <f aca="false">IF(OR(B46="",E46=""),"",MAX(0,E46-Phasing!F46+1))</f>
        <v/>
      </c>
      <c r="K46" s="17" t="str">
        <f aca="false">IF(B46="","",IF(AND(((YEAR(Projects!$C$2)-YEAR(Projects!$C$3))*12+MONTH(Projects!$C$2)-MONTH(Projects!$C$3)+1)+1&gt;=1,((YEAR(Projects!$C$2)-YEAR(Projects!$C$3))*12+MONTH(Projects!$C$2)-MONTH(Projects!$C$3)+1)+1&lt;=36),INDEX('Phased Budget'!$H46:$AQ46,((YEAR(Projects!$C$2)-YEAR(Projects!$C$3))*12+MONTH(Projects!$C$2)-MONTH(Projects!$C$3)+1)+1),0))</f>
        <v/>
      </c>
      <c r="L46" s="17" t="str">
        <f aca="false">IF(B46="","",SUMPRODUCT('Phased Budget'!$H46:$AQ46*(YEAR('Phased Budget'!$H$5:$AQ$5)=YEAR(Projects!$C$2))))</f>
        <v/>
      </c>
      <c r="M46" s="17" t="str">
        <f aca="false">IF(B46="","",SUMPRODUCT('WIP Log'!$D46:$AM46*('WIP Log'!$D$5:$AM$5&lt;=Projects!$C$2)*(YEAR('WIP Log'!$D$5:$AM$5)=YEAR(Projects!$C$2)))+L46)</f>
        <v/>
      </c>
      <c r="N46" s="18" t="str">
        <f aca="false">IF(B46="","",IF(OR(D46="",E46="",G46=""),"Missing start / duration / contract",IF(OR(E46&lt;1,E46&gt;24),"Duration must be 1–24",IF(I46&lt;0,"WIP exceeds contract",IF(AND(J46=0,I46&lt;&gt;0),"Budget not phased: no remaining months",IF(AND(J46&gt;0,Phasing!G46=0,I46&lt;&gt;0),"Budget not phased: remaining weights are 0",IF(OR(D46&lt;Projects!$C$3,F46&gt;EDATE(Projects!$C$3,35)),"Partly outside timeline",IF(Phasing!H46=0,"OK","Weights entered beyond duration (ignored)"))))))))</f>
        <v/>
      </c>
    </row>
    <row r="47" customFormat="false" ht="15" hidden="false" customHeight="false" outlineLevel="0" collapsed="false">
      <c r="A47" s="11" t="n">
        <v>42</v>
      </c>
      <c r="B47" s="12"/>
      <c r="C47" s="12"/>
      <c r="D47" s="13"/>
      <c r="E47" s="12"/>
      <c r="F47" s="14" t="str">
        <f aca="false">IF(OR(D47="",E47=""),"",EDATE(D47,E47-1))</f>
        <v/>
      </c>
      <c r="G47" s="15"/>
      <c r="H47" s="16" t="str">
        <f aca="false">IF(B47="","",'WIP Log'!C47)</f>
        <v/>
      </c>
      <c r="I47" s="17" t="str">
        <f aca="false">IF(B47="","",N(G47)-N(H47))</f>
        <v/>
      </c>
      <c r="J47" s="17" t="str">
        <f aca="false">IF(OR(B47="",E47=""),"",MAX(0,E47-Phasing!F47+1))</f>
        <v/>
      </c>
      <c r="K47" s="17" t="str">
        <f aca="false">IF(B47="","",IF(AND(((YEAR(Projects!$C$2)-YEAR(Projects!$C$3))*12+MONTH(Projects!$C$2)-MONTH(Projects!$C$3)+1)+1&gt;=1,((YEAR(Projects!$C$2)-YEAR(Projects!$C$3))*12+MONTH(Projects!$C$2)-MONTH(Projects!$C$3)+1)+1&lt;=36),INDEX('Phased Budget'!$H47:$AQ47,((YEAR(Projects!$C$2)-YEAR(Projects!$C$3))*12+MONTH(Projects!$C$2)-MONTH(Projects!$C$3)+1)+1),0))</f>
        <v/>
      </c>
      <c r="L47" s="17" t="str">
        <f aca="false">IF(B47="","",SUMPRODUCT('Phased Budget'!$H47:$AQ47*(YEAR('Phased Budget'!$H$5:$AQ$5)=YEAR(Projects!$C$2))))</f>
        <v/>
      </c>
      <c r="M47" s="17" t="str">
        <f aca="false">IF(B47="","",SUMPRODUCT('WIP Log'!$D47:$AM47*('WIP Log'!$D$5:$AM$5&lt;=Projects!$C$2)*(YEAR('WIP Log'!$D$5:$AM$5)=YEAR(Projects!$C$2)))+L47)</f>
        <v/>
      </c>
      <c r="N47" s="18" t="str">
        <f aca="false">IF(B47="","",IF(OR(D47="",E47="",G47=""),"Missing start / duration / contract",IF(OR(E47&lt;1,E47&gt;24),"Duration must be 1–24",IF(I47&lt;0,"WIP exceeds contract",IF(AND(J47=0,I47&lt;&gt;0),"Budget not phased: no remaining months",IF(AND(J47&gt;0,Phasing!G47=0,I47&lt;&gt;0),"Budget not phased: remaining weights are 0",IF(OR(D47&lt;Projects!$C$3,F47&gt;EDATE(Projects!$C$3,35)),"Partly outside timeline",IF(Phasing!H47=0,"OK","Weights entered beyond duration (ignored)"))))))))</f>
        <v/>
      </c>
    </row>
    <row r="48" customFormat="false" ht="15" hidden="false" customHeight="false" outlineLevel="0" collapsed="false">
      <c r="A48" s="11" t="n">
        <v>43</v>
      </c>
      <c r="B48" s="12"/>
      <c r="C48" s="12"/>
      <c r="D48" s="13"/>
      <c r="E48" s="12"/>
      <c r="F48" s="14" t="str">
        <f aca="false">IF(OR(D48="",E48=""),"",EDATE(D48,E48-1))</f>
        <v/>
      </c>
      <c r="G48" s="15"/>
      <c r="H48" s="16" t="str">
        <f aca="false">IF(B48="","",'WIP Log'!C48)</f>
        <v/>
      </c>
      <c r="I48" s="17" t="str">
        <f aca="false">IF(B48="","",N(G48)-N(H48))</f>
        <v/>
      </c>
      <c r="J48" s="17" t="str">
        <f aca="false">IF(OR(B48="",E48=""),"",MAX(0,E48-Phasing!F48+1))</f>
        <v/>
      </c>
      <c r="K48" s="17" t="str">
        <f aca="false">IF(B48="","",IF(AND(((YEAR(Projects!$C$2)-YEAR(Projects!$C$3))*12+MONTH(Projects!$C$2)-MONTH(Projects!$C$3)+1)+1&gt;=1,((YEAR(Projects!$C$2)-YEAR(Projects!$C$3))*12+MONTH(Projects!$C$2)-MONTH(Projects!$C$3)+1)+1&lt;=36),INDEX('Phased Budget'!$H48:$AQ48,((YEAR(Projects!$C$2)-YEAR(Projects!$C$3))*12+MONTH(Projects!$C$2)-MONTH(Projects!$C$3)+1)+1),0))</f>
        <v/>
      </c>
      <c r="L48" s="17" t="str">
        <f aca="false">IF(B48="","",SUMPRODUCT('Phased Budget'!$H48:$AQ48*(YEAR('Phased Budget'!$H$5:$AQ$5)=YEAR(Projects!$C$2))))</f>
        <v/>
      </c>
      <c r="M48" s="17" t="str">
        <f aca="false">IF(B48="","",SUMPRODUCT('WIP Log'!$D48:$AM48*('WIP Log'!$D$5:$AM$5&lt;=Projects!$C$2)*(YEAR('WIP Log'!$D$5:$AM$5)=YEAR(Projects!$C$2)))+L48)</f>
        <v/>
      </c>
      <c r="N48" s="18" t="str">
        <f aca="false">IF(B48="","",IF(OR(D48="",E48="",G48=""),"Missing start / duration / contract",IF(OR(E48&lt;1,E48&gt;24),"Duration must be 1–24",IF(I48&lt;0,"WIP exceeds contract",IF(AND(J48=0,I48&lt;&gt;0),"Budget not phased: no remaining months",IF(AND(J48&gt;0,Phasing!G48=0,I48&lt;&gt;0),"Budget not phased: remaining weights are 0",IF(OR(D48&lt;Projects!$C$3,F48&gt;EDATE(Projects!$C$3,35)),"Partly outside timeline",IF(Phasing!H48=0,"OK","Weights entered beyond duration (ignored)"))))))))</f>
        <v/>
      </c>
    </row>
    <row r="49" customFormat="false" ht="15" hidden="false" customHeight="false" outlineLevel="0" collapsed="false">
      <c r="A49" s="11" t="n">
        <v>44</v>
      </c>
      <c r="B49" s="12"/>
      <c r="C49" s="12"/>
      <c r="D49" s="13"/>
      <c r="E49" s="12"/>
      <c r="F49" s="14" t="str">
        <f aca="false">IF(OR(D49="",E49=""),"",EDATE(D49,E49-1))</f>
        <v/>
      </c>
      <c r="G49" s="15"/>
      <c r="H49" s="16" t="str">
        <f aca="false">IF(B49="","",'WIP Log'!C49)</f>
        <v/>
      </c>
      <c r="I49" s="17" t="str">
        <f aca="false">IF(B49="","",N(G49)-N(H49))</f>
        <v/>
      </c>
      <c r="J49" s="17" t="str">
        <f aca="false">IF(OR(B49="",E49=""),"",MAX(0,E49-Phasing!F49+1))</f>
        <v/>
      </c>
      <c r="K49" s="17" t="str">
        <f aca="false">IF(B49="","",IF(AND(((YEAR(Projects!$C$2)-YEAR(Projects!$C$3))*12+MONTH(Projects!$C$2)-MONTH(Projects!$C$3)+1)+1&gt;=1,((YEAR(Projects!$C$2)-YEAR(Projects!$C$3))*12+MONTH(Projects!$C$2)-MONTH(Projects!$C$3)+1)+1&lt;=36),INDEX('Phased Budget'!$H49:$AQ49,((YEAR(Projects!$C$2)-YEAR(Projects!$C$3))*12+MONTH(Projects!$C$2)-MONTH(Projects!$C$3)+1)+1),0))</f>
        <v/>
      </c>
      <c r="L49" s="17" t="str">
        <f aca="false">IF(B49="","",SUMPRODUCT('Phased Budget'!$H49:$AQ49*(YEAR('Phased Budget'!$H$5:$AQ$5)=YEAR(Projects!$C$2))))</f>
        <v/>
      </c>
      <c r="M49" s="17" t="str">
        <f aca="false">IF(B49="","",SUMPRODUCT('WIP Log'!$D49:$AM49*('WIP Log'!$D$5:$AM$5&lt;=Projects!$C$2)*(YEAR('WIP Log'!$D$5:$AM$5)=YEAR(Projects!$C$2)))+L49)</f>
        <v/>
      </c>
      <c r="N49" s="18" t="str">
        <f aca="false">IF(B49="","",IF(OR(D49="",E49="",G49=""),"Missing start / duration / contract",IF(OR(E49&lt;1,E49&gt;24),"Duration must be 1–24",IF(I49&lt;0,"WIP exceeds contract",IF(AND(J49=0,I49&lt;&gt;0),"Budget not phased: no remaining months",IF(AND(J49&gt;0,Phasing!G49=0,I49&lt;&gt;0),"Budget not phased: remaining weights are 0",IF(OR(D49&lt;Projects!$C$3,F49&gt;EDATE(Projects!$C$3,35)),"Partly outside timeline",IF(Phasing!H49=0,"OK","Weights entered beyond duration (ignored)"))))))))</f>
        <v/>
      </c>
    </row>
    <row r="50" customFormat="false" ht="15" hidden="false" customHeight="false" outlineLevel="0" collapsed="false">
      <c r="A50" s="11" t="n">
        <v>45</v>
      </c>
      <c r="B50" s="12"/>
      <c r="C50" s="12"/>
      <c r="D50" s="13"/>
      <c r="E50" s="12"/>
      <c r="F50" s="14" t="str">
        <f aca="false">IF(OR(D50="",E50=""),"",EDATE(D50,E50-1))</f>
        <v/>
      </c>
      <c r="G50" s="15"/>
      <c r="H50" s="16" t="str">
        <f aca="false">IF(B50="","",'WIP Log'!C50)</f>
        <v/>
      </c>
      <c r="I50" s="17" t="str">
        <f aca="false">IF(B50="","",N(G50)-N(H50))</f>
        <v/>
      </c>
      <c r="J50" s="17" t="str">
        <f aca="false">IF(OR(B50="",E50=""),"",MAX(0,E50-Phasing!F50+1))</f>
        <v/>
      </c>
      <c r="K50" s="17" t="str">
        <f aca="false">IF(B50="","",IF(AND(((YEAR(Projects!$C$2)-YEAR(Projects!$C$3))*12+MONTH(Projects!$C$2)-MONTH(Projects!$C$3)+1)+1&gt;=1,((YEAR(Projects!$C$2)-YEAR(Projects!$C$3))*12+MONTH(Projects!$C$2)-MONTH(Projects!$C$3)+1)+1&lt;=36),INDEX('Phased Budget'!$H50:$AQ50,((YEAR(Projects!$C$2)-YEAR(Projects!$C$3))*12+MONTH(Projects!$C$2)-MONTH(Projects!$C$3)+1)+1),0))</f>
        <v/>
      </c>
      <c r="L50" s="17" t="str">
        <f aca="false">IF(B50="","",SUMPRODUCT('Phased Budget'!$H50:$AQ50*(YEAR('Phased Budget'!$H$5:$AQ$5)=YEAR(Projects!$C$2))))</f>
        <v/>
      </c>
      <c r="M50" s="17" t="str">
        <f aca="false">IF(B50="","",SUMPRODUCT('WIP Log'!$D50:$AM50*('WIP Log'!$D$5:$AM$5&lt;=Projects!$C$2)*(YEAR('WIP Log'!$D$5:$AM$5)=YEAR(Projects!$C$2)))+L50)</f>
        <v/>
      </c>
      <c r="N50" s="18" t="str">
        <f aca="false">IF(B50="","",IF(OR(D50="",E50="",G50=""),"Missing start / duration / contract",IF(OR(E50&lt;1,E50&gt;24),"Duration must be 1–24",IF(I50&lt;0,"WIP exceeds contract",IF(AND(J50=0,I50&lt;&gt;0),"Budget not phased: no remaining months",IF(AND(J50&gt;0,Phasing!G50=0,I50&lt;&gt;0),"Budget not phased: remaining weights are 0",IF(OR(D50&lt;Projects!$C$3,F50&gt;EDATE(Projects!$C$3,35)),"Partly outside timeline",IF(Phasing!H50=0,"OK","Weights entered beyond duration (ignored)"))))))))</f>
        <v/>
      </c>
    </row>
    <row r="51" customFormat="false" ht="15" hidden="false" customHeight="false" outlineLevel="0" collapsed="false">
      <c r="A51" s="11" t="n">
        <v>46</v>
      </c>
      <c r="B51" s="12"/>
      <c r="C51" s="12"/>
      <c r="D51" s="13"/>
      <c r="E51" s="12"/>
      <c r="F51" s="14" t="str">
        <f aca="false">IF(OR(D51="",E51=""),"",EDATE(D51,E51-1))</f>
        <v/>
      </c>
      <c r="G51" s="15"/>
      <c r="H51" s="16" t="str">
        <f aca="false">IF(B51="","",'WIP Log'!C51)</f>
        <v/>
      </c>
      <c r="I51" s="17" t="str">
        <f aca="false">IF(B51="","",N(G51)-N(H51))</f>
        <v/>
      </c>
      <c r="J51" s="17" t="str">
        <f aca="false">IF(OR(B51="",E51=""),"",MAX(0,E51-Phasing!F51+1))</f>
        <v/>
      </c>
      <c r="K51" s="17" t="str">
        <f aca="false">IF(B51="","",IF(AND(((YEAR(Projects!$C$2)-YEAR(Projects!$C$3))*12+MONTH(Projects!$C$2)-MONTH(Projects!$C$3)+1)+1&gt;=1,((YEAR(Projects!$C$2)-YEAR(Projects!$C$3))*12+MONTH(Projects!$C$2)-MONTH(Projects!$C$3)+1)+1&lt;=36),INDEX('Phased Budget'!$H51:$AQ51,((YEAR(Projects!$C$2)-YEAR(Projects!$C$3))*12+MONTH(Projects!$C$2)-MONTH(Projects!$C$3)+1)+1),0))</f>
        <v/>
      </c>
      <c r="L51" s="17" t="str">
        <f aca="false">IF(B51="","",SUMPRODUCT('Phased Budget'!$H51:$AQ51*(YEAR('Phased Budget'!$H$5:$AQ$5)=YEAR(Projects!$C$2))))</f>
        <v/>
      </c>
      <c r="M51" s="17" t="str">
        <f aca="false">IF(B51="","",SUMPRODUCT('WIP Log'!$D51:$AM51*('WIP Log'!$D$5:$AM$5&lt;=Projects!$C$2)*(YEAR('WIP Log'!$D$5:$AM$5)=YEAR(Projects!$C$2)))+L51)</f>
        <v/>
      </c>
      <c r="N51" s="18" t="str">
        <f aca="false">IF(B51="","",IF(OR(D51="",E51="",G51=""),"Missing start / duration / contract",IF(OR(E51&lt;1,E51&gt;24),"Duration must be 1–24",IF(I51&lt;0,"WIP exceeds contract",IF(AND(J51=0,I51&lt;&gt;0),"Budget not phased: no remaining months",IF(AND(J51&gt;0,Phasing!G51=0,I51&lt;&gt;0),"Budget not phased: remaining weights are 0",IF(OR(D51&lt;Projects!$C$3,F51&gt;EDATE(Projects!$C$3,35)),"Partly outside timeline",IF(Phasing!H51=0,"OK","Weights entered beyond duration (ignored)"))))))))</f>
        <v/>
      </c>
    </row>
    <row r="52" customFormat="false" ht="15" hidden="false" customHeight="false" outlineLevel="0" collapsed="false">
      <c r="A52" s="11" t="n">
        <v>47</v>
      </c>
      <c r="B52" s="12"/>
      <c r="C52" s="12"/>
      <c r="D52" s="13"/>
      <c r="E52" s="12"/>
      <c r="F52" s="14" t="str">
        <f aca="false">IF(OR(D52="",E52=""),"",EDATE(D52,E52-1))</f>
        <v/>
      </c>
      <c r="G52" s="15"/>
      <c r="H52" s="16" t="str">
        <f aca="false">IF(B52="","",'WIP Log'!C52)</f>
        <v/>
      </c>
      <c r="I52" s="17" t="str">
        <f aca="false">IF(B52="","",N(G52)-N(H52))</f>
        <v/>
      </c>
      <c r="J52" s="17" t="str">
        <f aca="false">IF(OR(B52="",E52=""),"",MAX(0,E52-Phasing!F52+1))</f>
        <v/>
      </c>
      <c r="K52" s="17" t="str">
        <f aca="false">IF(B52="","",IF(AND(((YEAR(Projects!$C$2)-YEAR(Projects!$C$3))*12+MONTH(Projects!$C$2)-MONTH(Projects!$C$3)+1)+1&gt;=1,((YEAR(Projects!$C$2)-YEAR(Projects!$C$3))*12+MONTH(Projects!$C$2)-MONTH(Projects!$C$3)+1)+1&lt;=36),INDEX('Phased Budget'!$H52:$AQ52,((YEAR(Projects!$C$2)-YEAR(Projects!$C$3))*12+MONTH(Projects!$C$2)-MONTH(Projects!$C$3)+1)+1),0))</f>
        <v/>
      </c>
      <c r="L52" s="17" t="str">
        <f aca="false">IF(B52="","",SUMPRODUCT('Phased Budget'!$H52:$AQ52*(YEAR('Phased Budget'!$H$5:$AQ$5)=YEAR(Projects!$C$2))))</f>
        <v/>
      </c>
      <c r="M52" s="17" t="str">
        <f aca="false">IF(B52="","",SUMPRODUCT('WIP Log'!$D52:$AM52*('WIP Log'!$D$5:$AM$5&lt;=Projects!$C$2)*(YEAR('WIP Log'!$D$5:$AM$5)=YEAR(Projects!$C$2)))+L52)</f>
        <v/>
      </c>
      <c r="N52" s="18" t="str">
        <f aca="false">IF(B52="","",IF(OR(D52="",E52="",G52=""),"Missing start / duration / contract",IF(OR(E52&lt;1,E52&gt;24),"Duration must be 1–24",IF(I52&lt;0,"WIP exceeds contract",IF(AND(J52=0,I52&lt;&gt;0),"Budget not phased: no remaining months",IF(AND(J52&gt;0,Phasing!G52=0,I52&lt;&gt;0),"Budget not phased: remaining weights are 0",IF(OR(D52&lt;Projects!$C$3,F52&gt;EDATE(Projects!$C$3,35)),"Partly outside timeline",IF(Phasing!H52=0,"OK","Weights entered beyond duration (ignored)"))))))))</f>
        <v/>
      </c>
    </row>
    <row r="53" customFormat="false" ht="15" hidden="false" customHeight="false" outlineLevel="0" collapsed="false">
      <c r="A53" s="11" t="n">
        <v>48</v>
      </c>
      <c r="B53" s="12"/>
      <c r="C53" s="12"/>
      <c r="D53" s="13"/>
      <c r="E53" s="12"/>
      <c r="F53" s="14" t="str">
        <f aca="false">IF(OR(D53="",E53=""),"",EDATE(D53,E53-1))</f>
        <v/>
      </c>
      <c r="G53" s="15"/>
      <c r="H53" s="16" t="str">
        <f aca="false">IF(B53="","",'WIP Log'!C53)</f>
        <v/>
      </c>
      <c r="I53" s="17" t="str">
        <f aca="false">IF(B53="","",N(G53)-N(H53))</f>
        <v/>
      </c>
      <c r="J53" s="17" t="str">
        <f aca="false">IF(OR(B53="",E53=""),"",MAX(0,E53-Phasing!F53+1))</f>
        <v/>
      </c>
      <c r="K53" s="17" t="str">
        <f aca="false">IF(B53="","",IF(AND(((YEAR(Projects!$C$2)-YEAR(Projects!$C$3))*12+MONTH(Projects!$C$2)-MONTH(Projects!$C$3)+1)+1&gt;=1,((YEAR(Projects!$C$2)-YEAR(Projects!$C$3))*12+MONTH(Projects!$C$2)-MONTH(Projects!$C$3)+1)+1&lt;=36),INDEX('Phased Budget'!$H53:$AQ53,((YEAR(Projects!$C$2)-YEAR(Projects!$C$3))*12+MONTH(Projects!$C$2)-MONTH(Projects!$C$3)+1)+1),0))</f>
        <v/>
      </c>
      <c r="L53" s="17" t="str">
        <f aca="false">IF(B53="","",SUMPRODUCT('Phased Budget'!$H53:$AQ53*(YEAR('Phased Budget'!$H$5:$AQ$5)=YEAR(Projects!$C$2))))</f>
        <v/>
      </c>
      <c r="M53" s="17" t="str">
        <f aca="false">IF(B53="","",SUMPRODUCT('WIP Log'!$D53:$AM53*('WIP Log'!$D$5:$AM$5&lt;=Projects!$C$2)*(YEAR('WIP Log'!$D$5:$AM$5)=YEAR(Projects!$C$2)))+L53)</f>
        <v/>
      </c>
      <c r="N53" s="18" t="str">
        <f aca="false">IF(B53="","",IF(OR(D53="",E53="",G53=""),"Missing start / duration / contract",IF(OR(E53&lt;1,E53&gt;24),"Duration must be 1–24",IF(I53&lt;0,"WIP exceeds contract",IF(AND(J53=0,I53&lt;&gt;0),"Budget not phased: no remaining months",IF(AND(J53&gt;0,Phasing!G53=0,I53&lt;&gt;0),"Budget not phased: remaining weights are 0",IF(OR(D53&lt;Projects!$C$3,F53&gt;EDATE(Projects!$C$3,35)),"Partly outside timeline",IF(Phasing!H53=0,"OK","Weights entered beyond duration (ignored)"))))))))</f>
        <v/>
      </c>
    </row>
    <row r="54" customFormat="false" ht="15" hidden="false" customHeight="false" outlineLevel="0" collapsed="false">
      <c r="A54" s="11" t="n">
        <v>49</v>
      </c>
      <c r="B54" s="12"/>
      <c r="C54" s="12"/>
      <c r="D54" s="13"/>
      <c r="E54" s="12"/>
      <c r="F54" s="14" t="str">
        <f aca="false">IF(OR(D54="",E54=""),"",EDATE(D54,E54-1))</f>
        <v/>
      </c>
      <c r="G54" s="15"/>
      <c r="H54" s="16" t="str">
        <f aca="false">IF(B54="","",'WIP Log'!C54)</f>
        <v/>
      </c>
      <c r="I54" s="17" t="str">
        <f aca="false">IF(B54="","",N(G54)-N(H54))</f>
        <v/>
      </c>
      <c r="J54" s="17" t="str">
        <f aca="false">IF(OR(B54="",E54=""),"",MAX(0,E54-Phasing!F54+1))</f>
        <v/>
      </c>
      <c r="K54" s="17" t="str">
        <f aca="false">IF(B54="","",IF(AND(((YEAR(Projects!$C$2)-YEAR(Projects!$C$3))*12+MONTH(Projects!$C$2)-MONTH(Projects!$C$3)+1)+1&gt;=1,((YEAR(Projects!$C$2)-YEAR(Projects!$C$3))*12+MONTH(Projects!$C$2)-MONTH(Projects!$C$3)+1)+1&lt;=36),INDEX('Phased Budget'!$H54:$AQ54,((YEAR(Projects!$C$2)-YEAR(Projects!$C$3))*12+MONTH(Projects!$C$2)-MONTH(Projects!$C$3)+1)+1),0))</f>
        <v/>
      </c>
      <c r="L54" s="17" t="str">
        <f aca="false">IF(B54="","",SUMPRODUCT('Phased Budget'!$H54:$AQ54*(YEAR('Phased Budget'!$H$5:$AQ$5)=YEAR(Projects!$C$2))))</f>
        <v/>
      </c>
      <c r="M54" s="17" t="str">
        <f aca="false">IF(B54="","",SUMPRODUCT('WIP Log'!$D54:$AM54*('WIP Log'!$D$5:$AM$5&lt;=Projects!$C$2)*(YEAR('WIP Log'!$D$5:$AM$5)=YEAR(Projects!$C$2)))+L54)</f>
        <v/>
      </c>
      <c r="N54" s="18" t="str">
        <f aca="false">IF(B54="","",IF(OR(D54="",E54="",G54=""),"Missing start / duration / contract",IF(OR(E54&lt;1,E54&gt;24),"Duration must be 1–24",IF(I54&lt;0,"WIP exceeds contract",IF(AND(J54=0,I54&lt;&gt;0),"Budget not phased: no remaining months",IF(AND(J54&gt;0,Phasing!G54=0,I54&lt;&gt;0),"Budget not phased: remaining weights are 0",IF(OR(D54&lt;Projects!$C$3,F54&gt;EDATE(Projects!$C$3,35)),"Partly outside timeline",IF(Phasing!H54=0,"OK","Weights entered beyond duration (ignored)"))))))))</f>
        <v/>
      </c>
    </row>
    <row r="55" customFormat="false" ht="15" hidden="false" customHeight="false" outlineLevel="0" collapsed="false">
      <c r="A55" s="11" t="n">
        <v>50</v>
      </c>
      <c r="B55" s="12"/>
      <c r="C55" s="12"/>
      <c r="D55" s="13"/>
      <c r="E55" s="12"/>
      <c r="F55" s="14" t="str">
        <f aca="false">IF(OR(D55="",E55=""),"",EDATE(D55,E55-1))</f>
        <v/>
      </c>
      <c r="G55" s="15"/>
      <c r="H55" s="16" t="str">
        <f aca="false">IF(B55="","",'WIP Log'!C55)</f>
        <v/>
      </c>
      <c r="I55" s="17" t="str">
        <f aca="false">IF(B55="","",N(G55)-N(H55))</f>
        <v/>
      </c>
      <c r="J55" s="17" t="str">
        <f aca="false">IF(OR(B55="",E55=""),"",MAX(0,E55-Phasing!F55+1))</f>
        <v/>
      </c>
      <c r="K55" s="17" t="str">
        <f aca="false">IF(B55="","",IF(AND(((YEAR(Projects!$C$2)-YEAR(Projects!$C$3))*12+MONTH(Projects!$C$2)-MONTH(Projects!$C$3)+1)+1&gt;=1,((YEAR(Projects!$C$2)-YEAR(Projects!$C$3))*12+MONTH(Projects!$C$2)-MONTH(Projects!$C$3)+1)+1&lt;=36),INDEX('Phased Budget'!$H55:$AQ55,((YEAR(Projects!$C$2)-YEAR(Projects!$C$3))*12+MONTH(Projects!$C$2)-MONTH(Projects!$C$3)+1)+1),0))</f>
        <v/>
      </c>
      <c r="L55" s="17" t="str">
        <f aca="false">IF(B55="","",SUMPRODUCT('Phased Budget'!$H55:$AQ55*(YEAR('Phased Budget'!$H$5:$AQ$5)=YEAR(Projects!$C$2))))</f>
        <v/>
      </c>
      <c r="M55" s="17" t="str">
        <f aca="false">IF(B55="","",SUMPRODUCT('WIP Log'!$D55:$AM55*('WIP Log'!$D$5:$AM$5&lt;=Projects!$C$2)*(YEAR('WIP Log'!$D$5:$AM$5)=YEAR(Projects!$C$2)))+L55)</f>
        <v/>
      </c>
      <c r="N55" s="18" t="str">
        <f aca="false">IF(B55="","",IF(OR(D55="",E55="",G55=""),"Missing start / duration / contract",IF(OR(E55&lt;1,E55&gt;24),"Duration must be 1–24",IF(I55&lt;0,"WIP exceeds contract",IF(AND(J55=0,I55&lt;&gt;0),"Budget not phased: no remaining months",IF(AND(J55&gt;0,Phasing!G55=0,I55&lt;&gt;0),"Budget not phased: remaining weights are 0",IF(OR(D55&lt;Projects!$C$3,F55&gt;EDATE(Projects!$C$3,35)),"Partly outside timeline",IF(Phasing!H55=0,"OK","Weights entered beyond duration (ignored)"))))))))</f>
        <v/>
      </c>
    </row>
    <row r="57" customFormat="false" ht="15" hidden="false" customHeight="false" outlineLevel="0" collapsed="false">
      <c r="B57" s="4" t="s">
        <v>75</v>
      </c>
      <c r="G57" s="19" t="n">
        <f aca="false">SUM(G6:G55)</f>
        <v>10000</v>
      </c>
      <c r="H57" s="19" t="n">
        <f aca="false">SUM(H6:H55)</f>
        <v>1000</v>
      </c>
      <c r="I57" s="19" t="n">
        <f aca="false">SUM(I6:I55)</f>
        <v>9000</v>
      </c>
      <c r="K57" s="19" t="n">
        <f aca="false">SUM(K6:K55)</f>
        <v>2250</v>
      </c>
      <c r="L57" s="19" t="n">
        <f aca="false">SUM(L6:L55)</f>
        <v>4500</v>
      </c>
      <c r="M57" s="19" t="n">
        <f aca="false">SUM(M6:M55)</f>
        <v>5500</v>
      </c>
      <c r="N57" s="4" t="str">
        <f aca="false">COUNTIFS(N6:N55,"&lt;&gt;OK",B6:B55,"&lt;&gt;")&amp;" project(s) need attention"</f>
        <v>0 project(s) need attention</v>
      </c>
    </row>
  </sheetData>
  <autoFilter ref="A5:N55"/>
  <conditionalFormatting sqref="N6:N55">
    <cfRule type="expression" priority="2" aboveAverage="0" equalAverage="0" bottom="0" percent="0" rank="0" text="" dxfId="8">
      <formula>AND(N6&lt;&gt;"OK",N6&lt;&gt;"")</formula>
    </cfRule>
  </conditionalFormatting>
  <dataValidations count="2">
    <dataValidation allowBlank="true" error="Enter a whole number of months from 1 to 24." errorStyle="stop" errorTitle="Duration" operator="between" showDropDown="false" showErrorMessage="true" showInputMessage="false" sqref="E6:E55" type="whole">
      <formula1>1</formula1>
      <formula2>24</formula2>
    </dataValidation>
    <dataValidation allowBlank="true" error="Enter a date (the first of the month is recommended)." errorStyle="stop" errorTitle="Date" operator="greaterThan" showDropDown="false" showErrorMessage="true" showInputMessage="false" sqref="C2:C3 D6:D55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B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32" min="9" style="0" width="7"/>
    <col collapsed="false" customWidth="true" hidden="false" outlineLevel="0" max="33" min="33" style="0" width="3"/>
    <col collapsed="false" customWidth="true" hidden="false" outlineLevel="0" max="57" min="34" style="0" width="7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H2" s="20" t="s">
        <v>77</v>
      </c>
      <c r="I2" s="20" t="n">
        <v>1</v>
      </c>
      <c r="J2" s="20" t="n">
        <v>2</v>
      </c>
      <c r="K2" s="20" t="n">
        <v>3</v>
      </c>
      <c r="L2" s="20" t="n">
        <v>4</v>
      </c>
      <c r="M2" s="20" t="n">
        <v>5</v>
      </c>
      <c r="N2" s="20" t="n">
        <v>6</v>
      </c>
      <c r="O2" s="20" t="n">
        <v>7</v>
      </c>
      <c r="P2" s="20" t="n">
        <v>8</v>
      </c>
      <c r="Q2" s="20" t="n">
        <v>9</v>
      </c>
      <c r="R2" s="20" t="n">
        <v>10</v>
      </c>
      <c r="S2" s="20" t="n">
        <v>11</v>
      </c>
      <c r="T2" s="20" t="n">
        <v>12</v>
      </c>
      <c r="U2" s="20" t="n">
        <v>13</v>
      </c>
      <c r="V2" s="20" t="n">
        <v>14</v>
      </c>
      <c r="W2" s="20" t="n">
        <v>15</v>
      </c>
      <c r="X2" s="20" t="n">
        <v>16</v>
      </c>
      <c r="Y2" s="20" t="n">
        <v>17</v>
      </c>
      <c r="Z2" s="20" t="n">
        <v>18</v>
      </c>
      <c r="AA2" s="20" t="n">
        <v>19</v>
      </c>
      <c r="AB2" s="20" t="n">
        <v>20</v>
      </c>
      <c r="AC2" s="20" t="n">
        <v>21</v>
      </c>
      <c r="AD2" s="20" t="n">
        <v>22</v>
      </c>
      <c r="AE2" s="20" t="n">
        <v>23</v>
      </c>
      <c r="AF2" s="20" t="n">
        <v>24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  <c r="AP2" s="20" t="n">
        <v>9</v>
      </c>
      <c r="AQ2" s="20" t="n">
        <v>10</v>
      </c>
      <c r="AR2" s="20" t="n">
        <v>11</v>
      </c>
      <c r="AS2" s="20" t="n">
        <v>12</v>
      </c>
      <c r="AT2" s="20" t="n">
        <v>13</v>
      </c>
      <c r="AU2" s="20" t="n">
        <v>14</v>
      </c>
      <c r="AV2" s="20" t="n">
        <v>15</v>
      </c>
      <c r="AW2" s="20" t="n">
        <v>16</v>
      </c>
      <c r="AX2" s="20" t="n">
        <v>17</v>
      </c>
      <c r="AY2" s="20" t="n">
        <v>18</v>
      </c>
      <c r="AZ2" s="20" t="n">
        <v>19</v>
      </c>
      <c r="BA2" s="20" t="n">
        <v>20</v>
      </c>
      <c r="BB2" s="20" t="n">
        <v>21</v>
      </c>
      <c r="BC2" s="20" t="n">
        <v>22</v>
      </c>
      <c r="BD2" s="20" t="n">
        <v>23</v>
      </c>
      <c r="BE2" s="20" t="n">
        <v>24</v>
      </c>
    </row>
    <row r="3" customFormat="false" ht="15" hidden="false" customHeight="false" outlineLevel="0" collapsed="false">
      <c r="A3" s="9" t="s">
        <v>78</v>
      </c>
    </row>
    <row r="4" customFormat="false" ht="15" hidden="false" customHeight="false" outlineLevel="0" collapsed="false">
      <c r="I4" s="4" t="s">
        <v>79</v>
      </c>
      <c r="AH4" s="4" t="s">
        <v>80</v>
      </c>
    </row>
    <row r="5" customFormat="false" ht="45.75" hidden="false" customHeight="true" outlineLevel="0" collapsed="false">
      <c r="A5" s="10" t="s">
        <v>59</v>
      </c>
      <c r="B5" s="10" t="s">
        <v>60</v>
      </c>
      <c r="C5" s="10" t="s">
        <v>81</v>
      </c>
      <c r="D5" s="10" t="s">
        <v>82</v>
      </c>
      <c r="E5" s="10" t="s">
        <v>83</v>
      </c>
      <c r="F5" s="10" t="s">
        <v>84</v>
      </c>
      <c r="G5" s="10" t="s">
        <v>85</v>
      </c>
      <c r="H5" s="10" t="s">
        <v>86</v>
      </c>
      <c r="I5" s="10" t="s">
        <v>87</v>
      </c>
      <c r="J5" s="10" t="s">
        <v>88</v>
      </c>
      <c r="K5" s="10" t="s">
        <v>89</v>
      </c>
      <c r="L5" s="10" t="s">
        <v>90</v>
      </c>
      <c r="M5" s="10" t="s">
        <v>91</v>
      </c>
      <c r="N5" s="10" t="s">
        <v>92</v>
      </c>
      <c r="O5" s="10" t="s">
        <v>93</v>
      </c>
      <c r="P5" s="10" t="s">
        <v>94</v>
      </c>
      <c r="Q5" s="10" t="s">
        <v>95</v>
      </c>
      <c r="R5" s="10" t="s">
        <v>96</v>
      </c>
      <c r="S5" s="10" t="s">
        <v>97</v>
      </c>
      <c r="T5" s="10" t="s">
        <v>98</v>
      </c>
      <c r="U5" s="10" t="s">
        <v>99</v>
      </c>
      <c r="V5" s="10" t="s">
        <v>100</v>
      </c>
      <c r="W5" s="10" t="s">
        <v>101</v>
      </c>
      <c r="X5" s="10" t="s">
        <v>102</v>
      </c>
      <c r="Y5" s="10" t="s">
        <v>103</v>
      </c>
      <c r="Z5" s="10" t="s">
        <v>104</v>
      </c>
      <c r="AA5" s="10" t="s">
        <v>105</v>
      </c>
      <c r="AB5" s="10" t="s">
        <v>106</v>
      </c>
      <c r="AC5" s="10" t="s">
        <v>107</v>
      </c>
      <c r="AD5" s="10" t="s">
        <v>108</v>
      </c>
      <c r="AE5" s="10" t="s">
        <v>109</v>
      </c>
      <c r="AF5" s="10" t="s">
        <v>110</v>
      </c>
      <c r="AH5" s="10" t="s">
        <v>87</v>
      </c>
      <c r="AI5" s="10" t="s">
        <v>88</v>
      </c>
      <c r="AJ5" s="10" t="s">
        <v>89</v>
      </c>
      <c r="AK5" s="10" t="s">
        <v>90</v>
      </c>
      <c r="AL5" s="10" t="s">
        <v>91</v>
      </c>
      <c r="AM5" s="10" t="s">
        <v>92</v>
      </c>
      <c r="AN5" s="10" t="s">
        <v>93</v>
      </c>
      <c r="AO5" s="10" t="s">
        <v>94</v>
      </c>
      <c r="AP5" s="10" t="s">
        <v>95</v>
      </c>
      <c r="AQ5" s="10" t="s">
        <v>96</v>
      </c>
      <c r="AR5" s="10" t="s">
        <v>97</v>
      </c>
      <c r="AS5" s="10" t="s">
        <v>98</v>
      </c>
      <c r="AT5" s="10" t="s">
        <v>99</v>
      </c>
      <c r="AU5" s="10" t="s">
        <v>100</v>
      </c>
      <c r="AV5" s="10" t="s">
        <v>101</v>
      </c>
      <c r="AW5" s="10" t="s">
        <v>102</v>
      </c>
      <c r="AX5" s="10" t="s">
        <v>103</v>
      </c>
      <c r="AY5" s="10" t="s">
        <v>104</v>
      </c>
      <c r="AZ5" s="10" t="s">
        <v>105</v>
      </c>
      <c r="BA5" s="10" t="s">
        <v>106</v>
      </c>
      <c r="BB5" s="10" t="s">
        <v>107</v>
      </c>
      <c r="BC5" s="10" t="s">
        <v>108</v>
      </c>
      <c r="BD5" s="10" t="s">
        <v>109</v>
      </c>
      <c r="BE5" s="10" t="s">
        <v>110</v>
      </c>
      <c r="BF5" s="4" t="s">
        <v>111</v>
      </c>
    </row>
    <row r="6" customFormat="false" ht="15" hidden="false" customHeight="false" outlineLevel="0" collapsed="false">
      <c r="A6" s="11" t="n">
        <v>1</v>
      </c>
      <c r="B6" s="21" t="str">
        <f aca="false">IF(Projects!B6="","",Projects!B6)</f>
        <v>Example Project (slide)</v>
      </c>
      <c r="C6" s="22" t="n">
        <f aca="false">IF(Projects!E6="","",Projects!E6)</f>
        <v>5</v>
      </c>
      <c r="D6" s="23" t="n">
        <f aca="false">COUNT($I6:$AF6)</f>
        <v>5</v>
      </c>
      <c r="E6" s="23" t="n">
        <f aca="false">IF(C6="",0,IF(D6=0,C6,SUMPRODUCT($I6:$AF6*($I$2:$AF$2&lt;=C6))))</f>
        <v>9</v>
      </c>
      <c r="F6" s="23" t="n">
        <f aca="false">IF(OR(C6="",Projects!D6=""),1,MAX(1,((YEAR(Projects!$C$2)-YEAR(Projects!D6))*12+MONTH(Projects!$C$2)-MONTH(Projects!D6)+1)+1))</f>
        <v>2</v>
      </c>
      <c r="G6" s="23" t="n">
        <f aca="false">IF(C6="",0,IF(D6=0,MAX(0,C6-F6+1),SUMPRODUCT($I6:$AF6*($I$2:$AF$2&gt;=F6)*($I$2:$AF$2&lt;=C6))))</f>
        <v>8</v>
      </c>
      <c r="H6" s="23" t="n">
        <f aca="false">IF(C6="",0,SUMPRODUCT(($I6:$AF6&lt;&gt;0)*($I$2:$AF$2&gt;C6)))</f>
        <v>0</v>
      </c>
      <c r="I6" s="24" t="n">
        <v>1</v>
      </c>
      <c r="J6" s="24" t="n">
        <v>2</v>
      </c>
      <c r="K6" s="24" t="n">
        <v>2</v>
      </c>
      <c r="L6" s="24" t="n">
        <v>2</v>
      </c>
      <c r="M6" s="24" t="n">
        <v>2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H6" s="25" t="n">
        <f aca="false">IF(OR(C6="",AH$2&gt;C6,E6=0),"",IF(D6=0,1/C6,N(I6)/E6))</f>
        <v>0.111111111111111</v>
      </c>
      <c r="AI6" s="25" t="n">
        <f aca="false">IF(OR(C6="",AI$2&gt;C6,E6=0),"",IF(D6=0,1/C6,N(J6)/E6))</f>
        <v>0.222222222222222</v>
      </c>
      <c r="AJ6" s="25" t="n">
        <f aca="false">IF(OR(C6="",AJ$2&gt;C6,E6=0),"",IF(D6=0,1/C6,N(K6)/E6))</f>
        <v>0.222222222222222</v>
      </c>
      <c r="AK6" s="25" t="n">
        <f aca="false">IF(OR(C6="",AK$2&gt;C6,E6=0),"",IF(D6=0,1/C6,N(L6)/E6))</f>
        <v>0.222222222222222</v>
      </c>
      <c r="AL6" s="25" t="n">
        <f aca="false">IF(OR(C6="",AL$2&gt;C6,E6=0),"",IF(D6=0,1/C6,N(M6)/E6))</f>
        <v>0.222222222222222</v>
      </c>
      <c r="AM6" s="25" t="str">
        <f aca="false">IF(OR(C6="",AM$2&gt;C6,E6=0),"",IF(D6=0,1/C6,N(N6)/E6))</f>
        <v/>
      </c>
      <c r="AN6" s="25" t="str">
        <f aca="false">IF(OR(C6="",AN$2&gt;C6,E6=0),"",IF(D6=0,1/C6,N(O6)/E6))</f>
        <v/>
      </c>
      <c r="AO6" s="25" t="str">
        <f aca="false">IF(OR(C6="",AO$2&gt;C6,E6=0),"",IF(D6=0,1/C6,N(P6)/E6))</f>
        <v/>
      </c>
      <c r="AP6" s="25" t="str">
        <f aca="false">IF(OR(C6="",AP$2&gt;C6,E6=0),"",IF(D6=0,1/C6,N(Q6)/E6))</f>
        <v/>
      </c>
      <c r="AQ6" s="25" t="str">
        <f aca="false">IF(OR(C6="",AQ$2&gt;C6,E6=0),"",IF(D6=0,1/C6,N(R6)/E6))</f>
        <v/>
      </c>
      <c r="AR6" s="25" t="str">
        <f aca="false">IF(OR(C6="",AR$2&gt;C6,E6=0),"",IF(D6=0,1/C6,N(S6)/E6))</f>
        <v/>
      </c>
      <c r="AS6" s="25" t="str">
        <f aca="false">IF(OR(C6="",AS$2&gt;C6,E6=0),"",IF(D6=0,1/C6,N(T6)/E6))</f>
        <v/>
      </c>
      <c r="AT6" s="25" t="str">
        <f aca="false">IF(OR(C6="",AT$2&gt;C6,E6=0),"",IF(D6=0,1/C6,N(U6)/E6))</f>
        <v/>
      </c>
      <c r="AU6" s="25" t="str">
        <f aca="false">IF(OR(C6="",AU$2&gt;C6,E6=0),"",IF(D6=0,1/C6,N(V6)/E6))</f>
        <v/>
      </c>
      <c r="AV6" s="25" t="str">
        <f aca="false">IF(OR(C6="",AV$2&gt;C6,E6=0),"",IF(D6=0,1/C6,N(W6)/E6))</f>
        <v/>
      </c>
      <c r="AW6" s="25" t="str">
        <f aca="false">IF(OR(C6="",AW$2&gt;C6,E6=0),"",IF(D6=0,1/C6,N(X6)/E6))</f>
        <v/>
      </c>
      <c r="AX6" s="25" t="str">
        <f aca="false">IF(OR(C6="",AX$2&gt;C6,E6=0),"",IF(D6=0,1/C6,N(Y6)/E6))</f>
        <v/>
      </c>
      <c r="AY6" s="25" t="str">
        <f aca="false">IF(OR(C6="",AY$2&gt;C6,E6=0),"",IF(D6=0,1/C6,N(Z6)/E6))</f>
        <v/>
      </c>
      <c r="AZ6" s="25" t="str">
        <f aca="false">IF(OR(C6="",AZ$2&gt;C6,E6=0),"",IF(D6=0,1/C6,N(AA6)/E6))</f>
        <v/>
      </c>
      <c r="BA6" s="25" t="str">
        <f aca="false">IF(OR(C6="",BA$2&gt;C6,E6=0),"",IF(D6=0,1/C6,N(AB6)/E6))</f>
        <v/>
      </c>
      <c r="BB6" s="25" t="str">
        <f aca="false">IF(OR(C6="",BB$2&gt;C6,E6=0),"",IF(D6=0,1/C6,N(AC6)/E6))</f>
        <v/>
      </c>
      <c r="BC6" s="25" t="str">
        <f aca="false">IF(OR(C6="",BC$2&gt;C6,E6=0),"",IF(D6=0,1/C6,N(AD6)/E6))</f>
        <v/>
      </c>
      <c r="BD6" s="25" t="str">
        <f aca="false">IF(OR(C6="",BD$2&gt;C6,E6=0),"",IF(D6=0,1/C6,N(AE6)/E6))</f>
        <v/>
      </c>
      <c r="BE6" s="25" t="str">
        <f aca="false">IF(OR(C6="",BE$2&gt;C6,E6=0),"",IF(D6=0,1/C6,N(AF6)/E6))</f>
        <v/>
      </c>
      <c r="BF6" s="26" t="n">
        <f aca="false">IF(C6="","",SUM(AH6:BE6))</f>
        <v>1</v>
      </c>
    </row>
    <row r="7" customFormat="false" ht="15" hidden="false" customHeight="false" outlineLevel="0" collapsed="false">
      <c r="A7" s="11" t="n">
        <v>2</v>
      </c>
      <c r="B7" s="21" t="str">
        <f aca="false">IF(Projects!B7="","",Projects!B7)</f>
        <v/>
      </c>
      <c r="C7" s="22" t="str">
        <f aca="false">IF(Projects!E7="","",Projects!E7)</f>
        <v/>
      </c>
      <c r="D7" s="23" t="n">
        <f aca="false">COUNT($I7:$AF7)</f>
        <v>0</v>
      </c>
      <c r="E7" s="23" t="n">
        <f aca="false">IF(C7="",0,IF(D7=0,C7,SUMPRODUCT($I7:$AF7*($I$2:$AF$2&lt;=C7))))</f>
        <v>0</v>
      </c>
      <c r="F7" s="23" t="n">
        <f aca="false">IF(OR(C7="",Projects!D7=""),1,MAX(1,((YEAR(Projects!$C$2)-YEAR(Projects!D7))*12+MONTH(Projects!$C$2)-MONTH(Projects!D7)+1)+1))</f>
        <v>1</v>
      </c>
      <c r="G7" s="23" t="n">
        <f aca="false">IF(C7="",0,IF(D7=0,MAX(0,C7-F7+1),SUMPRODUCT($I7:$AF7*($I$2:$AF$2&gt;=F7)*($I$2:$AF$2&lt;=C7))))</f>
        <v>0</v>
      </c>
      <c r="H7" s="23" t="n">
        <f aca="false">IF(C7="",0,SUMPRODUCT(($I7:$AF7&lt;&gt;0)*($I$2:$AF$2&gt;C7)))</f>
        <v>0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H7" s="25" t="str">
        <f aca="false">IF(OR(C7="",AH$2&gt;C7,E7=0),"",IF(D7=0,1/C7,N(I7)/E7))</f>
        <v/>
      </c>
      <c r="AI7" s="25" t="str">
        <f aca="false">IF(OR(C7="",AI$2&gt;C7,E7=0),"",IF(D7=0,1/C7,N(J7)/E7))</f>
        <v/>
      </c>
      <c r="AJ7" s="25" t="str">
        <f aca="false">IF(OR(C7="",AJ$2&gt;C7,E7=0),"",IF(D7=0,1/C7,N(K7)/E7))</f>
        <v/>
      </c>
      <c r="AK7" s="25" t="str">
        <f aca="false">IF(OR(C7="",AK$2&gt;C7,E7=0),"",IF(D7=0,1/C7,N(L7)/E7))</f>
        <v/>
      </c>
      <c r="AL7" s="25" t="str">
        <f aca="false">IF(OR(C7="",AL$2&gt;C7,E7=0),"",IF(D7=0,1/C7,N(M7)/E7))</f>
        <v/>
      </c>
      <c r="AM7" s="25" t="str">
        <f aca="false">IF(OR(C7="",AM$2&gt;C7,E7=0),"",IF(D7=0,1/C7,N(N7)/E7))</f>
        <v/>
      </c>
      <c r="AN7" s="25" t="str">
        <f aca="false">IF(OR(C7="",AN$2&gt;C7,E7=0),"",IF(D7=0,1/C7,N(O7)/E7))</f>
        <v/>
      </c>
      <c r="AO7" s="25" t="str">
        <f aca="false">IF(OR(C7="",AO$2&gt;C7,E7=0),"",IF(D7=0,1/C7,N(P7)/E7))</f>
        <v/>
      </c>
      <c r="AP7" s="25" t="str">
        <f aca="false">IF(OR(C7="",AP$2&gt;C7,E7=0),"",IF(D7=0,1/C7,N(Q7)/E7))</f>
        <v/>
      </c>
      <c r="AQ7" s="25" t="str">
        <f aca="false">IF(OR(C7="",AQ$2&gt;C7,E7=0),"",IF(D7=0,1/C7,N(R7)/E7))</f>
        <v/>
      </c>
      <c r="AR7" s="25" t="str">
        <f aca="false">IF(OR(C7="",AR$2&gt;C7,E7=0),"",IF(D7=0,1/C7,N(S7)/E7))</f>
        <v/>
      </c>
      <c r="AS7" s="25" t="str">
        <f aca="false">IF(OR(C7="",AS$2&gt;C7,E7=0),"",IF(D7=0,1/C7,N(T7)/E7))</f>
        <v/>
      </c>
      <c r="AT7" s="25" t="str">
        <f aca="false">IF(OR(C7="",AT$2&gt;C7,E7=0),"",IF(D7=0,1/C7,N(U7)/E7))</f>
        <v/>
      </c>
      <c r="AU7" s="25" t="str">
        <f aca="false">IF(OR(C7="",AU$2&gt;C7,E7=0),"",IF(D7=0,1/C7,N(V7)/E7))</f>
        <v/>
      </c>
      <c r="AV7" s="25" t="str">
        <f aca="false">IF(OR(C7="",AV$2&gt;C7,E7=0),"",IF(D7=0,1/C7,N(W7)/E7))</f>
        <v/>
      </c>
      <c r="AW7" s="25" t="str">
        <f aca="false">IF(OR(C7="",AW$2&gt;C7,E7=0),"",IF(D7=0,1/C7,N(X7)/E7))</f>
        <v/>
      </c>
      <c r="AX7" s="25" t="str">
        <f aca="false">IF(OR(C7="",AX$2&gt;C7,E7=0),"",IF(D7=0,1/C7,N(Y7)/E7))</f>
        <v/>
      </c>
      <c r="AY7" s="25" t="str">
        <f aca="false">IF(OR(C7="",AY$2&gt;C7,E7=0),"",IF(D7=0,1/C7,N(Z7)/E7))</f>
        <v/>
      </c>
      <c r="AZ7" s="25" t="str">
        <f aca="false">IF(OR(C7="",AZ$2&gt;C7,E7=0),"",IF(D7=0,1/C7,N(AA7)/E7))</f>
        <v/>
      </c>
      <c r="BA7" s="25" t="str">
        <f aca="false">IF(OR(C7="",BA$2&gt;C7,E7=0),"",IF(D7=0,1/C7,N(AB7)/E7))</f>
        <v/>
      </c>
      <c r="BB7" s="25" t="str">
        <f aca="false">IF(OR(C7="",BB$2&gt;C7,E7=0),"",IF(D7=0,1/C7,N(AC7)/E7))</f>
        <v/>
      </c>
      <c r="BC7" s="25" t="str">
        <f aca="false">IF(OR(C7="",BC$2&gt;C7,E7=0),"",IF(D7=0,1/C7,N(AD7)/E7))</f>
        <v/>
      </c>
      <c r="BD7" s="25" t="str">
        <f aca="false">IF(OR(C7="",BD$2&gt;C7,E7=0),"",IF(D7=0,1/C7,N(AE7)/E7))</f>
        <v/>
      </c>
      <c r="BE7" s="25" t="str">
        <f aca="false">IF(OR(C7="",BE$2&gt;C7,E7=0),"",IF(D7=0,1/C7,N(AF7)/E7))</f>
        <v/>
      </c>
      <c r="BF7" s="26" t="str">
        <f aca="false">IF(C7="","",SUM(AH7:BE7))</f>
        <v/>
      </c>
    </row>
    <row r="8" customFormat="false" ht="15" hidden="false" customHeight="false" outlineLevel="0" collapsed="false">
      <c r="A8" s="11" t="n">
        <v>3</v>
      </c>
      <c r="B8" s="21" t="str">
        <f aca="false">IF(Projects!B8="","",Projects!B8)</f>
        <v/>
      </c>
      <c r="C8" s="22" t="str">
        <f aca="false">IF(Projects!E8="","",Projects!E8)</f>
        <v/>
      </c>
      <c r="D8" s="23" t="n">
        <f aca="false">COUNT($I8:$AF8)</f>
        <v>0</v>
      </c>
      <c r="E8" s="23" t="n">
        <f aca="false">IF(C8="",0,IF(D8=0,C8,SUMPRODUCT($I8:$AF8*($I$2:$AF$2&lt;=C8))))</f>
        <v>0</v>
      </c>
      <c r="F8" s="23" t="n">
        <f aca="false">IF(OR(C8="",Projects!D8=""),1,MAX(1,((YEAR(Projects!$C$2)-YEAR(Projects!D8))*12+MONTH(Projects!$C$2)-MONTH(Projects!D8)+1)+1))</f>
        <v>1</v>
      </c>
      <c r="G8" s="23" t="n">
        <f aca="false">IF(C8="",0,IF(D8=0,MAX(0,C8-F8+1),SUMPRODUCT($I8:$AF8*($I$2:$AF$2&gt;=F8)*($I$2:$AF$2&lt;=C8))))</f>
        <v>0</v>
      </c>
      <c r="H8" s="23" t="n">
        <f aca="false">IF(C8="",0,SUMPRODUCT(($I8:$AF8&lt;&gt;0)*($I$2:$AF$2&gt;C8)))</f>
        <v>0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H8" s="25" t="str">
        <f aca="false">IF(OR(C8="",AH$2&gt;C8,E8=0),"",IF(D8=0,1/C8,N(I8)/E8))</f>
        <v/>
      </c>
      <c r="AI8" s="25" t="str">
        <f aca="false">IF(OR(C8="",AI$2&gt;C8,E8=0),"",IF(D8=0,1/C8,N(J8)/E8))</f>
        <v/>
      </c>
      <c r="AJ8" s="25" t="str">
        <f aca="false">IF(OR(C8="",AJ$2&gt;C8,E8=0),"",IF(D8=0,1/C8,N(K8)/E8))</f>
        <v/>
      </c>
      <c r="AK8" s="25" t="str">
        <f aca="false">IF(OR(C8="",AK$2&gt;C8,E8=0),"",IF(D8=0,1/C8,N(L8)/E8))</f>
        <v/>
      </c>
      <c r="AL8" s="25" t="str">
        <f aca="false">IF(OR(C8="",AL$2&gt;C8,E8=0),"",IF(D8=0,1/C8,N(M8)/E8))</f>
        <v/>
      </c>
      <c r="AM8" s="25" t="str">
        <f aca="false">IF(OR(C8="",AM$2&gt;C8,E8=0),"",IF(D8=0,1/C8,N(N8)/E8))</f>
        <v/>
      </c>
      <c r="AN8" s="25" t="str">
        <f aca="false">IF(OR(C8="",AN$2&gt;C8,E8=0),"",IF(D8=0,1/C8,N(O8)/E8))</f>
        <v/>
      </c>
      <c r="AO8" s="25" t="str">
        <f aca="false">IF(OR(C8="",AO$2&gt;C8,E8=0),"",IF(D8=0,1/C8,N(P8)/E8))</f>
        <v/>
      </c>
      <c r="AP8" s="25" t="str">
        <f aca="false">IF(OR(C8="",AP$2&gt;C8,E8=0),"",IF(D8=0,1/C8,N(Q8)/E8))</f>
        <v/>
      </c>
      <c r="AQ8" s="25" t="str">
        <f aca="false">IF(OR(C8="",AQ$2&gt;C8,E8=0),"",IF(D8=0,1/C8,N(R8)/E8))</f>
        <v/>
      </c>
      <c r="AR8" s="25" t="str">
        <f aca="false">IF(OR(C8="",AR$2&gt;C8,E8=0),"",IF(D8=0,1/C8,N(S8)/E8))</f>
        <v/>
      </c>
      <c r="AS8" s="25" t="str">
        <f aca="false">IF(OR(C8="",AS$2&gt;C8,E8=0),"",IF(D8=0,1/C8,N(T8)/E8))</f>
        <v/>
      </c>
      <c r="AT8" s="25" t="str">
        <f aca="false">IF(OR(C8="",AT$2&gt;C8,E8=0),"",IF(D8=0,1/C8,N(U8)/E8))</f>
        <v/>
      </c>
      <c r="AU8" s="25" t="str">
        <f aca="false">IF(OR(C8="",AU$2&gt;C8,E8=0),"",IF(D8=0,1/C8,N(V8)/E8))</f>
        <v/>
      </c>
      <c r="AV8" s="25" t="str">
        <f aca="false">IF(OR(C8="",AV$2&gt;C8,E8=0),"",IF(D8=0,1/C8,N(W8)/E8))</f>
        <v/>
      </c>
      <c r="AW8" s="25" t="str">
        <f aca="false">IF(OR(C8="",AW$2&gt;C8,E8=0),"",IF(D8=0,1/C8,N(X8)/E8))</f>
        <v/>
      </c>
      <c r="AX8" s="25" t="str">
        <f aca="false">IF(OR(C8="",AX$2&gt;C8,E8=0),"",IF(D8=0,1/C8,N(Y8)/E8))</f>
        <v/>
      </c>
      <c r="AY8" s="25" t="str">
        <f aca="false">IF(OR(C8="",AY$2&gt;C8,E8=0),"",IF(D8=0,1/C8,N(Z8)/E8))</f>
        <v/>
      </c>
      <c r="AZ8" s="25" t="str">
        <f aca="false">IF(OR(C8="",AZ$2&gt;C8,E8=0),"",IF(D8=0,1/C8,N(AA8)/E8))</f>
        <v/>
      </c>
      <c r="BA8" s="25" t="str">
        <f aca="false">IF(OR(C8="",BA$2&gt;C8,E8=0),"",IF(D8=0,1/C8,N(AB8)/E8))</f>
        <v/>
      </c>
      <c r="BB8" s="25" t="str">
        <f aca="false">IF(OR(C8="",BB$2&gt;C8,E8=0),"",IF(D8=0,1/C8,N(AC8)/E8))</f>
        <v/>
      </c>
      <c r="BC8" s="25" t="str">
        <f aca="false">IF(OR(C8="",BC$2&gt;C8,E8=0),"",IF(D8=0,1/C8,N(AD8)/E8))</f>
        <v/>
      </c>
      <c r="BD8" s="25" t="str">
        <f aca="false">IF(OR(C8="",BD$2&gt;C8,E8=0),"",IF(D8=0,1/C8,N(AE8)/E8))</f>
        <v/>
      </c>
      <c r="BE8" s="25" t="str">
        <f aca="false">IF(OR(C8="",BE$2&gt;C8,E8=0),"",IF(D8=0,1/C8,N(AF8)/E8))</f>
        <v/>
      </c>
      <c r="BF8" s="26" t="str">
        <f aca="false">IF(C8="","",SUM(AH8:BE8))</f>
        <v/>
      </c>
    </row>
    <row r="9" customFormat="false" ht="15" hidden="false" customHeight="false" outlineLevel="0" collapsed="false">
      <c r="A9" s="11" t="n">
        <v>4</v>
      </c>
      <c r="B9" s="21" t="str">
        <f aca="false">IF(Projects!B9="","",Projects!B9)</f>
        <v/>
      </c>
      <c r="C9" s="22" t="str">
        <f aca="false">IF(Projects!E9="","",Projects!E9)</f>
        <v/>
      </c>
      <c r="D9" s="23" t="n">
        <f aca="false">COUNT($I9:$AF9)</f>
        <v>0</v>
      </c>
      <c r="E9" s="23" t="n">
        <f aca="false">IF(C9="",0,IF(D9=0,C9,SUMPRODUCT($I9:$AF9*($I$2:$AF$2&lt;=C9))))</f>
        <v>0</v>
      </c>
      <c r="F9" s="23" t="n">
        <f aca="false">IF(OR(C9="",Projects!D9=""),1,MAX(1,((YEAR(Projects!$C$2)-YEAR(Projects!D9))*12+MONTH(Projects!$C$2)-MONTH(Projects!D9)+1)+1))</f>
        <v>1</v>
      </c>
      <c r="G9" s="23" t="n">
        <f aca="false">IF(C9="",0,IF(D9=0,MAX(0,C9-F9+1),SUMPRODUCT($I9:$AF9*($I$2:$AF$2&gt;=F9)*($I$2:$AF$2&lt;=C9))))</f>
        <v>0</v>
      </c>
      <c r="H9" s="23" t="n">
        <f aca="false">IF(C9="",0,SUMPRODUCT(($I9:$AF9&lt;&gt;0)*($I$2:$AF$2&gt;C9)))</f>
        <v>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H9" s="25" t="str">
        <f aca="false">IF(OR(C9="",AH$2&gt;C9,E9=0),"",IF(D9=0,1/C9,N(I9)/E9))</f>
        <v/>
      </c>
      <c r="AI9" s="25" t="str">
        <f aca="false">IF(OR(C9="",AI$2&gt;C9,E9=0),"",IF(D9=0,1/C9,N(J9)/E9))</f>
        <v/>
      </c>
      <c r="AJ9" s="25" t="str">
        <f aca="false">IF(OR(C9="",AJ$2&gt;C9,E9=0),"",IF(D9=0,1/C9,N(K9)/E9))</f>
        <v/>
      </c>
      <c r="AK9" s="25" t="str">
        <f aca="false">IF(OR(C9="",AK$2&gt;C9,E9=0),"",IF(D9=0,1/C9,N(L9)/E9))</f>
        <v/>
      </c>
      <c r="AL9" s="25" t="str">
        <f aca="false">IF(OR(C9="",AL$2&gt;C9,E9=0),"",IF(D9=0,1/C9,N(M9)/E9))</f>
        <v/>
      </c>
      <c r="AM9" s="25" t="str">
        <f aca="false">IF(OR(C9="",AM$2&gt;C9,E9=0),"",IF(D9=0,1/C9,N(N9)/E9))</f>
        <v/>
      </c>
      <c r="AN9" s="25" t="str">
        <f aca="false">IF(OR(C9="",AN$2&gt;C9,E9=0),"",IF(D9=0,1/C9,N(O9)/E9))</f>
        <v/>
      </c>
      <c r="AO9" s="25" t="str">
        <f aca="false">IF(OR(C9="",AO$2&gt;C9,E9=0),"",IF(D9=0,1/C9,N(P9)/E9))</f>
        <v/>
      </c>
      <c r="AP9" s="25" t="str">
        <f aca="false">IF(OR(C9="",AP$2&gt;C9,E9=0),"",IF(D9=0,1/C9,N(Q9)/E9))</f>
        <v/>
      </c>
      <c r="AQ9" s="25" t="str">
        <f aca="false">IF(OR(C9="",AQ$2&gt;C9,E9=0),"",IF(D9=0,1/C9,N(R9)/E9))</f>
        <v/>
      </c>
      <c r="AR9" s="25" t="str">
        <f aca="false">IF(OR(C9="",AR$2&gt;C9,E9=0),"",IF(D9=0,1/C9,N(S9)/E9))</f>
        <v/>
      </c>
      <c r="AS9" s="25" t="str">
        <f aca="false">IF(OR(C9="",AS$2&gt;C9,E9=0),"",IF(D9=0,1/C9,N(T9)/E9))</f>
        <v/>
      </c>
      <c r="AT9" s="25" t="str">
        <f aca="false">IF(OR(C9="",AT$2&gt;C9,E9=0),"",IF(D9=0,1/C9,N(U9)/E9))</f>
        <v/>
      </c>
      <c r="AU9" s="25" t="str">
        <f aca="false">IF(OR(C9="",AU$2&gt;C9,E9=0),"",IF(D9=0,1/C9,N(V9)/E9))</f>
        <v/>
      </c>
      <c r="AV9" s="25" t="str">
        <f aca="false">IF(OR(C9="",AV$2&gt;C9,E9=0),"",IF(D9=0,1/C9,N(W9)/E9))</f>
        <v/>
      </c>
      <c r="AW9" s="25" t="str">
        <f aca="false">IF(OR(C9="",AW$2&gt;C9,E9=0),"",IF(D9=0,1/C9,N(X9)/E9))</f>
        <v/>
      </c>
      <c r="AX9" s="25" t="str">
        <f aca="false">IF(OR(C9="",AX$2&gt;C9,E9=0),"",IF(D9=0,1/C9,N(Y9)/E9))</f>
        <v/>
      </c>
      <c r="AY9" s="25" t="str">
        <f aca="false">IF(OR(C9="",AY$2&gt;C9,E9=0),"",IF(D9=0,1/C9,N(Z9)/E9))</f>
        <v/>
      </c>
      <c r="AZ9" s="25" t="str">
        <f aca="false">IF(OR(C9="",AZ$2&gt;C9,E9=0),"",IF(D9=0,1/C9,N(AA9)/E9))</f>
        <v/>
      </c>
      <c r="BA9" s="25" t="str">
        <f aca="false">IF(OR(C9="",BA$2&gt;C9,E9=0),"",IF(D9=0,1/C9,N(AB9)/E9))</f>
        <v/>
      </c>
      <c r="BB9" s="25" t="str">
        <f aca="false">IF(OR(C9="",BB$2&gt;C9,E9=0),"",IF(D9=0,1/C9,N(AC9)/E9))</f>
        <v/>
      </c>
      <c r="BC9" s="25" t="str">
        <f aca="false">IF(OR(C9="",BC$2&gt;C9,E9=0),"",IF(D9=0,1/C9,N(AD9)/E9))</f>
        <v/>
      </c>
      <c r="BD9" s="25" t="str">
        <f aca="false">IF(OR(C9="",BD$2&gt;C9,E9=0),"",IF(D9=0,1/C9,N(AE9)/E9))</f>
        <v/>
      </c>
      <c r="BE9" s="25" t="str">
        <f aca="false">IF(OR(C9="",BE$2&gt;C9,E9=0),"",IF(D9=0,1/C9,N(AF9)/E9))</f>
        <v/>
      </c>
      <c r="BF9" s="26" t="str">
        <f aca="false">IF(C9="","",SUM(AH9:BE9))</f>
        <v/>
      </c>
    </row>
    <row r="10" customFormat="false" ht="15" hidden="false" customHeight="false" outlineLevel="0" collapsed="false">
      <c r="A10" s="11" t="n">
        <v>5</v>
      </c>
      <c r="B10" s="21" t="str">
        <f aca="false">IF(Projects!B10="","",Projects!B10)</f>
        <v/>
      </c>
      <c r="C10" s="22" t="str">
        <f aca="false">IF(Projects!E10="","",Projects!E10)</f>
        <v/>
      </c>
      <c r="D10" s="23" t="n">
        <f aca="false">COUNT($I10:$AF10)</f>
        <v>0</v>
      </c>
      <c r="E10" s="23" t="n">
        <f aca="false">IF(C10="",0,IF(D10=0,C10,SUMPRODUCT($I10:$AF10*($I$2:$AF$2&lt;=C10))))</f>
        <v>0</v>
      </c>
      <c r="F10" s="23" t="n">
        <f aca="false">IF(OR(C10="",Projects!D10=""),1,MAX(1,((YEAR(Projects!$C$2)-YEAR(Projects!D10))*12+MONTH(Projects!$C$2)-MONTH(Projects!D10)+1)+1))</f>
        <v>1</v>
      </c>
      <c r="G10" s="23" t="n">
        <f aca="false">IF(C10="",0,IF(D10=0,MAX(0,C10-F10+1),SUMPRODUCT($I10:$AF10*($I$2:$AF$2&gt;=F10)*($I$2:$AF$2&lt;=C10))))</f>
        <v>0</v>
      </c>
      <c r="H10" s="23" t="n">
        <f aca="false">IF(C10="",0,SUMPRODUCT(($I10:$AF10&lt;&gt;0)*($I$2:$AF$2&gt;C10)))</f>
        <v>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H10" s="25" t="str">
        <f aca="false">IF(OR(C10="",AH$2&gt;C10,E10=0),"",IF(D10=0,1/C10,N(I10)/E10))</f>
        <v/>
      </c>
      <c r="AI10" s="25" t="str">
        <f aca="false">IF(OR(C10="",AI$2&gt;C10,E10=0),"",IF(D10=0,1/C10,N(J10)/E10))</f>
        <v/>
      </c>
      <c r="AJ10" s="25" t="str">
        <f aca="false">IF(OR(C10="",AJ$2&gt;C10,E10=0),"",IF(D10=0,1/C10,N(K10)/E10))</f>
        <v/>
      </c>
      <c r="AK10" s="25" t="str">
        <f aca="false">IF(OR(C10="",AK$2&gt;C10,E10=0),"",IF(D10=0,1/C10,N(L10)/E10))</f>
        <v/>
      </c>
      <c r="AL10" s="25" t="str">
        <f aca="false">IF(OR(C10="",AL$2&gt;C10,E10=0),"",IF(D10=0,1/C10,N(M10)/E10))</f>
        <v/>
      </c>
      <c r="AM10" s="25" t="str">
        <f aca="false">IF(OR(C10="",AM$2&gt;C10,E10=0),"",IF(D10=0,1/C10,N(N10)/E10))</f>
        <v/>
      </c>
      <c r="AN10" s="25" t="str">
        <f aca="false">IF(OR(C10="",AN$2&gt;C10,E10=0),"",IF(D10=0,1/C10,N(O10)/E10))</f>
        <v/>
      </c>
      <c r="AO10" s="25" t="str">
        <f aca="false">IF(OR(C10="",AO$2&gt;C10,E10=0),"",IF(D10=0,1/C10,N(P10)/E10))</f>
        <v/>
      </c>
      <c r="AP10" s="25" t="str">
        <f aca="false">IF(OR(C10="",AP$2&gt;C10,E10=0),"",IF(D10=0,1/C10,N(Q10)/E10))</f>
        <v/>
      </c>
      <c r="AQ10" s="25" t="str">
        <f aca="false">IF(OR(C10="",AQ$2&gt;C10,E10=0),"",IF(D10=0,1/C10,N(R10)/E10))</f>
        <v/>
      </c>
      <c r="AR10" s="25" t="str">
        <f aca="false">IF(OR(C10="",AR$2&gt;C10,E10=0),"",IF(D10=0,1/C10,N(S10)/E10))</f>
        <v/>
      </c>
      <c r="AS10" s="25" t="str">
        <f aca="false">IF(OR(C10="",AS$2&gt;C10,E10=0),"",IF(D10=0,1/C10,N(T10)/E10))</f>
        <v/>
      </c>
      <c r="AT10" s="25" t="str">
        <f aca="false">IF(OR(C10="",AT$2&gt;C10,E10=0),"",IF(D10=0,1/C10,N(U10)/E10))</f>
        <v/>
      </c>
      <c r="AU10" s="25" t="str">
        <f aca="false">IF(OR(C10="",AU$2&gt;C10,E10=0),"",IF(D10=0,1/C10,N(V10)/E10))</f>
        <v/>
      </c>
      <c r="AV10" s="25" t="str">
        <f aca="false">IF(OR(C10="",AV$2&gt;C10,E10=0),"",IF(D10=0,1/C10,N(W10)/E10))</f>
        <v/>
      </c>
      <c r="AW10" s="25" t="str">
        <f aca="false">IF(OR(C10="",AW$2&gt;C10,E10=0),"",IF(D10=0,1/C10,N(X10)/E10))</f>
        <v/>
      </c>
      <c r="AX10" s="25" t="str">
        <f aca="false">IF(OR(C10="",AX$2&gt;C10,E10=0),"",IF(D10=0,1/C10,N(Y10)/E10))</f>
        <v/>
      </c>
      <c r="AY10" s="25" t="str">
        <f aca="false">IF(OR(C10="",AY$2&gt;C10,E10=0),"",IF(D10=0,1/C10,N(Z10)/E10))</f>
        <v/>
      </c>
      <c r="AZ10" s="25" t="str">
        <f aca="false">IF(OR(C10="",AZ$2&gt;C10,E10=0),"",IF(D10=0,1/C10,N(AA10)/E10))</f>
        <v/>
      </c>
      <c r="BA10" s="25" t="str">
        <f aca="false">IF(OR(C10="",BA$2&gt;C10,E10=0),"",IF(D10=0,1/C10,N(AB10)/E10))</f>
        <v/>
      </c>
      <c r="BB10" s="25" t="str">
        <f aca="false">IF(OR(C10="",BB$2&gt;C10,E10=0),"",IF(D10=0,1/C10,N(AC10)/E10))</f>
        <v/>
      </c>
      <c r="BC10" s="25" t="str">
        <f aca="false">IF(OR(C10="",BC$2&gt;C10,E10=0),"",IF(D10=0,1/C10,N(AD10)/E10))</f>
        <v/>
      </c>
      <c r="BD10" s="25" t="str">
        <f aca="false">IF(OR(C10="",BD$2&gt;C10,E10=0),"",IF(D10=0,1/C10,N(AE10)/E10))</f>
        <v/>
      </c>
      <c r="BE10" s="25" t="str">
        <f aca="false">IF(OR(C10="",BE$2&gt;C10,E10=0),"",IF(D10=0,1/C10,N(AF10)/E10))</f>
        <v/>
      </c>
      <c r="BF10" s="26" t="str">
        <f aca="false">IF(C10="","",SUM(AH10:BE10))</f>
        <v/>
      </c>
    </row>
    <row r="11" customFormat="false" ht="15" hidden="false" customHeight="false" outlineLevel="0" collapsed="false">
      <c r="A11" s="11" t="n">
        <v>6</v>
      </c>
      <c r="B11" s="21" t="str">
        <f aca="false">IF(Projects!B11="","",Projects!B11)</f>
        <v/>
      </c>
      <c r="C11" s="22" t="str">
        <f aca="false">IF(Projects!E11="","",Projects!E11)</f>
        <v/>
      </c>
      <c r="D11" s="23" t="n">
        <f aca="false">COUNT($I11:$AF11)</f>
        <v>0</v>
      </c>
      <c r="E11" s="23" t="n">
        <f aca="false">IF(C11="",0,IF(D11=0,C11,SUMPRODUCT($I11:$AF11*($I$2:$AF$2&lt;=C11))))</f>
        <v>0</v>
      </c>
      <c r="F11" s="23" t="n">
        <f aca="false">IF(OR(C11="",Projects!D11=""),1,MAX(1,((YEAR(Projects!$C$2)-YEAR(Projects!D11))*12+MONTH(Projects!$C$2)-MONTH(Projects!D11)+1)+1))</f>
        <v>1</v>
      </c>
      <c r="G11" s="23" t="n">
        <f aca="false">IF(C11="",0,IF(D11=0,MAX(0,C11-F11+1),SUMPRODUCT($I11:$AF11*($I$2:$AF$2&gt;=F11)*($I$2:$AF$2&lt;=C11))))</f>
        <v>0</v>
      </c>
      <c r="H11" s="23" t="n">
        <f aca="false">IF(C11="",0,SUMPRODUCT(($I11:$AF11&lt;&gt;0)*($I$2:$AF$2&gt;C11)))</f>
        <v>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H11" s="25" t="str">
        <f aca="false">IF(OR(C11="",AH$2&gt;C11,E11=0),"",IF(D11=0,1/C11,N(I11)/E11))</f>
        <v/>
      </c>
      <c r="AI11" s="25" t="str">
        <f aca="false">IF(OR(C11="",AI$2&gt;C11,E11=0),"",IF(D11=0,1/C11,N(J11)/E11))</f>
        <v/>
      </c>
      <c r="AJ11" s="25" t="str">
        <f aca="false">IF(OR(C11="",AJ$2&gt;C11,E11=0),"",IF(D11=0,1/C11,N(K11)/E11))</f>
        <v/>
      </c>
      <c r="AK11" s="25" t="str">
        <f aca="false">IF(OR(C11="",AK$2&gt;C11,E11=0),"",IF(D11=0,1/C11,N(L11)/E11))</f>
        <v/>
      </c>
      <c r="AL11" s="25" t="str">
        <f aca="false">IF(OR(C11="",AL$2&gt;C11,E11=0),"",IF(D11=0,1/C11,N(M11)/E11))</f>
        <v/>
      </c>
      <c r="AM11" s="25" t="str">
        <f aca="false">IF(OR(C11="",AM$2&gt;C11,E11=0),"",IF(D11=0,1/C11,N(N11)/E11))</f>
        <v/>
      </c>
      <c r="AN11" s="25" t="str">
        <f aca="false">IF(OR(C11="",AN$2&gt;C11,E11=0),"",IF(D11=0,1/C11,N(O11)/E11))</f>
        <v/>
      </c>
      <c r="AO11" s="25" t="str">
        <f aca="false">IF(OR(C11="",AO$2&gt;C11,E11=0),"",IF(D11=0,1/C11,N(P11)/E11))</f>
        <v/>
      </c>
      <c r="AP11" s="25" t="str">
        <f aca="false">IF(OR(C11="",AP$2&gt;C11,E11=0),"",IF(D11=0,1/C11,N(Q11)/E11))</f>
        <v/>
      </c>
      <c r="AQ11" s="25" t="str">
        <f aca="false">IF(OR(C11="",AQ$2&gt;C11,E11=0),"",IF(D11=0,1/C11,N(R11)/E11))</f>
        <v/>
      </c>
      <c r="AR11" s="25" t="str">
        <f aca="false">IF(OR(C11="",AR$2&gt;C11,E11=0),"",IF(D11=0,1/C11,N(S11)/E11))</f>
        <v/>
      </c>
      <c r="AS11" s="25" t="str">
        <f aca="false">IF(OR(C11="",AS$2&gt;C11,E11=0),"",IF(D11=0,1/C11,N(T11)/E11))</f>
        <v/>
      </c>
      <c r="AT11" s="25" t="str">
        <f aca="false">IF(OR(C11="",AT$2&gt;C11,E11=0),"",IF(D11=0,1/C11,N(U11)/E11))</f>
        <v/>
      </c>
      <c r="AU11" s="25" t="str">
        <f aca="false">IF(OR(C11="",AU$2&gt;C11,E11=0),"",IF(D11=0,1/C11,N(V11)/E11))</f>
        <v/>
      </c>
      <c r="AV11" s="25" t="str">
        <f aca="false">IF(OR(C11="",AV$2&gt;C11,E11=0),"",IF(D11=0,1/C11,N(W11)/E11))</f>
        <v/>
      </c>
      <c r="AW11" s="25" t="str">
        <f aca="false">IF(OR(C11="",AW$2&gt;C11,E11=0),"",IF(D11=0,1/C11,N(X11)/E11))</f>
        <v/>
      </c>
      <c r="AX11" s="25" t="str">
        <f aca="false">IF(OR(C11="",AX$2&gt;C11,E11=0),"",IF(D11=0,1/C11,N(Y11)/E11))</f>
        <v/>
      </c>
      <c r="AY11" s="25" t="str">
        <f aca="false">IF(OR(C11="",AY$2&gt;C11,E11=0),"",IF(D11=0,1/C11,N(Z11)/E11))</f>
        <v/>
      </c>
      <c r="AZ11" s="25" t="str">
        <f aca="false">IF(OR(C11="",AZ$2&gt;C11,E11=0),"",IF(D11=0,1/C11,N(AA11)/E11))</f>
        <v/>
      </c>
      <c r="BA11" s="25" t="str">
        <f aca="false">IF(OR(C11="",BA$2&gt;C11,E11=0),"",IF(D11=0,1/C11,N(AB11)/E11))</f>
        <v/>
      </c>
      <c r="BB11" s="25" t="str">
        <f aca="false">IF(OR(C11="",BB$2&gt;C11,E11=0),"",IF(D11=0,1/C11,N(AC11)/E11))</f>
        <v/>
      </c>
      <c r="BC11" s="25" t="str">
        <f aca="false">IF(OR(C11="",BC$2&gt;C11,E11=0),"",IF(D11=0,1/C11,N(AD11)/E11))</f>
        <v/>
      </c>
      <c r="BD11" s="25" t="str">
        <f aca="false">IF(OR(C11="",BD$2&gt;C11,E11=0),"",IF(D11=0,1/C11,N(AE11)/E11))</f>
        <v/>
      </c>
      <c r="BE11" s="25" t="str">
        <f aca="false">IF(OR(C11="",BE$2&gt;C11,E11=0),"",IF(D11=0,1/C11,N(AF11)/E11))</f>
        <v/>
      </c>
      <c r="BF11" s="26" t="str">
        <f aca="false">IF(C11="","",SUM(AH11:BE11))</f>
        <v/>
      </c>
    </row>
    <row r="12" customFormat="false" ht="15" hidden="false" customHeight="false" outlineLevel="0" collapsed="false">
      <c r="A12" s="11" t="n">
        <v>7</v>
      </c>
      <c r="B12" s="21" t="str">
        <f aca="false">IF(Projects!B12="","",Projects!B12)</f>
        <v/>
      </c>
      <c r="C12" s="22" t="str">
        <f aca="false">IF(Projects!E12="","",Projects!E12)</f>
        <v/>
      </c>
      <c r="D12" s="23" t="n">
        <f aca="false">COUNT($I12:$AF12)</f>
        <v>0</v>
      </c>
      <c r="E12" s="23" t="n">
        <f aca="false">IF(C12="",0,IF(D12=0,C12,SUMPRODUCT($I12:$AF12*($I$2:$AF$2&lt;=C12))))</f>
        <v>0</v>
      </c>
      <c r="F12" s="23" t="n">
        <f aca="false">IF(OR(C12="",Projects!D12=""),1,MAX(1,((YEAR(Projects!$C$2)-YEAR(Projects!D12))*12+MONTH(Projects!$C$2)-MONTH(Projects!D12)+1)+1))</f>
        <v>1</v>
      </c>
      <c r="G12" s="23" t="n">
        <f aca="false">IF(C12="",0,IF(D12=0,MAX(0,C12-F12+1),SUMPRODUCT($I12:$AF12*($I$2:$AF$2&gt;=F12)*($I$2:$AF$2&lt;=C12))))</f>
        <v>0</v>
      </c>
      <c r="H12" s="23" t="n">
        <f aca="false">IF(C12="",0,SUMPRODUCT(($I12:$AF12&lt;&gt;0)*($I$2:$AF$2&gt;C12)))</f>
        <v>0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H12" s="25" t="str">
        <f aca="false">IF(OR(C12="",AH$2&gt;C12,E12=0),"",IF(D12=0,1/C12,N(I12)/E12))</f>
        <v/>
      </c>
      <c r="AI12" s="25" t="str">
        <f aca="false">IF(OR(C12="",AI$2&gt;C12,E12=0),"",IF(D12=0,1/C12,N(J12)/E12))</f>
        <v/>
      </c>
      <c r="AJ12" s="25" t="str">
        <f aca="false">IF(OR(C12="",AJ$2&gt;C12,E12=0),"",IF(D12=0,1/C12,N(K12)/E12))</f>
        <v/>
      </c>
      <c r="AK12" s="25" t="str">
        <f aca="false">IF(OR(C12="",AK$2&gt;C12,E12=0),"",IF(D12=0,1/C12,N(L12)/E12))</f>
        <v/>
      </c>
      <c r="AL12" s="25" t="str">
        <f aca="false">IF(OR(C12="",AL$2&gt;C12,E12=0),"",IF(D12=0,1/C12,N(M12)/E12))</f>
        <v/>
      </c>
      <c r="AM12" s="25" t="str">
        <f aca="false">IF(OR(C12="",AM$2&gt;C12,E12=0),"",IF(D12=0,1/C12,N(N12)/E12))</f>
        <v/>
      </c>
      <c r="AN12" s="25" t="str">
        <f aca="false">IF(OR(C12="",AN$2&gt;C12,E12=0),"",IF(D12=0,1/C12,N(O12)/E12))</f>
        <v/>
      </c>
      <c r="AO12" s="25" t="str">
        <f aca="false">IF(OR(C12="",AO$2&gt;C12,E12=0),"",IF(D12=0,1/C12,N(P12)/E12))</f>
        <v/>
      </c>
      <c r="AP12" s="25" t="str">
        <f aca="false">IF(OR(C12="",AP$2&gt;C12,E12=0),"",IF(D12=0,1/C12,N(Q12)/E12))</f>
        <v/>
      </c>
      <c r="AQ12" s="25" t="str">
        <f aca="false">IF(OR(C12="",AQ$2&gt;C12,E12=0),"",IF(D12=0,1/C12,N(R12)/E12))</f>
        <v/>
      </c>
      <c r="AR12" s="25" t="str">
        <f aca="false">IF(OR(C12="",AR$2&gt;C12,E12=0),"",IF(D12=0,1/C12,N(S12)/E12))</f>
        <v/>
      </c>
      <c r="AS12" s="25" t="str">
        <f aca="false">IF(OR(C12="",AS$2&gt;C12,E12=0),"",IF(D12=0,1/C12,N(T12)/E12))</f>
        <v/>
      </c>
      <c r="AT12" s="25" t="str">
        <f aca="false">IF(OR(C12="",AT$2&gt;C12,E12=0),"",IF(D12=0,1/C12,N(U12)/E12))</f>
        <v/>
      </c>
      <c r="AU12" s="25" t="str">
        <f aca="false">IF(OR(C12="",AU$2&gt;C12,E12=0),"",IF(D12=0,1/C12,N(V12)/E12))</f>
        <v/>
      </c>
      <c r="AV12" s="25" t="str">
        <f aca="false">IF(OR(C12="",AV$2&gt;C12,E12=0),"",IF(D12=0,1/C12,N(W12)/E12))</f>
        <v/>
      </c>
      <c r="AW12" s="25" t="str">
        <f aca="false">IF(OR(C12="",AW$2&gt;C12,E12=0),"",IF(D12=0,1/C12,N(X12)/E12))</f>
        <v/>
      </c>
      <c r="AX12" s="25" t="str">
        <f aca="false">IF(OR(C12="",AX$2&gt;C12,E12=0),"",IF(D12=0,1/C12,N(Y12)/E12))</f>
        <v/>
      </c>
      <c r="AY12" s="25" t="str">
        <f aca="false">IF(OR(C12="",AY$2&gt;C12,E12=0),"",IF(D12=0,1/C12,N(Z12)/E12))</f>
        <v/>
      </c>
      <c r="AZ12" s="25" t="str">
        <f aca="false">IF(OR(C12="",AZ$2&gt;C12,E12=0),"",IF(D12=0,1/C12,N(AA12)/E12))</f>
        <v/>
      </c>
      <c r="BA12" s="25" t="str">
        <f aca="false">IF(OR(C12="",BA$2&gt;C12,E12=0),"",IF(D12=0,1/C12,N(AB12)/E12))</f>
        <v/>
      </c>
      <c r="BB12" s="25" t="str">
        <f aca="false">IF(OR(C12="",BB$2&gt;C12,E12=0),"",IF(D12=0,1/C12,N(AC12)/E12))</f>
        <v/>
      </c>
      <c r="BC12" s="25" t="str">
        <f aca="false">IF(OR(C12="",BC$2&gt;C12,E12=0),"",IF(D12=0,1/C12,N(AD12)/E12))</f>
        <v/>
      </c>
      <c r="BD12" s="25" t="str">
        <f aca="false">IF(OR(C12="",BD$2&gt;C12,E12=0),"",IF(D12=0,1/C12,N(AE12)/E12))</f>
        <v/>
      </c>
      <c r="BE12" s="25" t="str">
        <f aca="false">IF(OR(C12="",BE$2&gt;C12,E12=0),"",IF(D12=0,1/C12,N(AF12)/E12))</f>
        <v/>
      </c>
      <c r="BF12" s="26" t="str">
        <f aca="false">IF(C12="","",SUM(AH12:BE12))</f>
        <v/>
      </c>
    </row>
    <row r="13" customFormat="false" ht="15" hidden="false" customHeight="false" outlineLevel="0" collapsed="false">
      <c r="A13" s="11" t="n">
        <v>8</v>
      </c>
      <c r="B13" s="21" t="str">
        <f aca="false">IF(Projects!B13="","",Projects!B13)</f>
        <v/>
      </c>
      <c r="C13" s="22" t="str">
        <f aca="false">IF(Projects!E13="","",Projects!E13)</f>
        <v/>
      </c>
      <c r="D13" s="23" t="n">
        <f aca="false">COUNT($I13:$AF13)</f>
        <v>0</v>
      </c>
      <c r="E13" s="23" t="n">
        <f aca="false">IF(C13="",0,IF(D13=0,C13,SUMPRODUCT($I13:$AF13*($I$2:$AF$2&lt;=C13))))</f>
        <v>0</v>
      </c>
      <c r="F13" s="23" t="n">
        <f aca="false">IF(OR(C13="",Projects!D13=""),1,MAX(1,((YEAR(Projects!$C$2)-YEAR(Projects!D13))*12+MONTH(Projects!$C$2)-MONTH(Projects!D13)+1)+1))</f>
        <v>1</v>
      </c>
      <c r="G13" s="23" t="n">
        <f aca="false">IF(C13="",0,IF(D13=0,MAX(0,C13-F13+1),SUMPRODUCT($I13:$AF13*($I$2:$AF$2&gt;=F13)*($I$2:$AF$2&lt;=C13))))</f>
        <v>0</v>
      </c>
      <c r="H13" s="23" t="n">
        <f aca="false">IF(C13="",0,SUMPRODUCT(($I13:$AF13&lt;&gt;0)*($I$2:$AF$2&gt;C13)))</f>
        <v>0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H13" s="25" t="str">
        <f aca="false">IF(OR(C13="",AH$2&gt;C13,E13=0),"",IF(D13=0,1/C13,N(I13)/E13))</f>
        <v/>
      </c>
      <c r="AI13" s="25" t="str">
        <f aca="false">IF(OR(C13="",AI$2&gt;C13,E13=0),"",IF(D13=0,1/C13,N(J13)/E13))</f>
        <v/>
      </c>
      <c r="AJ13" s="25" t="str">
        <f aca="false">IF(OR(C13="",AJ$2&gt;C13,E13=0),"",IF(D13=0,1/C13,N(K13)/E13))</f>
        <v/>
      </c>
      <c r="AK13" s="25" t="str">
        <f aca="false">IF(OR(C13="",AK$2&gt;C13,E13=0),"",IF(D13=0,1/C13,N(L13)/E13))</f>
        <v/>
      </c>
      <c r="AL13" s="25" t="str">
        <f aca="false">IF(OR(C13="",AL$2&gt;C13,E13=0),"",IF(D13=0,1/C13,N(M13)/E13))</f>
        <v/>
      </c>
      <c r="AM13" s="25" t="str">
        <f aca="false">IF(OR(C13="",AM$2&gt;C13,E13=0),"",IF(D13=0,1/C13,N(N13)/E13))</f>
        <v/>
      </c>
      <c r="AN13" s="25" t="str">
        <f aca="false">IF(OR(C13="",AN$2&gt;C13,E13=0),"",IF(D13=0,1/C13,N(O13)/E13))</f>
        <v/>
      </c>
      <c r="AO13" s="25" t="str">
        <f aca="false">IF(OR(C13="",AO$2&gt;C13,E13=0),"",IF(D13=0,1/C13,N(P13)/E13))</f>
        <v/>
      </c>
      <c r="AP13" s="25" t="str">
        <f aca="false">IF(OR(C13="",AP$2&gt;C13,E13=0),"",IF(D13=0,1/C13,N(Q13)/E13))</f>
        <v/>
      </c>
      <c r="AQ13" s="25" t="str">
        <f aca="false">IF(OR(C13="",AQ$2&gt;C13,E13=0),"",IF(D13=0,1/C13,N(R13)/E13))</f>
        <v/>
      </c>
      <c r="AR13" s="25" t="str">
        <f aca="false">IF(OR(C13="",AR$2&gt;C13,E13=0),"",IF(D13=0,1/C13,N(S13)/E13))</f>
        <v/>
      </c>
      <c r="AS13" s="25" t="str">
        <f aca="false">IF(OR(C13="",AS$2&gt;C13,E13=0),"",IF(D13=0,1/C13,N(T13)/E13))</f>
        <v/>
      </c>
      <c r="AT13" s="25" t="str">
        <f aca="false">IF(OR(C13="",AT$2&gt;C13,E13=0),"",IF(D13=0,1/C13,N(U13)/E13))</f>
        <v/>
      </c>
      <c r="AU13" s="25" t="str">
        <f aca="false">IF(OR(C13="",AU$2&gt;C13,E13=0),"",IF(D13=0,1/C13,N(V13)/E13))</f>
        <v/>
      </c>
      <c r="AV13" s="25" t="str">
        <f aca="false">IF(OR(C13="",AV$2&gt;C13,E13=0),"",IF(D13=0,1/C13,N(W13)/E13))</f>
        <v/>
      </c>
      <c r="AW13" s="25" t="str">
        <f aca="false">IF(OR(C13="",AW$2&gt;C13,E13=0),"",IF(D13=0,1/C13,N(X13)/E13))</f>
        <v/>
      </c>
      <c r="AX13" s="25" t="str">
        <f aca="false">IF(OR(C13="",AX$2&gt;C13,E13=0),"",IF(D13=0,1/C13,N(Y13)/E13))</f>
        <v/>
      </c>
      <c r="AY13" s="25" t="str">
        <f aca="false">IF(OR(C13="",AY$2&gt;C13,E13=0),"",IF(D13=0,1/C13,N(Z13)/E13))</f>
        <v/>
      </c>
      <c r="AZ13" s="25" t="str">
        <f aca="false">IF(OR(C13="",AZ$2&gt;C13,E13=0),"",IF(D13=0,1/C13,N(AA13)/E13))</f>
        <v/>
      </c>
      <c r="BA13" s="25" t="str">
        <f aca="false">IF(OR(C13="",BA$2&gt;C13,E13=0),"",IF(D13=0,1/C13,N(AB13)/E13))</f>
        <v/>
      </c>
      <c r="BB13" s="25" t="str">
        <f aca="false">IF(OR(C13="",BB$2&gt;C13,E13=0),"",IF(D13=0,1/C13,N(AC13)/E13))</f>
        <v/>
      </c>
      <c r="BC13" s="25" t="str">
        <f aca="false">IF(OR(C13="",BC$2&gt;C13,E13=0),"",IF(D13=0,1/C13,N(AD13)/E13))</f>
        <v/>
      </c>
      <c r="BD13" s="25" t="str">
        <f aca="false">IF(OR(C13="",BD$2&gt;C13,E13=0),"",IF(D13=0,1/C13,N(AE13)/E13))</f>
        <v/>
      </c>
      <c r="BE13" s="25" t="str">
        <f aca="false">IF(OR(C13="",BE$2&gt;C13,E13=0),"",IF(D13=0,1/C13,N(AF13)/E13))</f>
        <v/>
      </c>
      <c r="BF13" s="26" t="str">
        <f aca="false">IF(C13="","",SUM(AH13:BE13))</f>
        <v/>
      </c>
    </row>
    <row r="14" customFormat="false" ht="15" hidden="false" customHeight="false" outlineLevel="0" collapsed="false">
      <c r="A14" s="11" t="n">
        <v>9</v>
      </c>
      <c r="B14" s="21" t="str">
        <f aca="false">IF(Projects!B14="","",Projects!B14)</f>
        <v/>
      </c>
      <c r="C14" s="22" t="str">
        <f aca="false">IF(Projects!E14="","",Projects!E14)</f>
        <v/>
      </c>
      <c r="D14" s="23" t="n">
        <f aca="false">COUNT($I14:$AF14)</f>
        <v>0</v>
      </c>
      <c r="E14" s="23" t="n">
        <f aca="false">IF(C14="",0,IF(D14=0,C14,SUMPRODUCT($I14:$AF14*($I$2:$AF$2&lt;=C14))))</f>
        <v>0</v>
      </c>
      <c r="F14" s="23" t="n">
        <f aca="false">IF(OR(C14="",Projects!D14=""),1,MAX(1,((YEAR(Projects!$C$2)-YEAR(Projects!D14))*12+MONTH(Projects!$C$2)-MONTH(Projects!D14)+1)+1))</f>
        <v>1</v>
      </c>
      <c r="G14" s="23" t="n">
        <f aca="false">IF(C14="",0,IF(D14=0,MAX(0,C14-F14+1),SUMPRODUCT($I14:$AF14*($I$2:$AF$2&gt;=F14)*($I$2:$AF$2&lt;=C14))))</f>
        <v>0</v>
      </c>
      <c r="H14" s="23" t="n">
        <f aca="false">IF(C14="",0,SUMPRODUCT(($I14:$AF14&lt;&gt;0)*($I$2:$AF$2&gt;C14)))</f>
        <v>0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H14" s="25" t="str">
        <f aca="false">IF(OR(C14="",AH$2&gt;C14,E14=0),"",IF(D14=0,1/C14,N(I14)/E14))</f>
        <v/>
      </c>
      <c r="AI14" s="25" t="str">
        <f aca="false">IF(OR(C14="",AI$2&gt;C14,E14=0),"",IF(D14=0,1/C14,N(J14)/E14))</f>
        <v/>
      </c>
      <c r="AJ14" s="25" t="str">
        <f aca="false">IF(OR(C14="",AJ$2&gt;C14,E14=0),"",IF(D14=0,1/C14,N(K14)/E14))</f>
        <v/>
      </c>
      <c r="AK14" s="25" t="str">
        <f aca="false">IF(OR(C14="",AK$2&gt;C14,E14=0),"",IF(D14=0,1/C14,N(L14)/E14))</f>
        <v/>
      </c>
      <c r="AL14" s="25" t="str">
        <f aca="false">IF(OR(C14="",AL$2&gt;C14,E14=0),"",IF(D14=0,1/C14,N(M14)/E14))</f>
        <v/>
      </c>
      <c r="AM14" s="25" t="str">
        <f aca="false">IF(OR(C14="",AM$2&gt;C14,E14=0),"",IF(D14=0,1/C14,N(N14)/E14))</f>
        <v/>
      </c>
      <c r="AN14" s="25" t="str">
        <f aca="false">IF(OR(C14="",AN$2&gt;C14,E14=0),"",IF(D14=0,1/C14,N(O14)/E14))</f>
        <v/>
      </c>
      <c r="AO14" s="25" t="str">
        <f aca="false">IF(OR(C14="",AO$2&gt;C14,E14=0),"",IF(D14=0,1/C14,N(P14)/E14))</f>
        <v/>
      </c>
      <c r="AP14" s="25" t="str">
        <f aca="false">IF(OR(C14="",AP$2&gt;C14,E14=0),"",IF(D14=0,1/C14,N(Q14)/E14))</f>
        <v/>
      </c>
      <c r="AQ14" s="25" t="str">
        <f aca="false">IF(OR(C14="",AQ$2&gt;C14,E14=0),"",IF(D14=0,1/C14,N(R14)/E14))</f>
        <v/>
      </c>
      <c r="AR14" s="25" t="str">
        <f aca="false">IF(OR(C14="",AR$2&gt;C14,E14=0),"",IF(D14=0,1/C14,N(S14)/E14))</f>
        <v/>
      </c>
      <c r="AS14" s="25" t="str">
        <f aca="false">IF(OR(C14="",AS$2&gt;C14,E14=0),"",IF(D14=0,1/C14,N(T14)/E14))</f>
        <v/>
      </c>
      <c r="AT14" s="25" t="str">
        <f aca="false">IF(OR(C14="",AT$2&gt;C14,E14=0),"",IF(D14=0,1/C14,N(U14)/E14))</f>
        <v/>
      </c>
      <c r="AU14" s="25" t="str">
        <f aca="false">IF(OR(C14="",AU$2&gt;C14,E14=0),"",IF(D14=0,1/C14,N(V14)/E14))</f>
        <v/>
      </c>
      <c r="AV14" s="25" t="str">
        <f aca="false">IF(OR(C14="",AV$2&gt;C14,E14=0),"",IF(D14=0,1/C14,N(W14)/E14))</f>
        <v/>
      </c>
      <c r="AW14" s="25" t="str">
        <f aca="false">IF(OR(C14="",AW$2&gt;C14,E14=0),"",IF(D14=0,1/C14,N(X14)/E14))</f>
        <v/>
      </c>
      <c r="AX14" s="25" t="str">
        <f aca="false">IF(OR(C14="",AX$2&gt;C14,E14=0),"",IF(D14=0,1/C14,N(Y14)/E14))</f>
        <v/>
      </c>
      <c r="AY14" s="25" t="str">
        <f aca="false">IF(OR(C14="",AY$2&gt;C14,E14=0),"",IF(D14=0,1/C14,N(Z14)/E14))</f>
        <v/>
      </c>
      <c r="AZ14" s="25" t="str">
        <f aca="false">IF(OR(C14="",AZ$2&gt;C14,E14=0),"",IF(D14=0,1/C14,N(AA14)/E14))</f>
        <v/>
      </c>
      <c r="BA14" s="25" t="str">
        <f aca="false">IF(OR(C14="",BA$2&gt;C14,E14=0),"",IF(D14=0,1/C14,N(AB14)/E14))</f>
        <v/>
      </c>
      <c r="BB14" s="25" t="str">
        <f aca="false">IF(OR(C14="",BB$2&gt;C14,E14=0),"",IF(D14=0,1/C14,N(AC14)/E14))</f>
        <v/>
      </c>
      <c r="BC14" s="25" t="str">
        <f aca="false">IF(OR(C14="",BC$2&gt;C14,E14=0),"",IF(D14=0,1/C14,N(AD14)/E14))</f>
        <v/>
      </c>
      <c r="BD14" s="25" t="str">
        <f aca="false">IF(OR(C14="",BD$2&gt;C14,E14=0),"",IF(D14=0,1/C14,N(AE14)/E14))</f>
        <v/>
      </c>
      <c r="BE14" s="25" t="str">
        <f aca="false">IF(OR(C14="",BE$2&gt;C14,E14=0),"",IF(D14=0,1/C14,N(AF14)/E14))</f>
        <v/>
      </c>
      <c r="BF14" s="26" t="str">
        <f aca="false">IF(C14="","",SUM(AH14:BE14))</f>
        <v/>
      </c>
    </row>
    <row r="15" customFormat="false" ht="15" hidden="false" customHeight="false" outlineLevel="0" collapsed="false">
      <c r="A15" s="11" t="n">
        <v>10</v>
      </c>
      <c r="B15" s="21" t="str">
        <f aca="false">IF(Projects!B15="","",Projects!B15)</f>
        <v/>
      </c>
      <c r="C15" s="22" t="str">
        <f aca="false">IF(Projects!E15="","",Projects!E15)</f>
        <v/>
      </c>
      <c r="D15" s="23" t="n">
        <f aca="false">COUNT($I15:$AF15)</f>
        <v>0</v>
      </c>
      <c r="E15" s="23" t="n">
        <f aca="false">IF(C15="",0,IF(D15=0,C15,SUMPRODUCT($I15:$AF15*($I$2:$AF$2&lt;=C15))))</f>
        <v>0</v>
      </c>
      <c r="F15" s="23" t="n">
        <f aca="false">IF(OR(C15="",Projects!D15=""),1,MAX(1,((YEAR(Projects!$C$2)-YEAR(Projects!D15))*12+MONTH(Projects!$C$2)-MONTH(Projects!D15)+1)+1))</f>
        <v>1</v>
      </c>
      <c r="G15" s="23" t="n">
        <f aca="false">IF(C15="",0,IF(D15=0,MAX(0,C15-F15+1),SUMPRODUCT($I15:$AF15*($I$2:$AF$2&gt;=F15)*($I$2:$AF$2&lt;=C15))))</f>
        <v>0</v>
      </c>
      <c r="H15" s="23" t="n">
        <f aca="false">IF(C15="",0,SUMPRODUCT(($I15:$AF15&lt;&gt;0)*($I$2:$AF$2&gt;C15)))</f>
        <v>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H15" s="25" t="str">
        <f aca="false">IF(OR(C15="",AH$2&gt;C15,E15=0),"",IF(D15=0,1/C15,N(I15)/E15))</f>
        <v/>
      </c>
      <c r="AI15" s="25" t="str">
        <f aca="false">IF(OR(C15="",AI$2&gt;C15,E15=0),"",IF(D15=0,1/C15,N(J15)/E15))</f>
        <v/>
      </c>
      <c r="AJ15" s="25" t="str">
        <f aca="false">IF(OR(C15="",AJ$2&gt;C15,E15=0),"",IF(D15=0,1/C15,N(K15)/E15))</f>
        <v/>
      </c>
      <c r="AK15" s="25" t="str">
        <f aca="false">IF(OR(C15="",AK$2&gt;C15,E15=0),"",IF(D15=0,1/C15,N(L15)/E15))</f>
        <v/>
      </c>
      <c r="AL15" s="25" t="str">
        <f aca="false">IF(OR(C15="",AL$2&gt;C15,E15=0),"",IF(D15=0,1/C15,N(M15)/E15))</f>
        <v/>
      </c>
      <c r="AM15" s="25" t="str">
        <f aca="false">IF(OR(C15="",AM$2&gt;C15,E15=0),"",IF(D15=0,1/C15,N(N15)/E15))</f>
        <v/>
      </c>
      <c r="AN15" s="25" t="str">
        <f aca="false">IF(OR(C15="",AN$2&gt;C15,E15=0),"",IF(D15=0,1/C15,N(O15)/E15))</f>
        <v/>
      </c>
      <c r="AO15" s="25" t="str">
        <f aca="false">IF(OR(C15="",AO$2&gt;C15,E15=0),"",IF(D15=0,1/C15,N(P15)/E15))</f>
        <v/>
      </c>
      <c r="AP15" s="25" t="str">
        <f aca="false">IF(OR(C15="",AP$2&gt;C15,E15=0),"",IF(D15=0,1/C15,N(Q15)/E15))</f>
        <v/>
      </c>
      <c r="AQ15" s="25" t="str">
        <f aca="false">IF(OR(C15="",AQ$2&gt;C15,E15=0),"",IF(D15=0,1/C15,N(R15)/E15))</f>
        <v/>
      </c>
      <c r="AR15" s="25" t="str">
        <f aca="false">IF(OR(C15="",AR$2&gt;C15,E15=0),"",IF(D15=0,1/C15,N(S15)/E15))</f>
        <v/>
      </c>
      <c r="AS15" s="25" t="str">
        <f aca="false">IF(OR(C15="",AS$2&gt;C15,E15=0),"",IF(D15=0,1/C15,N(T15)/E15))</f>
        <v/>
      </c>
      <c r="AT15" s="25" t="str">
        <f aca="false">IF(OR(C15="",AT$2&gt;C15,E15=0),"",IF(D15=0,1/C15,N(U15)/E15))</f>
        <v/>
      </c>
      <c r="AU15" s="25" t="str">
        <f aca="false">IF(OR(C15="",AU$2&gt;C15,E15=0),"",IF(D15=0,1/C15,N(V15)/E15))</f>
        <v/>
      </c>
      <c r="AV15" s="25" t="str">
        <f aca="false">IF(OR(C15="",AV$2&gt;C15,E15=0),"",IF(D15=0,1/C15,N(W15)/E15))</f>
        <v/>
      </c>
      <c r="AW15" s="25" t="str">
        <f aca="false">IF(OR(C15="",AW$2&gt;C15,E15=0),"",IF(D15=0,1/C15,N(X15)/E15))</f>
        <v/>
      </c>
      <c r="AX15" s="25" t="str">
        <f aca="false">IF(OR(C15="",AX$2&gt;C15,E15=0),"",IF(D15=0,1/C15,N(Y15)/E15))</f>
        <v/>
      </c>
      <c r="AY15" s="25" t="str">
        <f aca="false">IF(OR(C15="",AY$2&gt;C15,E15=0),"",IF(D15=0,1/C15,N(Z15)/E15))</f>
        <v/>
      </c>
      <c r="AZ15" s="25" t="str">
        <f aca="false">IF(OR(C15="",AZ$2&gt;C15,E15=0),"",IF(D15=0,1/C15,N(AA15)/E15))</f>
        <v/>
      </c>
      <c r="BA15" s="25" t="str">
        <f aca="false">IF(OR(C15="",BA$2&gt;C15,E15=0),"",IF(D15=0,1/C15,N(AB15)/E15))</f>
        <v/>
      </c>
      <c r="BB15" s="25" t="str">
        <f aca="false">IF(OR(C15="",BB$2&gt;C15,E15=0),"",IF(D15=0,1/C15,N(AC15)/E15))</f>
        <v/>
      </c>
      <c r="BC15" s="25" t="str">
        <f aca="false">IF(OR(C15="",BC$2&gt;C15,E15=0),"",IF(D15=0,1/C15,N(AD15)/E15))</f>
        <v/>
      </c>
      <c r="BD15" s="25" t="str">
        <f aca="false">IF(OR(C15="",BD$2&gt;C15,E15=0),"",IF(D15=0,1/C15,N(AE15)/E15))</f>
        <v/>
      </c>
      <c r="BE15" s="25" t="str">
        <f aca="false">IF(OR(C15="",BE$2&gt;C15,E15=0),"",IF(D15=0,1/C15,N(AF15)/E15))</f>
        <v/>
      </c>
      <c r="BF15" s="26" t="str">
        <f aca="false">IF(C15="","",SUM(AH15:BE15))</f>
        <v/>
      </c>
    </row>
    <row r="16" customFormat="false" ht="15" hidden="false" customHeight="false" outlineLevel="0" collapsed="false">
      <c r="A16" s="11" t="n">
        <v>11</v>
      </c>
      <c r="B16" s="21" t="str">
        <f aca="false">IF(Projects!B16="","",Projects!B16)</f>
        <v/>
      </c>
      <c r="C16" s="22" t="str">
        <f aca="false">IF(Projects!E16="","",Projects!E16)</f>
        <v/>
      </c>
      <c r="D16" s="23" t="n">
        <f aca="false">COUNT($I16:$AF16)</f>
        <v>0</v>
      </c>
      <c r="E16" s="23" t="n">
        <f aca="false">IF(C16="",0,IF(D16=0,C16,SUMPRODUCT($I16:$AF16*($I$2:$AF$2&lt;=C16))))</f>
        <v>0</v>
      </c>
      <c r="F16" s="23" t="n">
        <f aca="false">IF(OR(C16="",Projects!D16=""),1,MAX(1,((YEAR(Projects!$C$2)-YEAR(Projects!D16))*12+MONTH(Projects!$C$2)-MONTH(Projects!D16)+1)+1))</f>
        <v>1</v>
      </c>
      <c r="G16" s="23" t="n">
        <f aca="false">IF(C16="",0,IF(D16=0,MAX(0,C16-F16+1),SUMPRODUCT($I16:$AF16*($I$2:$AF$2&gt;=F16)*($I$2:$AF$2&lt;=C16))))</f>
        <v>0</v>
      </c>
      <c r="H16" s="23" t="n">
        <f aca="false">IF(C16="",0,SUMPRODUCT(($I16:$AF16&lt;&gt;0)*($I$2:$AF$2&gt;C16)))</f>
        <v>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H16" s="25" t="str">
        <f aca="false">IF(OR(C16="",AH$2&gt;C16,E16=0),"",IF(D16=0,1/C16,N(I16)/E16))</f>
        <v/>
      </c>
      <c r="AI16" s="25" t="str">
        <f aca="false">IF(OR(C16="",AI$2&gt;C16,E16=0),"",IF(D16=0,1/C16,N(J16)/E16))</f>
        <v/>
      </c>
      <c r="AJ16" s="25" t="str">
        <f aca="false">IF(OR(C16="",AJ$2&gt;C16,E16=0),"",IF(D16=0,1/C16,N(K16)/E16))</f>
        <v/>
      </c>
      <c r="AK16" s="25" t="str">
        <f aca="false">IF(OR(C16="",AK$2&gt;C16,E16=0),"",IF(D16=0,1/C16,N(L16)/E16))</f>
        <v/>
      </c>
      <c r="AL16" s="25" t="str">
        <f aca="false">IF(OR(C16="",AL$2&gt;C16,E16=0),"",IF(D16=0,1/C16,N(M16)/E16))</f>
        <v/>
      </c>
      <c r="AM16" s="25" t="str">
        <f aca="false">IF(OR(C16="",AM$2&gt;C16,E16=0),"",IF(D16=0,1/C16,N(N16)/E16))</f>
        <v/>
      </c>
      <c r="AN16" s="25" t="str">
        <f aca="false">IF(OR(C16="",AN$2&gt;C16,E16=0),"",IF(D16=0,1/C16,N(O16)/E16))</f>
        <v/>
      </c>
      <c r="AO16" s="25" t="str">
        <f aca="false">IF(OR(C16="",AO$2&gt;C16,E16=0),"",IF(D16=0,1/C16,N(P16)/E16))</f>
        <v/>
      </c>
      <c r="AP16" s="25" t="str">
        <f aca="false">IF(OR(C16="",AP$2&gt;C16,E16=0),"",IF(D16=0,1/C16,N(Q16)/E16))</f>
        <v/>
      </c>
      <c r="AQ16" s="25" t="str">
        <f aca="false">IF(OR(C16="",AQ$2&gt;C16,E16=0),"",IF(D16=0,1/C16,N(R16)/E16))</f>
        <v/>
      </c>
      <c r="AR16" s="25" t="str">
        <f aca="false">IF(OR(C16="",AR$2&gt;C16,E16=0),"",IF(D16=0,1/C16,N(S16)/E16))</f>
        <v/>
      </c>
      <c r="AS16" s="25" t="str">
        <f aca="false">IF(OR(C16="",AS$2&gt;C16,E16=0),"",IF(D16=0,1/C16,N(T16)/E16))</f>
        <v/>
      </c>
      <c r="AT16" s="25" t="str">
        <f aca="false">IF(OR(C16="",AT$2&gt;C16,E16=0),"",IF(D16=0,1/C16,N(U16)/E16))</f>
        <v/>
      </c>
      <c r="AU16" s="25" t="str">
        <f aca="false">IF(OR(C16="",AU$2&gt;C16,E16=0),"",IF(D16=0,1/C16,N(V16)/E16))</f>
        <v/>
      </c>
      <c r="AV16" s="25" t="str">
        <f aca="false">IF(OR(C16="",AV$2&gt;C16,E16=0),"",IF(D16=0,1/C16,N(W16)/E16))</f>
        <v/>
      </c>
      <c r="AW16" s="25" t="str">
        <f aca="false">IF(OR(C16="",AW$2&gt;C16,E16=0),"",IF(D16=0,1/C16,N(X16)/E16))</f>
        <v/>
      </c>
      <c r="AX16" s="25" t="str">
        <f aca="false">IF(OR(C16="",AX$2&gt;C16,E16=0),"",IF(D16=0,1/C16,N(Y16)/E16))</f>
        <v/>
      </c>
      <c r="AY16" s="25" t="str">
        <f aca="false">IF(OR(C16="",AY$2&gt;C16,E16=0),"",IF(D16=0,1/C16,N(Z16)/E16))</f>
        <v/>
      </c>
      <c r="AZ16" s="25" t="str">
        <f aca="false">IF(OR(C16="",AZ$2&gt;C16,E16=0),"",IF(D16=0,1/C16,N(AA16)/E16))</f>
        <v/>
      </c>
      <c r="BA16" s="25" t="str">
        <f aca="false">IF(OR(C16="",BA$2&gt;C16,E16=0),"",IF(D16=0,1/C16,N(AB16)/E16))</f>
        <v/>
      </c>
      <c r="BB16" s="25" t="str">
        <f aca="false">IF(OR(C16="",BB$2&gt;C16,E16=0),"",IF(D16=0,1/C16,N(AC16)/E16))</f>
        <v/>
      </c>
      <c r="BC16" s="25" t="str">
        <f aca="false">IF(OR(C16="",BC$2&gt;C16,E16=0),"",IF(D16=0,1/C16,N(AD16)/E16))</f>
        <v/>
      </c>
      <c r="BD16" s="25" t="str">
        <f aca="false">IF(OR(C16="",BD$2&gt;C16,E16=0),"",IF(D16=0,1/C16,N(AE16)/E16))</f>
        <v/>
      </c>
      <c r="BE16" s="25" t="str">
        <f aca="false">IF(OR(C16="",BE$2&gt;C16,E16=0),"",IF(D16=0,1/C16,N(AF16)/E16))</f>
        <v/>
      </c>
      <c r="BF16" s="26" t="str">
        <f aca="false">IF(C16="","",SUM(AH16:BE16))</f>
        <v/>
      </c>
    </row>
    <row r="17" customFormat="false" ht="15" hidden="false" customHeight="false" outlineLevel="0" collapsed="false">
      <c r="A17" s="11" t="n">
        <v>12</v>
      </c>
      <c r="B17" s="21" t="str">
        <f aca="false">IF(Projects!B17="","",Projects!B17)</f>
        <v/>
      </c>
      <c r="C17" s="22" t="str">
        <f aca="false">IF(Projects!E17="","",Projects!E17)</f>
        <v/>
      </c>
      <c r="D17" s="23" t="n">
        <f aca="false">COUNT($I17:$AF17)</f>
        <v>0</v>
      </c>
      <c r="E17" s="23" t="n">
        <f aca="false">IF(C17="",0,IF(D17=0,C17,SUMPRODUCT($I17:$AF17*($I$2:$AF$2&lt;=C17))))</f>
        <v>0</v>
      </c>
      <c r="F17" s="23" t="n">
        <f aca="false">IF(OR(C17="",Projects!D17=""),1,MAX(1,((YEAR(Projects!$C$2)-YEAR(Projects!D17))*12+MONTH(Projects!$C$2)-MONTH(Projects!D17)+1)+1))</f>
        <v>1</v>
      </c>
      <c r="G17" s="23" t="n">
        <f aca="false">IF(C17="",0,IF(D17=0,MAX(0,C17-F17+1),SUMPRODUCT($I17:$AF17*($I$2:$AF$2&gt;=F17)*($I$2:$AF$2&lt;=C17))))</f>
        <v>0</v>
      </c>
      <c r="H17" s="23" t="n">
        <f aca="false">IF(C17="",0,SUMPRODUCT(($I17:$AF17&lt;&gt;0)*($I$2:$AF$2&gt;C17)))</f>
        <v>0</v>
      </c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H17" s="25" t="str">
        <f aca="false">IF(OR(C17="",AH$2&gt;C17,E17=0),"",IF(D17=0,1/C17,N(I17)/E17))</f>
        <v/>
      </c>
      <c r="AI17" s="25" t="str">
        <f aca="false">IF(OR(C17="",AI$2&gt;C17,E17=0),"",IF(D17=0,1/C17,N(J17)/E17))</f>
        <v/>
      </c>
      <c r="AJ17" s="25" t="str">
        <f aca="false">IF(OR(C17="",AJ$2&gt;C17,E17=0),"",IF(D17=0,1/C17,N(K17)/E17))</f>
        <v/>
      </c>
      <c r="AK17" s="25" t="str">
        <f aca="false">IF(OR(C17="",AK$2&gt;C17,E17=0),"",IF(D17=0,1/C17,N(L17)/E17))</f>
        <v/>
      </c>
      <c r="AL17" s="25" t="str">
        <f aca="false">IF(OR(C17="",AL$2&gt;C17,E17=0),"",IF(D17=0,1/C17,N(M17)/E17))</f>
        <v/>
      </c>
      <c r="AM17" s="25" t="str">
        <f aca="false">IF(OR(C17="",AM$2&gt;C17,E17=0),"",IF(D17=0,1/C17,N(N17)/E17))</f>
        <v/>
      </c>
      <c r="AN17" s="25" t="str">
        <f aca="false">IF(OR(C17="",AN$2&gt;C17,E17=0),"",IF(D17=0,1/C17,N(O17)/E17))</f>
        <v/>
      </c>
      <c r="AO17" s="25" t="str">
        <f aca="false">IF(OR(C17="",AO$2&gt;C17,E17=0),"",IF(D17=0,1/C17,N(P17)/E17))</f>
        <v/>
      </c>
      <c r="AP17" s="25" t="str">
        <f aca="false">IF(OR(C17="",AP$2&gt;C17,E17=0),"",IF(D17=0,1/C17,N(Q17)/E17))</f>
        <v/>
      </c>
      <c r="AQ17" s="25" t="str">
        <f aca="false">IF(OR(C17="",AQ$2&gt;C17,E17=0),"",IF(D17=0,1/C17,N(R17)/E17))</f>
        <v/>
      </c>
      <c r="AR17" s="25" t="str">
        <f aca="false">IF(OR(C17="",AR$2&gt;C17,E17=0),"",IF(D17=0,1/C17,N(S17)/E17))</f>
        <v/>
      </c>
      <c r="AS17" s="25" t="str">
        <f aca="false">IF(OR(C17="",AS$2&gt;C17,E17=0),"",IF(D17=0,1/C17,N(T17)/E17))</f>
        <v/>
      </c>
      <c r="AT17" s="25" t="str">
        <f aca="false">IF(OR(C17="",AT$2&gt;C17,E17=0),"",IF(D17=0,1/C17,N(U17)/E17))</f>
        <v/>
      </c>
      <c r="AU17" s="25" t="str">
        <f aca="false">IF(OR(C17="",AU$2&gt;C17,E17=0),"",IF(D17=0,1/C17,N(V17)/E17))</f>
        <v/>
      </c>
      <c r="AV17" s="25" t="str">
        <f aca="false">IF(OR(C17="",AV$2&gt;C17,E17=0),"",IF(D17=0,1/C17,N(W17)/E17))</f>
        <v/>
      </c>
      <c r="AW17" s="25" t="str">
        <f aca="false">IF(OR(C17="",AW$2&gt;C17,E17=0),"",IF(D17=0,1/C17,N(X17)/E17))</f>
        <v/>
      </c>
      <c r="AX17" s="25" t="str">
        <f aca="false">IF(OR(C17="",AX$2&gt;C17,E17=0),"",IF(D17=0,1/C17,N(Y17)/E17))</f>
        <v/>
      </c>
      <c r="AY17" s="25" t="str">
        <f aca="false">IF(OR(C17="",AY$2&gt;C17,E17=0),"",IF(D17=0,1/C17,N(Z17)/E17))</f>
        <v/>
      </c>
      <c r="AZ17" s="25" t="str">
        <f aca="false">IF(OR(C17="",AZ$2&gt;C17,E17=0),"",IF(D17=0,1/C17,N(AA17)/E17))</f>
        <v/>
      </c>
      <c r="BA17" s="25" t="str">
        <f aca="false">IF(OR(C17="",BA$2&gt;C17,E17=0),"",IF(D17=0,1/C17,N(AB17)/E17))</f>
        <v/>
      </c>
      <c r="BB17" s="25" t="str">
        <f aca="false">IF(OR(C17="",BB$2&gt;C17,E17=0),"",IF(D17=0,1/C17,N(AC17)/E17))</f>
        <v/>
      </c>
      <c r="BC17" s="25" t="str">
        <f aca="false">IF(OR(C17="",BC$2&gt;C17,E17=0),"",IF(D17=0,1/C17,N(AD17)/E17))</f>
        <v/>
      </c>
      <c r="BD17" s="25" t="str">
        <f aca="false">IF(OR(C17="",BD$2&gt;C17,E17=0),"",IF(D17=0,1/C17,N(AE17)/E17))</f>
        <v/>
      </c>
      <c r="BE17" s="25" t="str">
        <f aca="false">IF(OR(C17="",BE$2&gt;C17,E17=0),"",IF(D17=0,1/C17,N(AF17)/E17))</f>
        <v/>
      </c>
      <c r="BF17" s="26" t="str">
        <f aca="false">IF(C17="","",SUM(AH17:BE17))</f>
        <v/>
      </c>
    </row>
    <row r="18" customFormat="false" ht="15" hidden="false" customHeight="false" outlineLevel="0" collapsed="false">
      <c r="A18" s="11" t="n">
        <v>13</v>
      </c>
      <c r="B18" s="21" t="str">
        <f aca="false">IF(Projects!B18="","",Projects!B18)</f>
        <v/>
      </c>
      <c r="C18" s="22" t="str">
        <f aca="false">IF(Projects!E18="","",Projects!E18)</f>
        <v/>
      </c>
      <c r="D18" s="23" t="n">
        <f aca="false">COUNT($I18:$AF18)</f>
        <v>0</v>
      </c>
      <c r="E18" s="23" t="n">
        <f aca="false">IF(C18="",0,IF(D18=0,C18,SUMPRODUCT($I18:$AF18*($I$2:$AF$2&lt;=C18))))</f>
        <v>0</v>
      </c>
      <c r="F18" s="23" t="n">
        <f aca="false">IF(OR(C18="",Projects!D18=""),1,MAX(1,((YEAR(Projects!$C$2)-YEAR(Projects!D18))*12+MONTH(Projects!$C$2)-MONTH(Projects!D18)+1)+1))</f>
        <v>1</v>
      </c>
      <c r="G18" s="23" t="n">
        <f aca="false">IF(C18="",0,IF(D18=0,MAX(0,C18-F18+1),SUMPRODUCT($I18:$AF18*($I$2:$AF$2&gt;=F18)*($I$2:$AF$2&lt;=C18))))</f>
        <v>0</v>
      </c>
      <c r="H18" s="23" t="n">
        <f aca="false">IF(C18="",0,SUMPRODUCT(($I18:$AF18&lt;&gt;0)*($I$2:$AF$2&gt;C18)))</f>
        <v>0</v>
      </c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H18" s="25" t="str">
        <f aca="false">IF(OR(C18="",AH$2&gt;C18,E18=0),"",IF(D18=0,1/C18,N(I18)/E18))</f>
        <v/>
      </c>
      <c r="AI18" s="25" t="str">
        <f aca="false">IF(OR(C18="",AI$2&gt;C18,E18=0),"",IF(D18=0,1/C18,N(J18)/E18))</f>
        <v/>
      </c>
      <c r="AJ18" s="25" t="str">
        <f aca="false">IF(OR(C18="",AJ$2&gt;C18,E18=0),"",IF(D18=0,1/C18,N(K18)/E18))</f>
        <v/>
      </c>
      <c r="AK18" s="25" t="str">
        <f aca="false">IF(OR(C18="",AK$2&gt;C18,E18=0),"",IF(D18=0,1/C18,N(L18)/E18))</f>
        <v/>
      </c>
      <c r="AL18" s="25" t="str">
        <f aca="false">IF(OR(C18="",AL$2&gt;C18,E18=0),"",IF(D18=0,1/C18,N(M18)/E18))</f>
        <v/>
      </c>
      <c r="AM18" s="25" t="str">
        <f aca="false">IF(OR(C18="",AM$2&gt;C18,E18=0),"",IF(D18=0,1/C18,N(N18)/E18))</f>
        <v/>
      </c>
      <c r="AN18" s="25" t="str">
        <f aca="false">IF(OR(C18="",AN$2&gt;C18,E18=0),"",IF(D18=0,1/C18,N(O18)/E18))</f>
        <v/>
      </c>
      <c r="AO18" s="25" t="str">
        <f aca="false">IF(OR(C18="",AO$2&gt;C18,E18=0),"",IF(D18=0,1/C18,N(P18)/E18))</f>
        <v/>
      </c>
      <c r="AP18" s="25" t="str">
        <f aca="false">IF(OR(C18="",AP$2&gt;C18,E18=0),"",IF(D18=0,1/C18,N(Q18)/E18))</f>
        <v/>
      </c>
      <c r="AQ18" s="25" t="str">
        <f aca="false">IF(OR(C18="",AQ$2&gt;C18,E18=0),"",IF(D18=0,1/C18,N(R18)/E18))</f>
        <v/>
      </c>
      <c r="AR18" s="25" t="str">
        <f aca="false">IF(OR(C18="",AR$2&gt;C18,E18=0),"",IF(D18=0,1/C18,N(S18)/E18))</f>
        <v/>
      </c>
      <c r="AS18" s="25" t="str">
        <f aca="false">IF(OR(C18="",AS$2&gt;C18,E18=0),"",IF(D18=0,1/C18,N(T18)/E18))</f>
        <v/>
      </c>
      <c r="AT18" s="25" t="str">
        <f aca="false">IF(OR(C18="",AT$2&gt;C18,E18=0),"",IF(D18=0,1/C18,N(U18)/E18))</f>
        <v/>
      </c>
      <c r="AU18" s="25" t="str">
        <f aca="false">IF(OR(C18="",AU$2&gt;C18,E18=0),"",IF(D18=0,1/C18,N(V18)/E18))</f>
        <v/>
      </c>
      <c r="AV18" s="25" t="str">
        <f aca="false">IF(OR(C18="",AV$2&gt;C18,E18=0),"",IF(D18=0,1/C18,N(W18)/E18))</f>
        <v/>
      </c>
      <c r="AW18" s="25" t="str">
        <f aca="false">IF(OR(C18="",AW$2&gt;C18,E18=0),"",IF(D18=0,1/C18,N(X18)/E18))</f>
        <v/>
      </c>
      <c r="AX18" s="25" t="str">
        <f aca="false">IF(OR(C18="",AX$2&gt;C18,E18=0),"",IF(D18=0,1/C18,N(Y18)/E18))</f>
        <v/>
      </c>
      <c r="AY18" s="25" t="str">
        <f aca="false">IF(OR(C18="",AY$2&gt;C18,E18=0),"",IF(D18=0,1/C18,N(Z18)/E18))</f>
        <v/>
      </c>
      <c r="AZ18" s="25" t="str">
        <f aca="false">IF(OR(C18="",AZ$2&gt;C18,E18=0),"",IF(D18=0,1/C18,N(AA18)/E18))</f>
        <v/>
      </c>
      <c r="BA18" s="25" t="str">
        <f aca="false">IF(OR(C18="",BA$2&gt;C18,E18=0),"",IF(D18=0,1/C18,N(AB18)/E18))</f>
        <v/>
      </c>
      <c r="BB18" s="25" t="str">
        <f aca="false">IF(OR(C18="",BB$2&gt;C18,E18=0),"",IF(D18=0,1/C18,N(AC18)/E18))</f>
        <v/>
      </c>
      <c r="BC18" s="25" t="str">
        <f aca="false">IF(OR(C18="",BC$2&gt;C18,E18=0),"",IF(D18=0,1/C18,N(AD18)/E18))</f>
        <v/>
      </c>
      <c r="BD18" s="25" t="str">
        <f aca="false">IF(OR(C18="",BD$2&gt;C18,E18=0),"",IF(D18=0,1/C18,N(AE18)/E18))</f>
        <v/>
      </c>
      <c r="BE18" s="25" t="str">
        <f aca="false">IF(OR(C18="",BE$2&gt;C18,E18=0),"",IF(D18=0,1/C18,N(AF18)/E18))</f>
        <v/>
      </c>
      <c r="BF18" s="26" t="str">
        <f aca="false">IF(C18="","",SUM(AH18:BE18))</f>
        <v/>
      </c>
    </row>
    <row r="19" customFormat="false" ht="15" hidden="false" customHeight="false" outlineLevel="0" collapsed="false">
      <c r="A19" s="11" t="n">
        <v>14</v>
      </c>
      <c r="B19" s="21" t="str">
        <f aca="false">IF(Projects!B19="","",Projects!B19)</f>
        <v/>
      </c>
      <c r="C19" s="22" t="str">
        <f aca="false">IF(Projects!E19="","",Projects!E19)</f>
        <v/>
      </c>
      <c r="D19" s="23" t="n">
        <f aca="false">COUNT($I19:$AF19)</f>
        <v>0</v>
      </c>
      <c r="E19" s="23" t="n">
        <f aca="false">IF(C19="",0,IF(D19=0,C19,SUMPRODUCT($I19:$AF19*($I$2:$AF$2&lt;=C19))))</f>
        <v>0</v>
      </c>
      <c r="F19" s="23" t="n">
        <f aca="false">IF(OR(C19="",Projects!D19=""),1,MAX(1,((YEAR(Projects!$C$2)-YEAR(Projects!D19))*12+MONTH(Projects!$C$2)-MONTH(Projects!D19)+1)+1))</f>
        <v>1</v>
      </c>
      <c r="G19" s="23" t="n">
        <f aca="false">IF(C19="",0,IF(D19=0,MAX(0,C19-F19+1),SUMPRODUCT($I19:$AF19*($I$2:$AF$2&gt;=F19)*($I$2:$AF$2&lt;=C19))))</f>
        <v>0</v>
      </c>
      <c r="H19" s="23" t="n">
        <f aca="false">IF(C19="",0,SUMPRODUCT(($I19:$AF19&lt;&gt;0)*($I$2:$AF$2&gt;C19)))</f>
        <v>0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H19" s="25" t="str">
        <f aca="false">IF(OR(C19="",AH$2&gt;C19,E19=0),"",IF(D19=0,1/C19,N(I19)/E19))</f>
        <v/>
      </c>
      <c r="AI19" s="25" t="str">
        <f aca="false">IF(OR(C19="",AI$2&gt;C19,E19=0),"",IF(D19=0,1/C19,N(J19)/E19))</f>
        <v/>
      </c>
      <c r="AJ19" s="25" t="str">
        <f aca="false">IF(OR(C19="",AJ$2&gt;C19,E19=0),"",IF(D19=0,1/C19,N(K19)/E19))</f>
        <v/>
      </c>
      <c r="AK19" s="25" t="str">
        <f aca="false">IF(OR(C19="",AK$2&gt;C19,E19=0),"",IF(D19=0,1/C19,N(L19)/E19))</f>
        <v/>
      </c>
      <c r="AL19" s="25" t="str">
        <f aca="false">IF(OR(C19="",AL$2&gt;C19,E19=0),"",IF(D19=0,1/C19,N(M19)/E19))</f>
        <v/>
      </c>
      <c r="AM19" s="25" t="str">
        <f aca="false">IF(OR(C19="",AM$2&gt;C19,E19=0),"",IF(D19=0,1/C19,N(N19)/E19))</f>
        <v/>
      </c>
      <c r="AN19" s="25" t="str">
        <f aca="false">IF(OR(C19="",AN$2&gt;C19,E19=0),"",IF(D19=0,1/C19,N(O19)/E19))</f>
        <v/>
      </c>
      <c r="AO19" s="25" t="str">
        <f aca="false">IF(OR(C19="",AO$2&gt;C19,E19=0),"",IF(D19=0,1/C19,N(P19)/E19))</f>
        <v/>
      </c>
      <c r="AP19" s="25" t="str">
        <f aca="false">IF(OR(C19="",AP$2&gt;C19,E19=0),"",IF(D19=0,1/C19,N(Q19)/E19))</f>
        <v/>
      </c>
      <c r="AQ19" s="25" t="str">
        <f aca="false">IF(OR(C19="",AQ$2&gt;C19,E19=0),"",IF(D19=0,1/C19,N(R19)/E19))</f>
        <v/>
      </c>
      <c r="AR19" s="25" t="str">
        <f aca="false">IF(OR(C19="",AR$2&gt;C19,E19=0),"",IF(D19=0,1/C19,N(S19)/E19))</f>
        <v/>
      </c>
      <c r="AS19" s="25" t="str">
        <f aca="false">IF(OR(C19="",AS$2&gt;C19,E19=0),"",IF(D19=0,1/C19,N(T19)/E19))</f>
        <v/>
      </c>
      <c r="AT19" s="25" t="str">
        <f aca="false">IF(OR(C19="",AT$2&gt;C19,E19=0),"",IF(D19=0,1/C19,N(U19)/E19))</f>
        <v/>
      </c>
      <c r="AU19" s="25" t="str">
        <f aca="false">IF(OR(C19="",AU$2&gt;C19,E19=0),"",IF(D19=0,1/C19,N(V19)/E19))</f>
        <v/>
      </c>
      <c r="AV19" s="25" t="str">
        <f aca="false">IF(OR(C19="",AV$2&gt;C19,E19=0),"",IF(D19=0,1/C19,N(W19)/E19))</f>
        <v/>
      </c>
      <c r="AW19" s="25" t="str">
        <f aca="false">IF(OR(C19="",AW$2&gt;C19,E19=0),"",IF(D19=0,1/C19,N(X19)/E19))</f>
        <v/>
      </c>
      <c r="AX19" s="25" t="str">
        <f aca="false">IF(OR(C19="",AX$2&gt;C19,E19=0),"",IF(D19=0,1/C19,N(Y19)/E19))</f>
        <v/>
      </c>
      <c r="AY19" s="25" t="str">
        <f aca="false">IF(OR(C19="",AY$2&gt;C19,E19=0),"",IF(D19=0,1/C19,N(Z19)/E19))</f>
        <v/>
      </c>
      <c r="AZ19" s="25" t="str">
        <f aca="false">IF(OR(C19="",AZ$2&gt;C19,E19=0),"",IF(D19=0,1/C19,N(AA19)/E19))</f>
        <v/>
      </c>
      <c r="BA19" s="25" t="str">
        <f aca="false">IF(OR(C19="",BA$2&gt;C19,E19=0),"",IF(D19=0,1/C19,N(AB19)/E19))</f>
        <v/>
      </c>
      <c r="BB19" s="25" t="str">
        <f aca="false">IF(OR(C19="",BB$2&gt;C19,E19=0),"",IF(D19=0,1/C19,N(AC19)/E19))</f>
        <v/>
      </c>
      <c r="BC19" s="25" t="str">
        <f aca="false">IF(OR(C19="",BC$2&gt;C19,E19=0),"",IF(D19=0,1/C19,N(AD19)/E19))</f>
        <v/>
      </c>
      <c r="BD19" s="25" t="str">
        <f aca="false">IF(OR(C19="",BD$2&gt;C19,E19=0),"",IF(D19=0,1/C19,N(AE19)/E19))</f>
        <v/>
      </c>
      <c r="BE19" s="25" t="str">
        <f aca="false">IF(OR(C19="",BE$2&gt;C19,E19=0),"",IF(D19=0,1/C19,N(AF19)/E19))</f>
        <v/>
      </c>
      <c r="BF19" s="26" t="str">
        <f aca="false">IF(C19="","",SUM(AH19:BE19))</f>
        <v/>
      </c>
    </row>
    <row r="20" customFormat="false" ht="15" hidden="false" customHeight="false" outlineLevel="0" collapsed="false">
      <c r="A20" s="11" t="n">
        <v>15</v>
      </c>
      <c r="B20" s="21" t="str">
        <f aca="false">IF(Projects!B20="","",Projects!B20)</f>
        <v/>
      </c>
      <c r="C20" s="22" t="str">
        <f aca="false">IF(Projects!E20="","",Projects!E20)</f>
        <v/>
      </c>
      <c r="D20" s="23" t="n">
        <f aca="false">COUNT($I20:$AF20)</f>
        <v>0</v>
      </c>
      <c r="E20" s="23" t="n">
        <f aca="false">IF(C20="",0,IF(D20=0,C20,SUMPRODUCT($I20:$AF20*($I$2:$AF$2&lt;=C20))))</f>
        <v>0</v>
      </c>
      <c r="F20" s="23" t="n">
        <f aca="false">IF(OR(C20="",Projects!D20=""),1,MAX(1,((YEAR(Projects!$C$2)-YEAR(Projects!D20))*12+MONTH(Projects!$C$2)-MONTH(Projects!D20)+1)+1))</f>
        <v>1</v>
      </c>
      <c r="G20" s="23" t="n">
        <f aca="false">IF(C20="",0,IF(D20=0,MAX(0,C20-F20+1),SUMPRODUCT($I20:$AF20*($I$2:$AF$2&gt;=F20)*($I$2:$AF$2&lt;=C20))))</f>
        <v>0</v>
      </c>
      <c r="H20" s="23" t="n">
        <f aca="false">IF(C20="",0,SUMPRODUCT(($I20:$AF20&lt;&gt;0)*($I$2:$AF$2&gt;C20)))</f>
        <v>0</v>
      </c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H20" s="25" t="str">
        <f aca="false">IF(OR(C20="",AH$2&gt;C20,E20=0),"",IF(D20=0,1/C20,N(I20)/E20))</f>
        <v/>
      </c>
      <c r="AI20" s="25" t="str">
        <f aca="false">IF(OR(C20="",AI$2&gt;C20,E20=0),"",IF(D20=0,1/C20,N(J20)/E20))</f>
        <v/>
      </c>
      <c r="AJ20" s="25" t="str">
        <f aca="false">IF(OR(C20="",AJ$2&gt;C20,E20=0),"",IF(D20=0,1/C20,N(K20)/E20))</f>
        <v/>
      </c>
      <c r="AK20" s="25" t="str">
        <f aca="false">IF(OR(C20="",AK$2&gt;C20,E20=0),"",IF(D20=0,1/C20,N(L20)/E20))</f>
        <v/>
      </c>
      <c r="AL20" s="25" t="str">
        <f aca="false">IF(OR(C20="",AL$2&gt;C20,E20=0),"",IF(D20=0,1/C20,N(M20)/E20))</f>
        <v/>
      </c>
      <c r="AM20" s="25" t="str">
        <f aca="false">IF(OR(C20="",AM$2&gt;C20,E20=0),"",IF(D20=0,1/C20,N(N20)/E20))</f>
        <v/>
      </c>
      <c r="AN20" s="25" t="str">
        <f aca="false">IF(OR(C20="",AN$2&gt;C20,E20=0),"",IF(D20=0,1/C20,N(O20)/E20))</f>
        <v/>
      </c>
      <c r="AO20" s="25" t="str">
        <f aca="false">IF(OR(C20="",AO$2&gt;C20,E20=0),"",IF(D20=0,1/C20,N(P20)/E20))</f>
        <v/>
      </c>
      <c r="AP20" s="25" t="str">
        <f aca="false">IF(OR(C20="",AP$2&gt;C20,E20=0),"",IF(D20=0,1/C20,N(Q20)/E20))</f>
        <v/>
      </c>
      <c r="AQ20" s="25" t="str">
        <f aca="false">IF(OR(C20="",AQ$2&gt;C20,E20=0),"",IF(D20=0,1/C20,N(R20)/E20))</f>
        <v/>
      </c>
      <c r="AR20" s="25" t="str">
        <f aca="false">IF(OR(C20="",AR$2&gt;C20,E20=0),"",IF(D20=0,1/C20,N(S20)/E20))</f>
        <v/>
      </c>
      <c r="AS20" s="25" t="str">
        <f aca="false">IF(OR(C20="",AS$2&gt;C20,E20=0),"",IF(D20=0,1/C20,N(T20)/E20))</f>
        <v/>
      </c>
      <c r="AT20" s="25" t="str">
        <f aca="false">IF(OR(C20="",AT$2&gt;C20,E20=0),"",IF(D20=0,1/C20,N(U20)/E20))</f>
        <v/>
      </c>
      <c r="AU20" s="25" t="str">
        <f aca="false">IF(OR(C20="",AU$2&gt;C20,E20=0),"",IF(D20=0,1/C20,N(V20)/E20))</f>
        <v/>
      </c>
      <c r="AV20" s="25" t="str">
        <f aca="false">IF(OR(C20="",AV$2&gt;C20,E20=0),"",IF(D20=0,1/C20,N(W20)/E20))</f>
        <v/>
      </c>
      <c r="AW20" s="25" t="str">
        <f aca="false">IF(OR(C20="",AW$2&gt;C20,E20=0),"",IF(D20=0,1/C20,N(X20)/E20))</f>
        <v/>
      </c>
      <c r="AX20" s="25" t="str">
        <f aca="false">IF(OR(C20="",AX$2&gt;C20,E20=0),"",IF(D20=0,1/C20,N(Y20)/E20))</f>
        <v/>
      </c>
      <c r="AY20" s="25" t="str">
        <f aca="false">IF(OR(C20="",AY$2&gt;C20,E20=0),"",IF(D20=0,1/C20,N(Z20)/E20))</f>
        <v/>
      </c>
      <c r="AZ20" s="25" t="str">
        <f aca="false">IF(OR(C20="",AZ$2&gt;C20,E20=0),"",IF(D20=0,1/C20,N(AA20)/E20))</f>
        <v/>
      </c>
      <c r="BA20" s="25" t="str">
        <f aca="false">IF(OR(C20="",BA$2&gt;C20,E20=0),"",IF(D20=0,1/C20,N(AB20)/E20))</f>
        <v/>
      </c>
      <c r="BB20" s="25" t="str">
        <f aca="false">IF(OR(C20="",BB$2&gt;C20,E20=0),"",IF(D20=0,1/C20,N(AC20)/E20))</f>
        <v/>
      </c>
      <c r="BC20" s="25" t="str">
        <f aca="false">IF(OR(C20="",BC$2&gt;C20,E20=0),"",IF(D20=0,1/C20,N(AD20)/E20))</f>
        <v/>
      </c>
      <c r="BD20" s="25" t="str">
        <f aca="false">IF(OR(C20="",BD$2&gt;C20,E20=0),"",IF(D20=0,1/C20,N(AE20)/E20))</f>
        <v/>
      </c>
      <c r="BE20" s="25" t="str">
        <f aca="false">IF(OR(C20="",BE$2&gt;C20,E20=0),"",IF(D20=0,1/C20,N(AF20)/E20))</f>
        <v/>
      </c>
      <c r="BF20" s="26" t="str">
        <f aca="false">IF(C20="","",SUM(AH20:BE20))</f>
        <v/>
      </c>
    </row>
    <row r="21" customFormat="false" ht="15" hidden="false" customHeight="false" outlineLevel="0" collapsed="false">
      <c r="A21" s="11" t="n">
        <v>16</v>
      </c>
      <c r="B21" s="21" t="str">
        <f aca="false">IF(Projects!B21="","",Projects!B21)</f>
        <v/>
      </c>
      <c r="C21" s="22" t="str">
        <f aca="false">IF(Projects!E21="","",Projects!E21)</f>
        <v/>
      </c>
      <c r="D21" s="23" t="n">
        <f aca="false">COUNT($I21:$AF21)</f>
        <v>0</v>
      </c>
      <c r="E21" s="23" t="n">
        <f aca="false">IF(C21="",0,IF(D21=0,C21,SUMPRODUCT($I21:$AF21*($I$2:$AF$2&lt;=C21))))</f>
        <v>0</v>
      </c>
      <c r="F21" s="23" t="n">
        <f aca="false">IF(OR(C21="",Projects!D21=""),1,MAX(1,((YEAR(Projects!$C$2)-YEAR(Projects!D21))*12+MONTH(Projects!$C$2)-MONTH(Projects!D21)+1)+1))</f>
        <v>1</v>
      </c>
      <c r="G21" s="23" t="n">
        <f aca="false">IF(C21="",0,IF(D21=0,MAX(0,C21-F21+1),SUMPRODUCT($I21:$AF21*($I$2:$AF$2&gt;=F21)*($I$2:$AF$2&lt;=C21))))</f>
        <v>0</v>
      </c>
      <c r="H21" s="23" t="n">
        <f aca="false">IF(C21="",0,SUMPRODUCT(($I21:$AF21&lt;&gt;0)*($I$2:$AF$2&gt;C21)))</f>
        <v>0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H21" s="25" t="str">
        <f aca="false">IF(OR(C21="",AH$2&gt;C21,E21=0),"",IF(D21=0,1/C21,N(I21)/E21))</f>
        <v/>
      </c>
      <c r="AI21" s="25" t="str">
        <f aca="false">IF(OR(C21="",AI$2&gt;C21,E21=0),"",IF(D21=0,1/C21,N(J21)/E21))</f>
        <v/>
      </c>
      <c r="AJ21" s="25" t="str">
        <f aca="false">IF(OR(C21="",AJ$2&gt;C21,E21=0),"",IF(D21=0,1/C21,N(K21)/E21))</f>
        <v/>
      </c>
      <c r="AK21" s="25" t="str">
        <f aca="false">IF(OR(C21="",AK$2&gt;C21,E21=0),"",IF(D21=0,1/C21,N(L21)/E21))</f>
        <v/>
      </c>
      <c r="AL21" s="25" t="str">
        <f aca="false">IF(OR(C21="",AL$2&gt;C21,E21=0),"",IF(D21=0,1/C21,N(M21)/E21))</f>
        <v/>
      </c>
      <c r="AM21" s="25" t="str">
        <f aca="false">IF(OR(C21="",AM$2&gt;C21,E21=0),"",IF(D21=0,1/C21,N(N21)/E21))</f>
        <v/>
      </c>
      <c r="AN21" s="25" t="str">
        <f aca="false">IF(OR(C21="",AN$2&gt;C21,E21=0),"",IF(D21=0,1/C21,N(O21)/E21))</f>
        <v/>
      </c>
      <c r="AO21" s="25" t="str">
        <f aca="false">IF(OR(C21="",AO$2&gt;C21,E21=0),"",IF(D21=0,1/C21,N(P21)/E21))</f>
        <v/>
      </c>
      <c r="AP21" s="25" t="str">
        <f aca="false">IF(OR(C21="",AP$2&gt;C21,E21=0),"",IF(D21=0,1/C21,N(Q21)/E21))</f>
        <v/>
      </c>
      <c r="AQ21" s="25" t="str">
        <f aca="false">IF(OR(C21="",AQ$2&gt;C21,E21=0),"",IF(D21=0,1/C21,N(R21)/E21))</f>
        <v/>
      </c>
      <c r="AR21" s="25" t="str">
        <f aca="false">IF(OR(C21="",AR$2&gt;C21,E21=0),"",IF(D21=0,1/C21,N(S21)/E21))</f>
        <v/>
      </c>
      <c r="AS21" s="25" t="str">
        <f aca="false">IF(OR(C21="",AS$2&gt;C21,E21=0),"",IF(D21=0,1/C21,N(T21)/E21))</f>
        <v/>
      </c>
      <c r="AT21" s="25" t="str">
        <f aca="false">IF(OR(C21="",AT$2&gt;C21,E21=0),"",IF(D21=0,1/C21,N(U21)/E21))</f>
        <v/>
      </c>
      <c r="AU21" s="25" t="str">
        <f aca="false">IF(OR(C21="",AU$2&gt;C21,E21=0),"",IF(D21=0,1/C21,N(V21)/E21))</f>
        <v/>
      </c>
      <c r="AV21" s="25" t="str">
        <f aca="false">IF(OR(C21="",AV$2&gt;C21,E21=0),"",IF(D21=0,1/C21,N(W21)/E21))</f>
        <v/>
      </c>
      <c r="AW21" s="25" t="str">
        <f aca="false">IF(OR(C21="",AW$2&gt;C21,E21=0),"",IF(D21=0,1/C21,N(X21)/E21))</f>
        <v/>
      </c>
      <c r="AX21" s="25" t="str">
        <f aca="false">IF(OR(C21="",AX$2&gt;C21,E21=0),"",IF(D21=0,1/C21,N(Y21)/E21))</f>
        <v/>
      </c>
      <c r="AY21" s="25" t="str">
        <f aca="false">IF(OR(C21="",AY$2&gt;C21,E21=0),"",IF(D21=0,1/C21,N(Z21)/E21))</f>
        <v/>
      </c>
      <c r="AZ21" s="25" t="str">
        <f aca="false">IF(OR(C21="",AZ$2&gt;C21,E21=0),"",IF(D21=0,1/C21,N(AA21)/E21))</f>
        <v/>
      </c>
      <c r="BA21" s="25" t="str">
        <f aca="false">IF(OR(C21="",BA$2&gt;C21,E21=0),"",IF(D21=0,1/C21,N(AB21)/E21))</f>
        <v/>
      </c>
      <c r="BB21" s="25" t="str">
        <f aca="false">IF(OR(C21="",BB$2&gt;C21,E21=0),"",IF(D21=0,1/C21,N(AC21)/E21))</f>
        <v/>
      </c>
      <c r="BC21" s="25" t="str">
        <f aca="false">IF(OR(C21="",BC$2&gt;C21,E21=0),"",IF(D21=0,1/C21,N(AD21)/E21))</f>
        <v/>
      </c>
      <c r="BD21" s="25" t="str">
        <f aca="false">IF(OR(C21="",BD$2&gt;C21,E21=0),"",IF(D21=0,1/C21,N(AE21)/E21))</f>
        <v/>
      </c>
      <c r="BE21" s="25" t="str">
        <f aca="false">IF(OR(C21="",BE$2&gt;C21,E21=0),"",IF(D21=0,1/C21,N(AF21)/E21))</f>
        <v/>
      </c>
      <c r="BF21" s="26" t="str">
        <f aca="false">IF(C21="","",SUM(AH21:BE21))</f>
        <v/>
      </c>
    </row>
    <row r="22" customFormat="false" ht="15" hidden="false" customHeight="false" outlineLevel="0" collapsed="false">
      <c r="A22" s="11" t="n">
        <v>17</v>
      </c>
      <c r="B22" s="21" t="str">
        <f aca="false">IF(Projects!B22="","",Projects!B22)</f>
        <v/>
      </c>
      <c r="C22" s="22" t="str">
        <f aca="false">IF(Projects!E22="","",Projects!E22)</f>
        <v/>
      </c>
      <c r="D22" s="23" t="n">
        <f aca="false">COUNT($I22:$AF22)</f>
        <v>0</v>
      </c>
      <c r="E22" s="23" t="n">
        <f aca="false">IF(C22="",0,IF(D22=0,C22,SUMPRODUCT($I22:$AF22*($I$2:$AF$2&lt;=C22))))</f>
        <v>0</v>
      </c>
      <c r="F22" s="23" t="n">
        <f aca="false">IF(OR(C22="",Projects!D22=""),1,MAX(1,((YEAR(Projects!$C$2)-YEAR(Projects!D22))*12+MONTH(Projects!$C$2)-MONTH(Projects!D22)+1)+1))</f>
        <v>1</v>
      </c>
      <c r="G22" s="23" t="n">
        <f aca="false">IF(C22="",0,IF(D22=0,MAX(0,C22-F22+1),SUMPRODUCT($I22:$AF22*($I$2:$AF$2&gt;=F22)*($I$2:$AF$2&lt;=C22))))</f>
        <v>0</v>
      </c>
      <c r="H22" s="23" t="n">
        <f aca="false">IF(C22="",0,SUMPRODUCT(($I22:$AF22&lt;&gt;0)*($I$2:$AF$2&gt;C22)))</f>
        <v>0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H22" s="25" t="str">
        <f aca="false">IF(OR(C22="",AH$2&gt;C22,E22=0),"",IF(D22=0,1/C22,N(I22)/E22))</f>
        <v/>
      </c>
      <c r="AI22" s="25" t="str">
        <f aca="false">IF(OR(C22="",AI$2&gt;C22,E22=0),"",IF(D22=0,1/C22,N(J22)/E22))</f>
        <v/>
      </c>
      <c r="AJ22" s="25" t="str">
        <f aca="false">IF(OR(C22="",AJ$2&gt;C22,E22=0),"",IF(D22=0,1/C22,N(K22)/E22))</f>
        <v/>
      </c>
      <c r="AK22" s="25" t="str">
        <f aca="false">IF(OR(C22="",AK$2&gt;C22,E22=0),"",IF(D22=0,1/C22,N(L22)/E22))</f>
        <v/>
      </c>
      <c r="AL22" s="25" t="str">
        <f aca="false">IF(OR(C22="",AL$2&gt;C22,E22=0),"",IF(D22=0,1/C22,N(M22)/E22))</f>
        <v/>
      </c>
      <c r="AM22" s="25" t="str">
        <f aca="false">IF(OR(C22="",AM$2&gt;C22,E22=0),"",IF(D22=0,1/C22,N(N22)/E22))</f>
        <v/>
      </c>
      <c r="AN22" s="25" t="str">
        <f aca="false">IF(OR(C22="",AN$2&gt;C22,E22=0),"",IF(D22=0,1/C22,N(O22)/E22))</f>
        <v/>
      </c>
      <c r="AO22" s="25" t="str">
        <f aca="false">IF(OR(C22="",AO$2&gt;C22,E22=0),"",IF(D22=0,1/C22,N(P22)/E22))</f>
        <v/>
      </c>
      <c r="AP22" s="25" t="str">
        <f aca="false">IF(OR(C22="",AP$2&gt;C22,E22=0),"",IF(D22=0,1/C22,N(Q22)/E22))</f>
        <v/>
      </c>
      <c r="AQ22" s="25" t="str">
        <f aca="false">IF(OR(C22="",AQ$2&gt;C22,E22=0),"",IF(D22=0,1/C22,N(R22)/E22))</f>
        <v/>
      </c>
      <c r="AR22" s="25" t="str">
        <f aca="false">IF(OR(C22="",AR$2&gt;C22,E22=0),"",IF(D22=0,1/C22,N(S22)/E22))</f>
        <v/>
      </c>
      <c r="AS22" s="25" t="str">
        <f aca="false">IF(OR(C22="",AS$2&gt;C22,E22=0),"",IF(D22=0,1/C22,N(T22)/E22))</f>
        <v/>
      </c>
      <c r="AT22" s="25" t="str">
        <f aca="false">IF(OR(C22="",AT$2&gt;C22,E22=0),"",IF(D22=0,1/C22,N(U22)/E22))</f>
        <v/>
      </c>
      <c r="AU22" s="25" t="str">
        <f aca="false">IF(OR(C22="",AU$2&gt;C22,E22=0),"",IF(D22=0,1/C22,N(V22)/E22))</f>
        <v/>
      </c>
      <c r="AV22" s="25" t="str">
        <f aca="false">IF(OR(C22="",AV$2&gt;C22,E22=0),"",IF(D22=0,1/C22,N(W22)/E22))</f>
        <v/>
      </c>
      <c r="AW22" s="25" t="str">
        <f aca="false">IF(OR(C22="",AW$2&gt;C22,E22=0),"",IF(D22=0,1/C22,N(X22)/E22))</f>
        <v/>
      </c>
      <c r="AX22" s="25" t="str">
        <f aca="false">IF(OR(C22="",AX$2&gt;C22,E22=0),"",IF(D22=0,1/C22,N(Y22)/E22))</f>
        <v/>
      </c>
      <c r="AY22" s="25" t="str">
        <f aca="false">IF(OR(C22="",AY$2&gt;C22,E22=0),"",IF(D22=0,1/C22,N(Z22)/E22))</f>
        <v/>
      </c>
      <c r="AZ22" s="25" t="str">
        <f aca="false">IF(OR(C22="",AZ$2&gt;C22,E22=0),"",IF(D22=0,1/C22,N(AA22)/E22))</f>
        <v/>
      </c>
      <c r="BA22" s="25" t="str">
        <f aca="false">IF(OR(C22="",BA$2&gt;C22,E22=0),"",IF(D22=0,1/C22,N(AB22)/E22))</f>
        <v/>
      </c>
      <c r="BB22" s="25" t="str">
        <f aca="false">IF(OR(C22="",BB$2&gt;C22,E22=0),"",IF(D22=0,1/C22,N(AC22)/E22))</f>
        <v/>
      </c>
      <c r="BC22" s="25" t="str">
        <f aca="false">IF(OR(C22="",BC$2&gt;C22,E22=0),"",IF(D22=0,1/C22,N(AD22)/E22))</f>
        <v/>
      </c>
      <c r="BD22" s="25" t="str">
        <f aca="false">IF(OR(C22="",BD$2&gt;C22,E22=0),"",IF(D22=0,1/C22,N(AE22)/E22))</f>
        <v/>
      </c>
      <c r="BE22" s="25" t="str">
        <f aca="false">IF(OR(C22="",BE$2&gt;C22,E22=0),"",IF(D22=0,1/C22,N(AF22)/E22))</f>
        <v/>
      </c>
      <c r="BF22" s="26" t="str">
        <f aca="false">IF(C22="","",SUM(AH22:BE22))</f>
        <v/>
      </c>
    </row>
    <row r="23" customFormat="false" ht="15" hidden="false" customHeight="false" outlineLevel="0" collapsed="false">
      <c r="A23" s="11" t="n">
        <v>18</v>
      </c>
      <c r="B23" s="21" t="str">
        <f aca="false">IF(Projects!B23="","",Projects!B23)</f>
        <v/>
      </c>
      <c r="C23" s="22" t="str">
        <f aca="false">IF(Projects!E23="","",Projects!E23)</f>
        <v/>
      </c>
      <c r="D23" s="23" t="n">
        <f aca="false">COUNT($I23:$AF23)</f>
        <v>0</v>
      </c>
      <c r="E23" s="23" t="n">
        <f aca="false">IF(C23="",0,IF(D23=0,C23,SUMPRODUCT($I23:$AF23*($I$2:$AF$2&lt;=C23))))</f>
        <v>0</v>
      </c>
      <c r="F23" s="23" t="n">
        <f aca="false">IF(OR(C23="",Projects!D23=""),1,MAX(1,((YEAR(Projects!$C$2)-YEAR(Projects!D23))*12+MONTH(Projects!$C$2)-MONTH(Projects!D23)+1)+1))</f>
        <v>1</v>
      </c>
      <c r="G23" s="23" t="n">
        <f aca="false">IF(C23="",0,IF(D23=0,MAX(0,C23-F23+1),SUMPRODUCT($I23:$AF23*($I$2:$AF$2&gt;=F23)*($I$2:$AF$2&lt;=C23))))</f>
        <v>0</v>
      </c>
      <c r="H23" s="23" t="n">
        <f aca="false">IF(C23="",0,SUMPRODUCT(($I23:$AF23&lt;&gt;0)*($I$2:$AF$2&gt;C23)))</f>
        <v>0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H23" s="25" t="str">
        <f aca="false">IF(OR(C23="",AH$2&gt;C23,E23=0),"",IF(D23=0,1/C23,N(I23)/E23))</f>
        <v/>
      </c>
      <c r="AI23" s="25" t="str">
        <f aca="false">IF(OR(C23="",AI$2&gt;C23,E23=0),"",IF(D23=0,1/C23,N(J23)/E23))</f>
        <v/>
      </c>
      <c r="AJ23" s="25" t="str">
        <f aca="false">IF(OR(C23="",AJ$2&gt;C23,E23=0),"",IF(D23=0,1/C23,N(K23)/E23))</f>
        <v/>
      </c>
      <c r="AK23" s="25" t="str">
        <f aca="false">IF(OR(C23="",AK$2&gt;C23,E23=0),"",IF(D23=0,1/C23,N(L23)/E23))</f>
        <v/>
      </c>
      <c r="AL23" s="25" t="str">
        <f aca="false">IF(OR(C23="",AL$2&gt;C23,E23=0),"",IF(D23=0,1/C23,N(M23)/E23))</f>
        <v/>
      </c>
      <c r="AM23" s="25" t="str">
        <f aca="false">IF(OR(C23="",AM$2&gt;C23,E23=0),"",IF(D23=0,1/C23,N(N23)/E23))</f>
        <v/>
      </c>
      <c r="AN23" s="25" t="str">
        <f aca="false">IF(OR(C23="",AN$2&gt;C23,E23=0),"",IF(D23=0,1/C23,N(O23)/E23))</f>
        <v/>
      </c>
      <c r="AO23" s="25" t="str">
        <f aca="false">IF(OR(C23="",AO$2&gt;C23,E23=0),"",IF(D23=0,1/C23,N(P23)/E23))</f>
        <v/>
      </c>
      <c r="AP23" s="25" t="str">
        <f aca="false">IF(OR(C23="",AP$2&gt;C23,E23=0),"",IF(D23=0,1/C23,N(Q23)/E23))</f>
        <v/>
      </c>
      <c r="AQ23" s="25" t="str">
        <f aca="false">IF(OR(C23="",AQ$2&gt;C23,E23=0),"",IF(D23=0,1/C23,N(R23)/E23))</f>
        <v/>
      </c>
      <c r="AR23" s="25" t="str">
        <f aca="false">IF(OR(C23="",AR$2&gt;C23,E23=0),"",IF(D23=0,1/C23,N(S23)/E23))</f>
        <v/>
      </c>
      <c r="AS23" s="25" t="str">
        <f aca="false">IF(OR(C23="",AS$2&gt;C23,E23=0),"",IF(D23=0,1/C23,N(T23)/E23))</f>
        <v/>
      </c>
      <c r="AT23" s="25" t="str">
        <f aca="false">IF(OR(C23="",AT$2&gt;C23,E23=0),"",IF(D23=0,1/C23,N(U23)/E23))</f>
        <v/>
      </c>
      <c r="AU23" s="25" t="str">
        <f aca="false">IF(OR(C23="",AU$2&gt;C23,E23=0),"",IF(D23=0,1/C23,N(V23)/E23))</f>
        <v/>
      </c>
      <c r="AV23" s="25" t="str">
        <f aca="false">IF(OR(C23="",AV$2&gt;C23,E23=0),"",IF(D23=0,1/C23,N(W23)/E23))</f>
        <v/>
      </c>
      <c r="AW23" s="25" t="str">
        <f aca="false">IF(OR(C23="",AW$2&gt;C23,E23=0),"",IF(D23=0,1/C23,N(X23)/E23))</f>
        <v/>
      </c>
      <c r="AX23" s="25" t="str">
        <f aca="false">IF(OR(C23="",AX$2&gt;C23,E23=0),"",IF(D23=0,1/C23,N(Y23)/E23))</f>
        <v/>
      </c>
      <c r="AY23" s="25" t="str">
        <f aca="false">IF(OR(C23="",AY$2&gt;C23,E23=0),"",IF(D23=0,1/C23,N(Z23)/E23))</f>
        <v/>
      </c>
      <c r="AZ23" s="25" t="str">
        <f aca="false">IF(OR(C23="",AZ$2&gt;C23,E23=0),"",IF(D23=0,1/C23,N(AA23)/E23))</f>
        <v/>
      </c>
      <c r="BA23" s="25" t="str">
        <f aca="false">IF(OR(C23="",BA$2&gt;C23,E23=0),"",IF(D23=0,1/C23,N(AB23)/E23))</f>
        <v/>
      </c>
      <c r="BB23" s="25" t="str">
        <f aca="false">IF(OR(C23="",BB$2&gt;C23,E23=0),"",IF(D23=0,1/C23,N(AC23)/E23))</f>
        <v/>
      </c>
      <c r="BC23" s="25" t="str">
        <f aca="false">IF(OR(C23="",BC$2&gt;C23,E23=0),"",IF(D23=0,1/C23,N(AD23)/E23))</f>
        <v/>
      </c>
      <c r="BD23" s="25" t="str">
        <f aca="false">IF(OR(C23="",BD$2&gt;C23,E23=0),"",IF(D23=0,1/C23,N(AE23)/E23))</f>
        <v/>
      </c>
      <c r="BE23" s="25" t="str">
        <f aca="false">IF(OR(C23="",BE$2&gt;C23,E23=0),"",IF(D23=0,1/C23,N(AF23)/E23))</f>
        <v/>
      </c>
      <c r="BF23" s="26" t="str">
        <f aca="false">IF(C23="","",SUM(AH23:BE23))</f>
        <v/>
      </c>
    </row>
    <row r="24" customFormat="false" ht="15" hidden="false" customHeight="false" outlineLevel="0" collapsed="false">
      <c r="A24" s="11" t="n">
        <v>19</v>
      </c>
      <c r="B24" s="21" t="str">
        <f aca="false">IF(Projects!B24="","",Projects!B24)</f>
        <v/>
      </c>
      <c r="C24" s="22" t="str">
        <f aca="false">IF(Projects!E24="","",Projects!E24)</f>
        <v/>
      </c>
      <c r="D24" s="23" t="n">
        <f aca="false">COUNT($I24:$AF24)</f>
        <v>0</v>
      </c>
      <c r="E24" s="23" t="n">
        <f aca="false">IF(C24="",0,IF(D24=0,C24,SUMPRODUCT($I24:$AF24*($I$2:$AF$2&lt;=C24))))</f>
        <v>0</v>
      </c>
      <c r="F24" s="23" t="n">
        <f aca="false">IF(OR(C24="",Projects!D24=""),1,MAX(1,((YEAR(Projects!$C$2)-YEAR(Projects!D24))*12+MONTH(Projects!$C$2)-MONTH(Projects!D24)+1)+1))</f>
        <v>1</v>
      </c>
      <c r="G24" s="23" t="n">
        <f aca="false">IF(C24="",0,IF(D24=0,MAX(0,C24-F24+1),SUMPRODUCT($I24:$AF24*($I$2:$AF$2&gt;=F24)*($I$2:$AF$2&lt;=C24))))</f>
        <v>0</v>
      </c>
      <c r="H24" s="23" t="n">
        <f aca="false">IF(C24="",0,SUMPRODUCT(($I24:$AF24&lt;&gt;0)*($I$2:$AF$2&gt;C24)))</f>
        <v>0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H24" s="25" t="str">
        <f aca="false">IF(OR(C24="",AH$2&gt;C24,E24=0),"",IF(D24=0,1/C24,N(I24)/E24))</f>
        <v/>
      </c>
      <c r="AI24" s="25" t="str">
        <f aca="false">IF(OR(C24="",AI$2&gt;C24,E24=0),"",IF(D24=0,1/C24,N(J24)/E24))</f>
        <v/>
      </c>
      <c r="AJ24" s="25" t="str">
        <f aca="false">IF(OR(C24="",AJ$2&gt;C24,E24=0),"",IF(D24=0,1/C24,N(K24)/E24))</f>
        <v/>
      </c>
      <c r="AK24" s="25" t="str">
        <f aca="false">IF(OR(C24="",AK$2&gt;C24,E24=0),"",IF(D24=0,1/C24,N(L24)/E24))</f>
        <v/>
      </c>
      <c r="AL24" s="25" t="str">
        <f aca="false">IF(OR(C24="",AL$2&gt;C24,E24=0),"",IF(D24=0,1/C24,N(M24)/E24))</f>
        <v/>
      </c>
      <c r="AM24" s="25" t="str">
        <f aca="false">IF(OR(C24="",AM$2&gt;C24,E24=0),"",IF(D24=0,1/C24,N(N24)/E24))</f>
        <v/>
      </c>
      <c r="AN24" s="25" t="str">
        <f aca="false">IF(OR(C24="",AN$2&gt;C24,E24=0),"",IF(D24=0,1/C24,N(O24)/E24))</f>
        <v/>
      </c>
      <c r="AO24" s="25" t="str">
        <f aca="false">IF(OR(C24="",AO$2&gt;C24,E24=0),"",IF(D24=0,1/C24,N(P24)/E24))</f>
        <v/>
      </c>
      <c r="AP24" s="25" t="str">
        <f aca="false">IF(OR(C24="",AP$2&gt;C24,E24=0),"",IF(D24=0,1/C24,N(Q24)/E24))</f>
        <v/>
      </c>
      <c r="AQ24" s="25" t="str">
        <f aca="false">IF(OR(C24="",AQ$2&gt;C24,E24=0),"",IF(D24=0,1/C24,N(R24)/E24))</f>
        <v/>
      </c>
      <c r="AR24" s="25" t="str">
        <f aca="false">IF(OR(C24="",AR$2&gt;C24,E24=0),"",IF(D24=0,1/C24,N(S24)/E24))</f>
        <v/>
      </c>
      <c r="AS24" s="25" t="str">
        <f aca="false">IF(OR(C24="",AS$2&gt;C24,E24=0),"",IF(D24=0,1/C24,N(T24)/E24))</f>
        <v/>
      </c>
      <c r="AT24" s="25" t="str">
        <f aca="false">IF(OR(C24="",AT$2&gt;C24,E24=0),"",IF(D24=0,1/C24,N(U24)/E24))</f>
        <v/>
      </c>
      <c r="AU24" s="25" t="str">
        <f aca="false">IF(OR(C24="",AU$2&gt;C24,E24=0),"",IF(D24=0,1/C24,N(V24)/E24))</f>
        <v/>
      </c>
      <c r="AV24" s="25" t="str">
        <f aca="false">IF(OR(C24="",AV$2&gt;C24,E24=0),"",IF(D24=0,1/C24,N(W24)/E24))</f>
        <v/>
      </c>
      <c r="AW24" s="25" t="str">
        <f aca="false">IF(OR(C24="",AW$2&gt;C24,E24=0),"",IF(D24=0,1/C24,N(X24)/E24))</f>
        <v/>
      </c>
      <c r="AX24" s="25" t="str">
        <f aca="false">IF(OR(C24="",AX$2&gt;C24,E24=0),"",IF(D24=0,1/C24,N(Y24)/E24))</f>
        <v/>
      </c>
      <c r="AY24" s="25" t="str">
        <f aca="false">IF(OR(C24="",AY$2&gt;C24,E24=0),"",IF(D24=0,1/C24,N(Z24)/E24))</f>
        <v/>
      </c>
      <c r="AZ24" s="25" t="str">
        <f aca="false">IF(OR(C24="",AZ$2&gt;C24,E24=0),"",IF(D24=0,1/C24,N(AA24)/E24))</f>
        <v/>
      </c>
      <c r="BA24" s="25" t="str">
        <f aca="false">IF(OR(C24="",BA$2&gt;C24,E24=0),"",IF(D24=0,1/C24,N(AB24)/E24))</f>
        <v/>
      </c>
      <c r="BB24" s="25" t="str">
        <f aca="false">IF(OR(C24="",BB$2&gt;C24,E24=0),"",IF(D24=0,1/C24,N(AC24)/E24))</f>
        <v/>
      </c>
      <c r="BC24" s="25" t="str">
        <f aca="false">IF(OR(C24="",BC$2&gt;C24,E24=0),"",IF(D24=0,1/C24,N(AD24)/E24))</f>
        <v/>
      </c>
      <c r="BD24" s="25" t="str">
        <f aca="false">IF(OR(C24="",BD$2&gt;C24,E24=0),"",IF(D24=0,1/C24,N(AE24)/E24))</f>
        <v/>
      </c>
      <c r="BE24" s="25" t="str">
        <f aca="false">IF(OR(C24="",BE$2&gt;C24,E24=0),"",IF(D24=0,1/C24,N(AF24)/E24))</f>
        <v/>
      </c>
      <c r="BF24" s="26" t="str">
        <f aca="false">IF(C24="","",SUM(AH24:BE24))</f>
        <v/>
      </c>
    </row>
    <row r="25" customFormat="false" ht="15" hidden="false" customHeight="false" outlineLevel="0" collapsed="false">
      <c r="A25" s="11" t="n">
        <v>20</v>
      </c>
      <c r="B25" s="21" t="str">
        <f aca="false">IF(Projects!B25="","",Projects!B25)</f>
        <v/>
      </c>
      <c r="C25" s="22" t="str">
        <f aca="false">IF(Projects!E25="","",Projects!E25)</f>
        <v/>
      </c>
      <c r="D25" s="23" t="n">
        <f aca="false">COUNT($I25:$AF25)</f>
        <v>0</v>
      </c>
      <c r="E25" s="23" t="n">
        <f aca="false">IF(C25="",0,IF(D25=0,C25,SUMPRODUCT($I25:$AF25*($I$2:$AF$2&lt;=C25))))</f>
        <v>0</v>
      </c>
      <c r="F25" s="23" t="n">
        <f aca="false">IF(OR(C25="",Projects!D25=""),1,MAX(1,((YEAR(Projects!$C$2)-YEAR(Projects!D25))*12+MONTH(Projects!$C$2)-MONTH(Projects!D25)+1)+1))</f>
        <v>1</v>
      </c>
      <c r="G25" s="23" t="n">
        <f aca="false">IF(C25="",0,IF(D25=0,MAX(0,C25-F25+1),SUMPRODUCT($I25:$AF25*($I$2:$AF$2&gt;=F25)*($I$2:$AF$2&lt;=C25))))</f>
        <v>0</v>
      </c>
      <c r="H25" s="23" t="n">
        <f aca="false">IF(C25="",0,SUMPRODUCT(($I25:$AF25&lt;&gt;0)*($I$2:$AF$2&gt;C25)))</f>
        <v>0</v>
      </c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H25" s="25" t="str">
        <f aca="false">IF(OR(C25="",AH$2&gt;C25,E25=0),"",IF(D25=0,1/C25,N(I25)/E25))</f>
        <v/>
      </c>
      <c r="AI25" s="25" t="str">
        <f aca="false">IF(OR(C25="",AI$2&gt;C25,E25=0),"",IF(D25=0,1/C25,N(J25)/E25))</f>
        <v/>
      </c>
      <c r="AJ25" s="25" t="str">
        <f aca="false">IF(OR(C25="",AJ$2&gt;C25,E25=0),"",IF(D25=0,1/C25,N(K25)/E25))</f>
        <v/>
      </c>
      <c r="AK25" s="25" t="str">
        <f aca="false">IF(OR(C25="",AK$2&gt;C25,E25=0),"",IF(D25=0,1/C25,N(L25)/E25))</f>
        <v/>
      </c>
      <c r="AL25" s="25" t="str">
        <f aca="false">IF(OR(C25="",AL$2&gt;C25,E25=0),"",IF(D25=0,1/C25,N(M25)/E25))</f>
        <v/>
      </c>
      <c r="AM25" s="25" t="str">
        <f aca="false">IF(OR(C25="",AM$2&gt;C25,E25=0),"",IF(D25=0,1/C25,N(N25)/E25))</f>
        <v/>
      </c>
      <c r="AN25" s="25" t="str">
        <f aca="false">IF(OR(C25="",AN$2&gt;C25,E25=0),"",IF(D25=0,1/C25,N(O25)/E25))</f>
        <v/>
      </c>
      <c r="AO25" s="25" t="str">
        <f aca="false">IF(OR(C25="",AO$2&gt;C25,E25=0),"",IF(D25=0,1/C25,N(P25)/E25))</f>
        <v/>
      </c>
      <c r="AP25" s="25" t="str">
        <f aca="false">IF(OR(C25="",AP$2&gt;C25,E25=0),"",IF(D25=0,1/C25,N(Q25)/E25))</f>
        <v/>
      </c>
      <c r="AQ25" s="25" t="str">
        <f aca="false">IF(OR(C25="",AQ$2&gt;C25,E25=0),"",IF(D25=0,1/C25,N(R25)/E25))</f>
        <v/>
      </c>
      <c r="AR25" s="25" t="str">
        <f aca="false">IF(OR(C25="",AR$2&gt;C25,E25=0),"",IF(D25=0,1/C25,N(S25)/E25))</f>
        <v/>
      </c>
      <c r="AS25" s="25" t="str">
        <f aca="false">IF(OR(C25="",AS$2&gt;C25,E25=0),"",IF(D25=0,1/C25,N(T25)/E25))</f>
        <v/>
      </c>
      <c r="AT25" s="25" t="str">
        <f aca="false">IF(OR(C25="",AT$2&gt;C25,E25=0),"",IF(D25=0,1/C25,N(U25)/E25))</f>
        <v/>
      </c>
      <c r="AU25" s="25" t="str">
        <f aca="false">IF(OR(C25="",AU$2&gt;C25,E25=0),"",IF(D25=0,1/C25,N(V25)/E25))</f>
        <v/>
      </c>
      <c r="AV25" s="25" t="str">
        <f aca="false">IF(OR(C25="",AV$2&gt;C25,E25=0),"",IF(D25=0,1/C25,N(W25)/E25))</f>
        <v/>
      </c>
      <c r="AW25" s="25" t="str">
        <f aca="false">IF(OR(C25="",AW$2&gt;C25,E25=0),"",IF(D25=0,1/C25,N(X25)/E25))</f>
        <v/>
      </c>
      <c r="AX25" s="25" t="str">
        <f aca="false">IF(OR(C25="",AX$2&gt;C25,E25=0),"",IF(D25=0,1/C25,N(Y25)/E25))</f>
        <v/>
      </c>
      <c r="AY25" s="25" t="str">
        <f aca="false">IF(OR(C25="",AY$2&gt;C25,E25=0),"",IF(D25=0,1/C25,N(Z25)/E25))</f>
        <v/>
      </c>
      <c r="AZ25" s="25" t="str">
        <f aca="false">IF(OR(C25="",AZ$2&gt;C25,E25=0),"",IF(D25=0,1/C25,N(AA25)/E25))</f>
        <v/>
      </c>
      <c r="BA25" s="25" t="str">
        <f aca="false">IF(OR(C25="",BA$2&gt;C25,E25=0),"",IF(D25=0,1/C25,N(AB25)/E25))</f>
        <v/>
      </c>
      <c r="BB25" s="25" t="str">
        <f aca="false">IF(OR(C25="",BB$2&gt;C25,E25=0),"",IF(D25=0,1/C25,N(AC25)/E25))</f>
        <v/>
      </c>
      <c r="BC25" s="25" t="str">
        <f aca="false">IF(OR(C25="",BC$2&gt;C25,E25=0),"",IF(D25=0,1/C25,N(AD25)/E25))</f>
        <v/>
      </c>
      <c r="BD25" s="25" t="str">
        <f aca="false">IF(OR(C25="",BD$2&gt;C25,E25=0),"",IF(D25=0,1/C25,N(AE25)/E25))</f>
        <v/>
      </c>
      <c r="BE25" s="25" t="str">
        <f aca="false">IF(OR(C25="",BE$2&gt;C25,E25=0),"",IF(D25=0,1/C25,N(AF25)/E25))</f>
        <v/>
      </c>
      <c r="BF25" s="26" t="str">
        <f aca="false">IF(C25="","",SUM(AH25:BE25))</f>
        <v/>
      </c>
    </row>
    <row r="26" customFormat="false" ht="15" hidden="false" customHeight="false" outlineLevel="0" collapsed="false">
      <c r="A26" s="11" t="n">
        <v>21</v>
      </c>
      <c r="B26" s="21" t="str">
        <f aca="false">IF(Projects!B26="","",Projects!B26)</f>
        <v/>
      </c>
      <c r="C26" s="22" t="str">
        <f aca="false">IF(Projects!E26="","",Projects!E26)</f>
        <v/>
      </c>
      <c r="D26" s="23" t="n">
        <f aca="false">COUNT($I26:$AF26)</f>
        <v>0</v>
      </c>
      <c r="E26" s="23" t="n">
        <f aca="false">IF(C26="",0,IF(D26=0,C26,SUMPRODUCT($I26:$AF26*($I$2:$AF$2&lt;=C26))))</f>
        <v>0</v>
      </c>
      <c r="F26" s="23" t="n">
        <f aca="false">IF(OR(C26="",Projects!D26=""),1,MAX(1,((YEAR(Projects!$C$2)-YEAR(Projects!D26))*12+MONTH(Projects!$C$2)-MONTH(Projects!D26)+1)+1))</f>
        <v>1</v>
      </c>
      <c r="G26" s="23" t="n">
        <f aca="false">IF(C26="",0,IF(D26=0,MAX(0,C26-F26+1),SUMPRODUCT($I26:$AF26*($I$2:$AF$2&gt;=F26)*($I$2:$AF$2&lt;=C26))))</f>
        <v>0</v>
      </c>
      <c r="H26" s="23" t="n">
        <f aca="false">IF(C26="",0,SUMPRODUCT(($I26:$AF26&lt;&gt;0)*($I$2:$AF$2&gt;C26)))</f>
        <v>0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H26" s="25" t="str">
        <f aca="false">IF(OR(C26="",AH$2&gt;C26,E26=0),"",IF(D26=0,1/C26,N(I26)/E26))</f>
        <v/>
      </c>
      <c r="AI26" s="25" t="str">
        <f aca="false">IF(OR(C26="",AI$2&gt;C26,E26=0),"",IF(D26=0,1/C26,N(J26)/E26))</f>
        <v/>
      </c>
      <c r="AJ26" s="25" t="str">
        <f aca="false">IF(OR(C26="",AJ$2&gt;C26,E26=0),"",IF(D26=0,1/C26,N(K26)/E26))</f>
        <v/>
      </c>
      <c r="AK26" s="25" t="str">
        <f aca="false">IF(OR(C26="",AK$2&gt;C26,E26=0),"",IF(D26=0,1/C26,N(L26)/E26))</f>
        <v/>
      </c>
      <c r="AL26" s="25" t="str">
        <f aca="false">IF(OR(C26="",AL$2&gt;C26,E26=0),"",IF(D26=0,1/C26,N(M26)/E26))</f>
        <v/>
      </c>
      <c r="AM26" s="25" t="str">
        <f aca="false">IF(OR(C26="",AM$2&gt;C26,E26=0),"",IF(D26=0,1/C26,N(N26)/E26))</f>
        <v/>
      </c>
      <c r="AN26" s="25" t="str">
        <f aca="false">IF(OR(C26="",AN$2&gt;C26,E26=0),"",IF(D26=0,1/C26,N(O26)/E26))</f>
        <v/>
      </c>
      <c r="AO26" s="25" t="str">
        <f aca="false">IF(OR(C26="",AO$2&gt;C26,E26=0),"",IF(D26=0,1/C26,N(P26)/E26))</f>
        <v/>
      </c>
      <c r="AP26" s="25" t="str">
        <f aca="false">IF(OR(C26="",AP$2&gt;C26,E26=0),"",IF(D26=0,1/C26,N(Q26)/E26))</f>
        <v/>
      </c>
      <c r="AQ26" s="25" t="str">
        <f aca="false">IF(OR(C26="",AQ$2&gt;C26,E26=0),"",IF(D26=0,1/C26,N(R26)/E26))</f>
        <v/>
      </c>
      <c r="AR26" s="25" t="str">
        <f aca="false">IF(OR(C26="",AR$2&gt;C26,E26=0),"",IF(D26=0,1/C26,N(S26)/E26))</f>
        <v/>
      </c>
      <c r="AS26" s="25" t="str">
        <f aca="false">IF(OR(C26="",AS$2&gt;C26,E26=0),"",IF(D26=0,1/C26,N(T26)/E26))</f>
        <v/>
      </c>
      <c r="AT26" s="25" t="str">
        <f aca="false">IF(OR(C26="",AT$2&gt;C26,E26=0),"",IF(D26=0,1/C26,N(U26)/E26))</f>
        <v/>
      </c>
      <c r="AU26" s="25" t="str">
        <f aca="false">IF(OR(C26="",AU$2&gt;C26,E26=0),"",IF(D26=0,1/C26,N(V26)/E26))</f>
        <v/>
      </c>
      <c r="AV26" s="25" t="str">
        <f aca="false">IF(OR(C26="",AV$2&gt;C26,E26=0),"",IF(D26=0,1/C26,N(W26)/E26))</f>
        <v/>
      </c>
      <c r="AW26" s="25" t="str">
        <f aca="false">IF(OR(C26="",AW$2&gt;C26,E26=0),"",IF(D26=0,1/C26,N(X26)/E26))</f>
        <v/>
      </c>
      <c r="AX26" s="25" t="str">
        <f aca="false">IF(OR(C26="",AX$2&gt;C26,E26=0),"",IF(D26=0,1/C26,N(Y26)/E26))</f>
        <v/>
      </c>
      <c r="AY26" s="25" t="str">
        <f aca="false">IF(OR(C26="",AY$2&gt;C26,E26=0),"",IF(D26=0,1/C26,N(Z26)/E26))</f>
        <v/>
      </c>
      <c r="AZ26" s="25" t="str">
        <f aca="false">IF(OR(C26="",AZ$2&gt;C26,E26=0),"",IF(D26=0,1/C26,N(AA26)/E26))</f>
        <v/>
      </c>
      <c r="BA26" s="25" t="str">
        <f aca="false">IF(OR(C26="",BA$2&gt;C26,E26=0),"",IF(D26=0,1/C26,N(AB26)/E26))</f>
        <v/>
      </c>
      <c r="BB26" s="25" t="str">
        <f aca="false">IF(OR(C26="",BB$2&gt;C26,E26=0),"",IF(D26=0,1/C26,N(AC26)/E26))</f>
        <v/>
      </c>
      <c r="BC26" s="25" t="str">
        <f aca="false">IF(OR(C26="",BC$2&gt;C26,E26=0),"",IF(D26=0,1/C26,N(AD26)/E26))</f>
        <v/>
      </c>
      <c r="BD26" s="25" t="str">
        <f aca="false">IF(OR(C26="",BD$2&gt;C26,E26=0),"",IF(D26=0,1/C26,N(AE26)/E26))</f>
        <v/>
      </c>
      <c r="BE26" s="25" t="str">
        <f aca="false">IF(OR(C26="",BE$2&gt;C26,E26=0),"",IF(D26=0,1/C26,N(AF26)/E26))</f>
        <v/>
      </c>
      <c r="BF26" s="26" t="str">
        <f aca="false">IF(C26="","",SUM(AH26:BE26))</f>
        <v/>
      </c>
    </row>
    <row r="27" customFormat="false" ht="15" hidden="false" customHeight="false" outlineLevel="0" collapsed="false">
      <c r="A27" s="11" t="n">
        <v>22</v>
      </c>
      <c r="B27" s="21" t="str">
        <f aca="false">IF(Projects!B27="","",Projects!B27)</f>
        <v/>
      </c>
      <c r="C27" s="22" t="str">
        <f aca="false">IF(Projects!E27="","",Projects!E27)</f>
        <v/>
      </c>
      <c r="D27" s="23" t="n">
        <f aca="false">COUNT($I27:$AF27)</f>
        <v>0</v>
      </c>
      <c r="E27" s="23" t="n">
        <f aca="false">IF(C27="",0,IF(D27=0,C27,SUMPRODUCT($I27:$AF27*($I$2:$AF$2&lt;=C27))))</f>
        <v>0</v>
      </c>
      <c r="F27" s="23" t="n">
        <f aca="false">IF(OR(C27="",Projects!D27=""),1,MAX(1,((YEAR(Projects!$C$2)-YEAR(Projects!D27))*12+MONTH(Projects!$C$2)-MONTH(Projects!D27)+1)+1))</f>
        <v>1</v>
      </c>
      <c r="G27" s="23" t="n">
        <f aca="false">IF(C27="",0,IF(D27=0,MAX(0,C27-F27+1),SUMPRODUCT($I27:$AF27*($I$2:$AF$2&gt;=F27)*($I$2:$AF$2&lt;=C27))))</f>
        <v>0</v>
      </c>
      <c r="H27" s="23" t="n">
        <f aca="false">IF(C27="",0,SUMPRODUCT(($I27:$AF27&lt;&gt;0)*($I$2:$AF$2&gt;C27)))</f>
        <v>0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H27" s="25" t="str">
        <f aca="false">IF(OR(C27="",AH$2&gt;C27,E27=0),"",IF(D27=0,1/C27,N(I27)/E27))</f>
        <v/>
      </c>
      <c r="AI27" s="25" t="str">
        <f aca="false">IF(OR(C27="",AI$2&gt;C27,E27=0),"",IF(D27=0,1/C27,N(J27)/E27))</f>
        <v/>
      </c>
      <c r="AJ27" s="25" t="str">
        <f aca="false">IF(OR(C27="",AJ$2&gt;C27,E27=0),"",IF(D27=0,1/C27,N(K27)/E27))</f>
        <v/>
      </c>
      <c r="AK27" s="25" t="str">
        <f aca="false">IF(OR(C27="",AK$2&gt;C27,E27=0),"",IF(D27=0,1/C27,N(L27)/E27))</f>
        <v/>
      </c>
      <c r="AL27" s="25" t="str">
        <f aca="false">IF(OR(C27="",AL$2&gt;C27,E27=0),"",IF(D27=0,1/C27,N(M27)/E27))</f>
        <v/>
      </c>
      <c r="AM27" s="25" t="str">
        <f aca="false">IF(OR(C27="",AM$2&gt;C27,E27=0),"",IF(D27=0,1/C27,N(N27)/E27))</f>
        <v/>
      </c>
      <c r="AN27" s="25" t="str">
        <f aca="false">IF(OR(C27="",AN$2&gt;C27,E27=0),"",IF(D27=0,1/C27,N(O27)/E27))</f>
        <v/>
      </c>
      <c r="AO27" s="25" t="str">
        <f aca="false">IF(OR(C27="",AO$2&gt;C27,E27=0),"",IF(D27=0,1/C27,N(P27)/E27))</f>
        <v/>
      </c>
      <c r="AP27" s="25" t="str">
        <f aca="false">IF(OR(C27="",AP$2&gt;C27,E27=0),"",IF(D27=0,1/C27,N(Q27)/E27))</f>
        <v/>
      </c>
      <c r="AQ27" s="25" t="str">
        <f aca="false">IF(OR(C27="",AQ$2&gt;C27,E27=0),"",IF(D27=0,1/C27,N(R27)/E27))</f>
        <v/>
      </c>
      <c r="AR27" s="25" t="str">
        <f aca="false">IF(OR(C27="",AR$2&gt;C27,E27=0),"",IF(D27=0,1/C27,N(S27)/E27))</f>
        <v/>
      </c>
      <c r="AS27" s="25" t="str">
        <f aca="false">IF(OR(C27="",AS$2&gt;C27,E27=0),"",IF(D27=0,1/C27,N(T27)/E27))</f>
        <v/>
      </c>
      <c r="AT27" s="25" t="str">
        <f aca="false">IF(OR(C27="",AT$2&gt;C27,E27=0),"",IF(D27=0,1/C27,N(U27)/E27))</f>
        <v/>
      </c>
      <c r="AU27" s="25" t="str">
        <f aca="false">IF(OR(C27="",AU$2&gt;C27,E27=0),"",IF(D27=0,1/C27,N(V27)/E27))</f>
        <v/>
      </c>
      <c r="AV27" s="25" t="str">
        <f aca="false">IF(OR(C27="",AV$2&gt;C27,E27=0),"",IF(D27=0,1/C27,N(W27)/E27))</f>
        <v/>
      </c>
      <c r="AW27" s="25" t="str">
        <f aca="false">IF(OR(C27="",AW$2&gt;C27,E27=0),"",IF(D27=0,1/C27,N(X27)/E27))</f>
        <v/>
      </c>
      <c r="AX27" s="25" t="str">
        <f aca="false">IF(OR(C27="",AX$2&gt;C27,E27=0),"",IF(D27=0,1/C27,N(Y27)/E27))</f>
        <v/>
      </c>
      <c r="AY27" s="25" t="str">
        <f aca="false">IF(OR(C27="",AY$2&gt;C27,E27=0),"",IF(D27=0,1/C27,N(Z27)/E27))</f>
        <v/>
      </c>
      <c r="AZ27" s="25" t="str">
        <f aca="false">IF(OR(C27="",AZ$2&gt;C27,E27=0),"",IF(D27=0,1/C27,N(AA27)/E27))</f>
        <v/>
      </c>
      <c r="BA27" s="25" t="str">
        <f aca="false">IF(OR(C27="",BA$2&gt;C27,E27=0),"",IF(D27=0,1/C27,N(AB27)/E27))</f>
        <v/>
      </c>
      <c r="BB27" s="25" t="str">
        <f aca="false">IF(OR(C27="",BB$2&gt;C27,E27=0),"",IF(D27=0,1/C27,N(AC27)/E27))</f>
        <v/>
      </c>
      <c r="BC27" s="25" t="str">
        <f aca="false">IF(OR(C27="",BC$2&gt;C27,E27=0),"",IF(D27=0,1/C27,N(AD27)/E27))</f>
        <v/>
      </c>
      <c r="BD27" s="25" t="str">
        <f aca="false">IF(OR(C27="",BD$2&gt;C27,E27=0),"",IF(D27=0,1/C27,N(AE27)/E27))</f>
        <v/>
      </c>
      <c r="BE27" s="25" t="str">
        <f aca="false">IF(OR(C27="",BE$2&gt;C27,E27=0),"",IF(D27=0,1/C27,N(AF27)/E27))</f>
        <v/>
      </c>
      <c r="BF27" s="26" t="str">
        <f aca="false">IF(C27="","",SUM(AH27:BE27))</f>
        <v/>
      </c>
    </row>
    <row r="28" customFormat="false" ht="15" hidden="false" customHeight="false" outlineLevel="0" collapsed="false">
      <c r="A28" s="11" t="n">
        <v>23</v>
      </c>
      <c r="B28" s="21" t="str">
        <f aca="false">IF(Projects!B28="","",Projects!B28)</f>
        <v/>
      </c>
      <c r="C28" s="22" t="str">
        <f aca="false">IF(Projects!E28="","",Projects!E28)</f>
        <v/>
      </c>
      <c r="D28" s="23" t="n">
        <f aca="false">COUNT($I28:$AF28)</f>
        <v>0</v>
      </c>
      <c r="E28" s="23" t="n">
        <f aca="false">IF(C28="",0,IF(D28=0,C28,SUMPRODUCT($I28:$AF28*($I$2:$AF$2&lt;=C28))))</f>
        <v>0</v>
      </c>
      <c r="F28" s="23" t="n">
        <f aca="false">IF(OR(C28="",Projects!D28=""),1,MAX(1,((YEAR(Projects!$C$2)-YEAR(Projects!D28))*12+MONTH(Projects!$C$2)-MONTH(Projects!D28)+1)+1))</f>
        <v>1</v>
      </c>
      <c r="G28" s="23" t="n">
        <f aca="false">IF(C28="",0,IF(D28=0,MAX(0,C28-F28+1),SUMPRODUCT($I28:$AF28*($I$2:$AF$2&gt;=F28)*($I$2:$AF$2&lt;=C28))))</f>
        <v>0</v>
      </c>
      <c r="H28" s="23" t="n">
        <f aca="false">IF(C28="",0,SUMPRODUCT(($I28:$AF28&lt;&gt;0)*($I$2:$AF$2&gt;C28)))</f>
        <v>0</v>
      </c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H28" s="25" t="str">
        <f aca="false">IF(OR(C28="",AH$2&gt;C28,E28=0),"",IF(D28=0,1/C28,N(I28)/E28))</f>
        <v/>
      </c>
      <c r="AI28" s="25" t="str">
        <f aca="false">IF(OR(C28="",AI$2&gt;C28,E28=0),"",IF(D28=0,1/C28,N(J28)/E28))</f>
        <v/>
      </c>
      <c r="AJ28" s="25" t="str">
        <f aca="false">IF(OR(C28="",AJ$2&gt;C28,E28=0),"",IF(D28=0,1/C28,N(K28)/E28))</f>
        <v/>
      </c>
      <c r="AK28" s="25" t="str">
        <f aca="false">IF(OR(C28="",AK$2&gt;C28,E28=0),"",IF(D28=0,1/C28,N(L28)/E28))</f>
        <v/>
      </c>
      <c r="AL28" s="25" t="str">
        <f aca="false">IF(OR(C28="",AL$2&gt;C28,E28=0),"",IF(D28=0,1/C28,N(M28)/E28))</f>
        <v/>
      </c>
      <c r="AM28" s="25" t="str">
        <f aca="false">IF(OR(C28="",AM$2&gt;C28,E28=0),"",IF(D28=0,1/C28,N(N28)/E28))</f>
        <v/>
      </c>
      <c r="AN28" s="25" t="str">
        <f aca="false">IF(OR(C28="",AN$2&gt;C28,E28=0),"",IF(D28=0,1/C28,N(O28)/E28))</f>
        <v/>
      </c>
      <c r="AO28" s="25" t="str">
        <f aca="false">IF(OR(C28="",AO$2&gt;C28,E28=0),"",IF(D28=0,1/C28,N(P28)/E28))</f>
        <v/>
      </c>
      <c r="AP28" s="25" t="str">
        <f aca="false">IF(OR(C28="",AP$2&gt;C28,E28=0),"",IF(D28=0,1/C28,N(Q28)/E28))</f>
        <v/>
      </c>
      <c r="AQ28" s="25" t="str">
        <f aca="false">IF(OR(C28="",AQ$2&gt;C28,E28=0),"",IF(D28=0,1/C28,N(R28)/E28))</f>
        <v/>
      </c>
      <c r="AR28" s="25" t="str">
        <f aca="false">IF(OR(C28="",AR$2&gt;C28,E28=0),"",IF(D28=0,1/C28,N(S28)/E28))</f>
        <v/>
      </c>
      <c r="AS28" s="25" t="str">
        <f aca="false">IF(OR(C28="",AS$2&gt;C28,E28=0),"",IF(D28=0,1/C28,N(T28)/E28))</f>
        <v/>
      </c>
      <c r="AT28" s="25" t="str">
        <f aca="false">IF(OR(C28="",AT$2&gt;C28,E28=0),"",IF(D28=0,1/C28,N(U28)/E28))</f>
        <v/>
      </c>
      <c r="AU28" s="25" t="str">
        <f aca="false">IF(OR(C28="",AU$2&gt;C28,E28=0),"",IF(D28=0,1/C28,N(V28)/E28))</f>
        <v/>
      </c>
      <c r="AV28" s="25" t="str">
        <f aca="false">IF(OR(C28="",AV$2&gt;C28,E28=0),"",IF(D28=0,1/C28,N(W28)/E28))</f>
        <v/>
      </c>
      <c r="AW28" s="25" t="str">
        <f aca="false">IF(OR(C28="",AW$2&gt;C28,E28=0),"",IF(D28=0,1/C28,N(X28)/E28))</f>
        <v/>
      </c>
      <c r="AX28" s="25" t="str">
        <f aca="false">IF(OR(C28="",AX$2&gt;C28,E28=0),"",IF(D28=0,1/C28,N(Y28)/E28))</f>
        <v/>
      </c>
      <c r="AY28" s="25" t="str">
        <f aca="false">IF(OR(C28="",AY$2&gt;C28,E28=0),"",IF(D28=0,1/C28,N(Z28)/E28))</f>
        <v/>
      </c>
      <c r="AZ28" s="25" t="str">
        <f aca="false">IF(OR(C28="",AZ$2&gt;C28,E28=0),"",IF(D28=0,1/C28,N(AA28)/E28))</f>
        <v/>
      </c>
      <c r="BA28" s="25" t="str">
        <f aca="false">IF(OR(C28="",BA$2&gt;C28,E28=0),"",IF(D28=0,1/C28,N(AB28)/E28))</f>
        <v/>
      </c>
      <c r="BB28" s="25" t="str">
        <f aca="false">IF(OR(C28="",BB$2&gt;C28,E28=0),"",IF(D28=0,1/C28,N(AC28)/E28))</f>
        <v/>
      </c>
      <c r="BC28" s="25" t="str">
        <f aca="false">IF(OR(C28="",BC$2&gt;C28,E28=0),"",IF(D28=0,1/C28,N(AD28)/E28))</f>
        <v/>
      </c>
      <c r="BD28" s="25" t="str">
        <f aca="false">IF(OR(C28="",BD$2&gt;C28,E28=0),"",IF(D28=0,1/C28,N(AE28)/E28))</f>
        <v/>
      </c>
      <c r="BE28" s="25" t="str">
        <f aca="false">IF(OR(C28="",BE$2&gt;C28,E28=0),"",IF(D28=0,1/C28,N(AF28)/E28))</f>
        <v/>
      </c>
      <c r="BF28" s="26" t="str">
        <f aca="false">IF(C28="","",SUM(AH28:BE28))</f>
        <v/>
      </c>
    </row>
    <row r="29" customFormat="false" ht="15" hidden="false" customHeight="false" outlineLevel="0" collapsed="false">
      <c r="A29" s="11" t="n">
        <v>24</v>
      </c>
      <c r="B29" s="21" t="str">
        <f aca="false">IF(Projects!B29="","",Projects!B29)</f>
        <v/>
      </c>
      <c r="C29" s="22" t="str">
        <f aca="false">IF(Projects!E29="","",Projects!E29)</f>
        <v/>
      </c>
      <c r="D29" s="23" t="n">
        <f aca="false">COUNT($I29:$AF29)</f>
        <v>0</v>
      </c>
      <c r="E29" s="23" t="n">
        <f aca="false">IF(C29="",0,IF(D29=0,C29,SUMPRODUCT($I29:$AF29*($I$2:$AF$2&lt;=C29))))</f>
        <v>0</v>
      </c>
      <c r="F29" s="23" t="n">
        <f aca="false">IF(OR(C29="",Projects!D29=""),1,MAX(1,((YEAR(Projects!$C$2)-YEAR(Projects!D29))*12+MONTH(Projects!$C$2)-MONTH(Projects!D29)+1)+1))</f>
        <v>1</v>
      </c>
      <c r="G29" s="23" t="n">
        <f aca="false">IF(C29="",0,IF(D29=0,MAX(0,C29-F29+1),SUMPRODUCT($I29:$AF29*($I$2:$AF$2&gt;=F29)*($I$2:$AF$2&lt;=C29))))</f>
        <v>0</v>
      </c>
      <c r="H29" s="23" t="n">
        <f aca="false">IF(C29="",0,SUMPRODUCT(($I29:$AF29&lt;&gt;0)*($I$2:$AF$2&gt;C29)))</f>
        <v>0</v>
      </c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H29" s="25" t="str">
        <f aca="false">IF(OR(C29="",AH$2&gt;C29,E29=0),"",IF(D29=0,1/C29,N(I29)/E29))</f>
        <v/>
      </c>
      <c r="AI29" s="25" t="str">
        <f aca="false">IF(OR(C29="",AI$2&gt;C29,E29=0),"",IF(D29=0,1/C29,N(J29)/E29))</f>
        <v/>
      </c>
      <c r="AJ29" s="25" t="str">
        <f aca="false">IF(OR(C29="",AJ$2&gt;C29,E29=0),"",IF(D29=0,1/C29,N(K29)/E29))</f>
        <v/>
      </c>
      <c r="AK29" s="25" t="str">
        <f aca="false">IF(OR(C29="",AK$2&gt;C29,E29=0),"",IF(D29=0,1/C29,N(L29)/E29))</f>
        <v/>
      </c>
      <c r="AL29" s="25" t="str">
        <f aca="false">IF(OR(C29="",AL$2&gt;C29,E29=0),"",IF(D29=0,1/C29,N(M29)/E29))</f>
        <v/>
      </c>
      <c r="AM29" s="25" t="str">
        <f aca="false">IF(OR(C29="",AM$2&gt;C29,E29=0),"",IF(D29=0,1/C29,N(N29)/E29))</f>
        <v/>
      </c>
      <c r="AN29" s="25" t="str">
        <f aca="false">IF(OR(C29="",AN$2&gt;C29,E29=0),"",IF(D29=0,1/C29,N(O29)/E29))</f>
        <v/>
      </c>
      <c r="AO29" s="25" t="str">
        <f aca="false">IF(OR(C29="",AO$2&gt;C29,E29=0),"",IF(D29=0,1/C29,N(P29)/E29))</f>
        <v/>
      </c>
      <c r="AP29" s="25" t="str">
        <f aca="false">IF(OR(C29="",AP$2&gt;C29,E29=0),"",IF(D29=0,1/C29,N(Q29)/E29))</f>
        <v/>
      </c>
      <c r="AQ29" s="25" t="str">
        <f aca="false">IF(OR(C29="",AQ$2&gt;C29,E29=0),"",IF(D29=0,1/C29,N(R29)/E29))</f>
        <v/>
      </c>
      <c r="AR29" s="25" t="str">
        <f aca="false">IF(OR(C29="",AR$2&gt;C29,E29=0),"",IF(D29=0,1/C29,N(S29)/E29))</f>
        <v/>
      </c>
      <c r="AS29" s="25" t="str">
        <f aca="false">IF(OR(C29="",AS$2&gt;C29,E29=0),"",IF(D29=0,1/C29,N(T29)/E29))</f>
        <v/>
      </c>
      <c r="AT29" s="25" t="str">
        <f aca="false">IF(OR(C29="",AT$2&gt;C29,E29=0),"",IF(D29=0,1/C29,N(U29)/E29))</f>
        <v/>
      </c>
      <c r="AU29" s="25" t="str">
        <f aca="false">IF(OR(C29="",AU$2&gt;C29,E29=0),"",IF(D29=0,1/C29,N(V29)/E29))</f>
        <v/>
      </c>
      <c r="AV29" s="25" t="str">
        <f aca="false">IF(OR(C29="",AV$2&gt;C29,E29=0),"",IF(D29=0,1/C29,N(W29)/E29))</f>
        <v/>
      </c>
      <c r="AW29" s="25" t="str">
        <f aca="false">IF(OR(C29="",AW$2&gt;C29,E29=0),"",IF(D29=0,1/C29,N(X29)/E29))</f>
        <v/>
      </c>
      <c r="AX29" s="25" t="str">
        <f aca="false">IF(OR(C29="",AX$2&gt;C29,E29=0),"",IF(D29=0,1/C29,N(Y29)/E29))</f>
        <v/>
      </c>
      <c r="AY29" s="25" t="str">
        <f aca="false">IF(OR(C29="",AY$2&gt;C29,E29=0),"",IF(D29=0,1/C29,N(Z29)/E29))</f>
        <v/>
      </c>
      <c r="AZ29" s="25" t="str">
        <f aca="false">IF(OR(C29="",AZ$2&gt;C29,E29=0),"",IF(D29=0,1/C29,N(AA29)/E29))</f>
        <v/>
      </c>
      <c r="BA29" s="25" t="str">
        <f aca="false">IF(OR(C29="",BA$2&gt;C29,E29=0),"",IF(D29=0,1/C29,N(AB29)/E29))</f>
        <v/>
      </c>
      <c r="BB29" s="25" t="str">
        <f aca="false">IF(OR(C29="",BB$2&gt;C29,E29=0),"",IF(D29=0,1/C29,N(AC29)/E29))</f>
        <v/>
      </c>
      <c r="BC29" s="25" t="str">
        <f aca="false">IF(OR(C29="",BC$2&gt;C29,E29=0),"",IF(D29=0,1/C29,N(AD29)/E29))</f>
        <v/>
      </c>
      <c r="BD29" s="25" t="str">
        <f aca="false">IF(OR(C29="",BD$2&gt;C29,E29=0),"",IF(D29=0,1/C29,N(AE29)/E29))</f>
        <v/>
      </c>
      <c r="BE29" s="25" t="str">
        <f aca="false">IF(OR(C29="",BE$2&gt;C29,E29=0),"",IF(D29=0,1/C29,N(AF29)/E29))</f>
        <v/>
      </c>
      <c r="BF29" s="26" t="str">
        <f aca="false">IF(C29="","",SUM(AH29:BE29))</f>
        <v/>
      </c>
    </row>
    <row r="30" customFormat="false" ht="15" hidden="false" customHeight="false" outlineLevel="0" collapsed="false">
      <c r="A30" s="11" t="n">
        <v>25</v>
      </c>
      <c r="B30" s="21" t="str">
        <f aca="false">IF(Projects!B30="","",Projects!B30)</f>
        <v/>
      </c>
      <c r="C30" s="22" t="str">
        <f aca="false">IF(Projects!E30="","",Projects!E30)</f>
        <v/>
      </c>
      <c r="D30" s="23" t="n">
        <f aca="false">COUNT($I30:$AF30)</f>
        <v>0</v>
      </c>
      <c r="E30" s="23" t="n">
        <f aca="false">IF(C30="",0,IF(D30=0,C30,SUMPRODUCT($I30:$AF30*($I$2:$AF$2&lt;=C30))))</f>
        <v>0</v>
      </c>
      <c r="F30" s="23" t="n">
        <f aca="false">IF(OR(C30="",Projects!D30=""),1,MAX(1,((YEAR(Projects!$C$2)-YEAR(Projects!D30))*12+MONTH(Projects!$C$2)-MONTH(Projects!D30)+1)+1))</f>
        <v>1</v>
      </c>
      <c r="G30" s="23" t="n">
        <f aca="false">IF(C30="",0,IF(D30=0,MAX(0,C30-F30+1),SUMPRODUCT($I30:$AF30*($I$2:$AF$2&gt;=F30)*($I$2:$AF$2&lt;=C30))))</f>
        <v>0</v>
      </c>
      <c r="H30" s="23" t="n">
        <f aca="false">IF(C30="",0,SUMPRODUCT(($I30:$AF30&lt;&gt;0)*($I$2:$AF$2&gt;C30)))</f>
        <v>0</v>
      </c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H30" s="25" t="str">
        <f aca="false">IF(OR(C30="",AH$2&gt;C30,E30=0),"",IF(D30=0,1/C30,N(I30)/E30))</f>
        <v/>
      </c>
      <c r="AI30" s="25" t="str">
        <f aca="false">IF(OR(C30="",AI$2&gt;C30,E30=0),"",IF(D30=0,1/C30,N(J30)/E30))</f>
        <v/>
      </c>
      <c r="AJ30" s="25" t="str">
        <f aca="false">IF(OR(C30="",AJ$2&gt;C30,E30=0),"",IF(D30=0,1/C30,N(K30)/E30))</f>
        <v/>
      </c>
      <c r="AK30" s="25" t="str">
        <f aca="false">IF(OR(C30="",AK$2&gt;C30,E30=0),"",IF(D30=0,1/C30,N(L30)/E30))</f>
        <v/>
      </c>
      <c r="AL30" s="25" t="str">
        <f aca="false">IF(OR(C30="",AL$2&gt;C30,E30=0),"",IF(D30=0,1/C30,N(M30)/E30))</f>
        <v/>
      </c>
      <c r="AM30" s="25" t="str">
        <f aca="false">IF(OR(C30="",AM$2&gt;C30,E30=0),"",IF(D30=0,1/C30,N(N30)/E30))</f>
        <v/>
      </c>
      <c r="AN30" s="25" t="str">
        <f aca="false">IF(OR(C30="",AN$2&gt;C30,E30=0),"",IF(D30=0,1/C30,N(O30)/E30))</f>
        <v/>
      </c>
      <c r="AO30" s="25" t="str">
        <f aca="false">IF(OR(C30="",AO$2&gt;C30,E30=0),"",IF(D30=0,1/C30,N(P30)/E30))</f>
        <v/>
      </c>
      <c r="AP30" s="25" t="str">
        <f aca="false">IF(OR(C30="",AP$2&gt;C30,E30=0),"",IF(D30=0,1/C30,N(Q30)/E30))</f>
        <v/>
      </c>
      <c r="AQ30" s="25" t="str">
        <f aca="false">IF(OR(C30="",AQ$2&gt;C30,E30=0),"",IF(D30=0,1/C30,N(R30)/E30))</f>
        <v/>
      </c>
      <c r="AR30" s="25" t="str">
        <f aca="false">IF(OR(C30="",AR$2&gt;C30,E30=0),"",IF(D30=0,1/C30,N(S30)/E30))</f>
        <v/>
      </c>
      <c r="AS30" s="25" t="str">
        <f aca="false">IF(OR(C30="",AS$2&gt;C30,E30=0),"",IF(D30=0,1/C30,N(T30)/E30))</f>
        <v/>
      </c>
      <c r="AT30" s="25" t="str">
        <f aca="false">IF(OR(C30="",AT$2&gt;C30,E30=0),"",IF(D30=0,1/C30,N(U30)/E30))</f>
        <v/>
      </c>
      <c r="AU30" s="25" t="str">
        <f aca="false">IF(OR(C30="",AU$2&gt;C30,E30=0),"",IF(D30=0,1/C30,N(V30)/E30))</f>
        <v/>
      </c>
      <c r="AV30" s="25" t="str">
        <f aca="false">IF(OR(C30="",AV$2&gt;C30,E30=0),"",IF(D30=0,1/C30,N(W30)/E30))</f>
        <v/>
      </c>
      <c r="AW30" s="25" t="str">
        <f aca="false">IF(OR(C30="",AW$2&gt;C30,E30=0),"",IF(D30=0,1/C30,N(X30)/E30))</f>
        <v/>
      </c>
      <c r="AX30" s="25" t="str">
        <f aca="false">IF(OR(C30="",AX$2&gt;C30,E30=0),"",IF(D30=0,1/C30,N(Y30)/E30))</f>
        <v/>
      </c>
      <c r="AY30" s="25" t="str">
        <f aca="false">IF(OR(C30="",AY$2&gt;C30,E30=0),"",IF(D30=0,1/C30,N(Z30)/E30))</f>
        <v/>
      </c>
      <c r="AZ30" s="25" t="str">
        <f aca="false">IF(OR(C30="",AZ$2&gt;C30,E30=0),"",IF(D30=0,1/C30,N(AA30)/E30))</f>
        <v/>
      </c>
      <c r="BA30" s="25" t="str">
        <f aca="false">IF(OR(C30="",BA$2&gt;C30,E30=0),"",IF(D30=0,1/C30,N(AB30)/E30))</f>
        <v/>
      </c>
      <c r="BB30" s="25" t="str">
        <f aca="false">IF(OR(C30="",BB$2&gt;C30,E30=0),"",IF(D30=0,1/C30,N(AC30)/E30))</f>
        <v/>
      </c>
      <c r="BC30" s="25" t="str">
        <f aca="false">IF(OR(C30="",BC$2&gt;C30,E30=0),"",IF(D30=0,1/C30,N(AD30)/E30))</f>
        <v/>
      </c>
      <c r="BD30" s="25" t="str">
        <f aca="false">IF(OR(C30="",BD$2&gt;C30,E30=0),"",IF(D30=0,1/C30,N(AE30)/E30))</f>
        <v/>
      </c>
      <c r="BE30" s="25" t="str">
        <f aca="false">IF(OR(C30="",BE$2&gt;C30,E30=0),"",IF(D30=0,1/C30,N(AF30)/E30))</f>
        <v/>
      </c>
      <c r="BF30" s="26" t="str">
        <f aca="false">IF(C30="","",SUM(AH30:BE30))</f>
        <v/>
      </c>
    </row>
    <row r="31" customFormat="false" ht="15" hidden="false" customHeight="false" outlineLevel="0" collapsed="false">
      <c r="A31" s="11" t="n">
        <v>26</v>
      </c>
      <c r="B31" s="21" t="str">
        <f aca="false">IF(Projects!B31="","",Projects!B31)</f>
        <v/>
      </c>
      <c r="C31" s="22" t="str">
        <f aca="false">IF(Projects!E31="","",Projects!E31)</f>
        <v/>
      </c>
      <c r="D31" s="23" t="n">
        <f aca="false">COUNT($I31:$AF31)</f>
        <v>0</v>
      </c>
      <c r="E31" s="23" t="n">
        <f aca="false">IF(C31="",0,IF(D31=0,C31,SUMPRODUCT($I31:$AF31*($I$2:$AF$2&lt;=C31))))</f>
        <v>0</v>
      </c>
      <c r="F31" s="23" t="n">
        <f aca="false">IF(OR(C31="",Projects!D31=""),1,MAX(1,((YEAR(Projects!$C$2)-YEAR(Projects!D31))*12+MONTH(Projects!$C$2)-MONTH(Projects!D31)+1)+1))</f>
        <v>1</v>
      </c>
      <c r="G31" s="23" t="n">
        <f aca="false">IF(C31="",0,IF(D31=0,MAX(0,C31-F31+1),SUMPRODUCT($I31:$AF31*($I$2:$AF$2&gt;=F31)*($I$2:$AF$2&lt;=C31))))</f>
        <v>0</v>
      </c>
      <c r="H31" s="23" t="n">
        <f aca="false">IF(C31="",0,SUMPRODUCT(($I31:$AF31&lt;&gt;0)*($I$2:$AF$2&gt;C31)))</f>
        <v>0</v>
      </c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H31" s="25" t="str">
        <f aca="false">IF(OR(C31="",AH$2&gt;C31,E31=0),"",IF(D31=0,1/C31,N(I31)/E31))</f>
        <v/>
      </c>
      <c r="AI31" s="25" t="str">
        <f aca="false">IF(OR(C31="",AI$2&gt;C31,E31=0),"",IF(D31=0,1/C31,N(J31)/E31))</f>
        <v/>
      </c>
      <c r="AJ31" s="25" t="str">
        <f aca="false">IF(OR(C31="",AJ$2&gt;C31,E31=0),"",IF(D31=0,1/C31,N(K31)/E31))</f>
        <v/>
      </c>
      <c r="AK31" s="25" t="str">
        <f aca="false">IF(OR(C31="",AK$2&gt;C31,E31=0),"",IF(D31=0,1/C31,N(L31)/E31))</f>
        <v/>
      </c>
      <c r="AL31" s="25" t="str">
        <f aca="false">IF(OR(C31="",AL$2&gt;C31,E31=0),"",IF(D31=0,1/C31,N(M31)/E31))</f>
        <v/>
      </c>
      <c r="AM31" s="25" t="str">
        <f aca="false">IF(OR(C31="",AM$2&gt;C31,E31=0),"",IF(D31=0,1/C31,N(N31)/E31))</f>
        <v/>
      </c>
      <c r="AN31" s="25" t="str">
        <f aca="false">IF(OR(C31="",AN$2&gt;C31,E31=0),"",IF(D31=0,1/C31,N(O31)/E31))</f>
        <v/>
      </c>
      <c r="AO31" s="25" t="str">
        <f aca="false">IF(OR(C31="",AO$2&gt;C31,E31=0),"",IF(D31=0,1/C31,N(P31)/E31))</f>
        <v/>
      </c>
      <c r="AP31" s="25" t="str">
        <f aca="false">IF(OR(C31="",AP$2&gt;C31,E31=0),"",IF(D31=0,1/C31,N(Q31)/E31))</f>
        <v/>
      </c>
      <c r="AQ31" s="25" t="str">
        <f aca="false">IF(OR(C31="",AQ$2&gt;C31,E31=0),"",IF(D31=0,1/C31,N(R31)/E31))</f>
        <v/>
      </c>
      <c r="AR31" s="25" t="str">
        <f aca="false">IF(OR(C31="",AR$2&gt;C31,E31=0),"",IF(D31=0,1/C31,N(S31)/E31))</f>
        <v/>
      </c>
      <c r="AS31" s="25" t="str">
        <f aca="false">IF(OR(C31="",AS$2&gt;C31,E31=0),"",IF(D31=0,1/C31,N(T31)/E31))</f>
        <v/>
      </c>
      <c r="AT31" s="25" t="str">
        <f aca="false">IF(OR(C31="",AT$2&gt;C31,E31=0),"",IF(D31=0,1/C31,N(U31)/E31))</f>
        <v/>
      </c>
      <c r="AU31" s="25" t="str">
        <f aca="false">IF(OR(C31="",AU$2&gt;C31,E31=0),"",IF(D31=0,1/C31,N(V31)/E31))</f>
        <v/>
      </c>
      <c r="AV31" s="25" t="str">
        <f aca="false">IF(OR(C31="",AV$2&gt;C31,E31=0),"",IF(D31=0,1/C31,N(W31)/E31))</f>
        <v/>
      </c>
      <c r="AW31" s="25" t="str">
        <f aca="false">IF(OR(C31="",AW$2&gt;C31,E31=0),"",IF(D31=0,1/C31,N(X31)/E31))</f>
        <v/>
      </c>
      <c r="AX31" s="25" t="str">
        <f aca="false">IF(OR(C31="",AX$2&gt;C31,E31=0),"",IF(D31=0,1/C31,N(Y31)/E31))</f>
        <v/>
      </c>
      <c r="AY31" s="25" t="str">
        <f aca="false">IF(OR(C31="",AY$2&gt;C31,E31=0),"",IF(D31=0,1/C31,N(Z31)/E31))</f>
        <v/>
      </c>
      <c r="AZ31" s="25" t="str">
        <f aca="false">IF(OR(C31="",AZ$2&gt;C31,E31=0),"",IF(D31=0,1/C31,N(AA31)/E31))</f>
        <v/>
      </c>
      <c r="BA31" s="25" t="str">
        <f aca="false">IF(OR(C31="",BA$2&gt;C31,E31=0),"",IF(D31=0,1/C31,N(AB31)/E31))</f>
        <v/>
      </c>
      <c r="BB31" s="25" t="str">
        <f aca="false">IF(OR(C31="",BB$2&gt;C31,E31=0),"",IF(D31=0,1/C31,N(AC31)/E31))</f>
        <v/>
      </c>
      <c r="BC31" s="25" t="str">
        <f aca="false">IF(OR(C31="",BC$2&gt;C31,E31=0),"",IF(D31=0,1/C31,N(AD31)/E31))</f>
        <v/>
      </c>
      <c r="BD31" s="25" t="str">
        <f aca="false">IF(OR(C31="",BD$2&gt;C31,E31=0),"",IF(D31=0,1/C31,N(AE31)/E31))</f>
        <v/>
      </c>
      <c r="BE31" s="25" t="str">
        <f aca="false">IF(OR(C31="",BE$2&gt;C31,E31=0),"",IF(D31=0,1/C31,N(AF31)/E31))</f>
        <v/>
      </c>
      <c r="BF31" s="26" t="str">
        <f aca="false">IF(C31="","",SUM(AH31:BE31))</f>
        <v/>
      </c>
    </row>
    <row r="32" customFormat="false" ht="15" hidden="false" customHeight="false" outlineLevel="0" collapsed="false">
      <c r="A32" s="11" t="n">
        <v>27</v>
      </c>
      <c r="B32" s="21" t="str">
        <f aca="false">IF(Projects!B32="","",Projects!B32)</f>
        <v/>
      </c>
      <c r="C32" s="22" t="str">
        <f aca="false">IF(Projects!E32="","",Projects!E32)</f>
        <v/>
      </c>
      <c r="D32" s="23" t="n">
        <f aca="false">COUNT($I32:$AF32)</f>
        <v>0</v>
      </c>
      <c r="E32" s="23" t="n">
        <f aca="false">IF(C32="",0,IF(D32=0,C32,SUMPRODUCT($I32:$AF32*($I$2:$AF$2&lt;=C32))))</f>
        <v>0</v>
      </c>
      <c r="F32" s="23" t="n">
        <f aca="false">IF(OR(C32="",Projects!D32=""),1,MAX(1,((YEAR(Projects!$C$2)-YEAR(Projects!D32))*12+MONTH(Projects!$C$2)-MONTH(Projects!D32)+1)+1))</f>
        <v>1</v>
      </c>
      <c r="G32" s="23" t="n">
        <f aca="false">IF(C32="",0,IF(D32=0,MAX(0,C32-F32+1),SUMPRODUCT($I32:$AF32*($I$2:$AF$2&gt;=F32)*($I$2:$AF$2&lt;=C32))))</f>
        <v>0</v>
      </c>
      <c r="H32" s="23" t="n">
        <f aca="false">IF(C32="",0,SUMPRODUCT(($I32:$AF32&lt;&gt;0)*($I$2:$AF$2&gt;C32)))</f>
        <v>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H32" s="25" t="str">
        <f aca="false">IF(OR(C32="",AH$2&gt;C32,E32=0),"",IF(D32=0,1/C32,N(I32)/E32))</f>
        <v/>
      </c>
      <c r="AI32" s="25" t="str">
        <f aca="false">IF(OR(C32="",AI$2&gt;C32,E32=0),"",IF(D32=0,1/C32,N(J32)/E32))</f>
        <v/>
      </c>
      <c r="AJ32" s="25" t="str">
        <f aca="false">IF(OR(C32="",AJ$2&gt;C32,E32=0),"",IF(D32=0,1/C32,N(K32)/E32))</f>
        <v/>
      </c>
      <c r="AK32" s="25" t="str">
        <f aca="false">IF(OR(C32="",AK$2&gt;C32,E32=0),"",IF(D32=0,1/C32,N(L32)/E32))</f>
        <v/>
      </c>
      <c r="AL32" s="25" t="str">
        <f aca="false">IF(OR(C32="",AL$2&gt;C32,E32=0),"",IF(D32=0,1/C32,N(M32)/E32))</f>
        <v/>
      </c>
      <c r="AM32" s="25" t="str">
        <f aca="false">IF(OR(C32="",AM$2&gt;C32,E32=0),"",IF(D32=0,1/C32,N(N32)/E32))</f>
        <v/>
      </c>
      <c r="AN32" s="25" t="str">
        <f aca="false">IF(OR(C32="",AN$2&gt;C32,E32=0),"",IF(D32=0,1/C32,N(O32)/E32))</f>
        <v/>
      </c>
      <c r="AO32" s="25" t="str">
        <f aca="false">IF(OR(C32="",AO$2&gt;C32,E32=0),"",IF(D32=0,1/C32,N(P32)/E32))</f>
        <v/>
      </c>
      <c r="AP32" s="25" t="str">
        <f aca="false">IF(OR(C32="",AP$2&gt;C32,E32=0),"",IF(D32=0,1/C32,N(Q32)/E32))</f>
        <v/>
      </c>
      <c r="AQ32" s="25" t="str">
        <f aca="false">IF(OR(C32="",AQ$2&gt;C32,E32=0),"",IF(D32=0,1/C32,N(R32)/E32))</f>
        <v/>
      </c>
      <c r="AR32" s="25" t="str">
        <f aca="false">IF(OR(C32="",AR$2&gt;C32,E32=0),"",IF(D32=0,1/C32,N(S32)/E32))</f>
        <v/>
      </c>
      <c r="AS32" s="25" t="str">
        <f aca="false">IF(OR(C32="",AS$2&gt;C32,E32=0),"",IF(D32=0,1/C32,N(T32)/E32))</f>
        <v/>
      </c>
      <c r="AT32" s="25" t="str">
        <f aca="false">IF(OR(C32="",AT$2&gt;C32,E32=0),"",IF(D32=0,1/C32,N(U32)/E32))</f>
        <v/>
      </c>
      <c r="AU32" s="25" t="str">
        <f aca="false">IF(OR(C32="",AU$2&gt;C32,E32=0),"",IF(D32=0,1/C32,N(V32)/E32))</f>
        <v/>
      </c>
      <c r="AV32" s="25" t="str">
        <f aca="false">IF(OR(C32="",AV$2&gt;C32,E32=0),"",IF(D32=0,1/C32,N(W32)/E32))</f>
        <v/>
      </c>
      <c r="AW32" s="25" t="str">
        <f aca="false">IF(OR(C32="",AW$2&gt;C32,E32=0),"",IF(D32=0,1/C32,N(X32)/E32))</f>
        <v/>
      </c>
      <c r="AX32" s="25" t="str">
        <f aca="false">IF(OR(C32="",AX$2&gt;C32,E32=0),"",IF(D32=0,1/C32,N(Y32)/E32))</f>
        <v/>
      </c>
      <c r="AY32" s="25" t="str">
        <f aca="false">IF(OR(C32="",AY$2&gt;C32,E32=0),"",IF(D32=0,1/C32,N(Z32)/E32))</f>
        <v/>
      </c>
      <c r="AZ32" s="25" t="str">
        <f aca="false">IF(OR(C32="",AZ$2&gt;C32,E32=0),"",IF(D32=0,1/C32,N(AA32)/E32))</f>
        <v/>
      </c>
      <c r="BA32" s="25" t="str">
        <f aca="false">IF(OR(C32="",BA$2&gt;C32,E32=0),"",IF(D32=0,1/C32,N(AB32)/E32))</f>
        <v/>
      </c>
      <c r="BB32" s="25" t="str">
        <f aca="false">IF(OR(C32="",BB$2&gt;C32,E32=0),"",IF(D32=0,1/C32,N(AC32)/E32))</f>
        <v/>
      </c>
      <c r="BC32" s="25" t="str">
        <f aca="false">IF(OR(C32="",BC$2&gt;C32,E32=0),"",IF(D32=0,1/C32,N(AD32)/E32))</f>
        <v/>
      </c>
      <c r="BD32" s="25" t="str">
        <f aca="false">IF(OR(C32="",BD$2&gt;C32,E32=0),"",IF(D32=0,1/C32,N(AE32)/E32))</f>
        <v/>
      </c>
      <c r="BE32" s="25" t="str">
        <f aca="false">IF(OR(C32="",BE$2&gt;C32,E32=0),"",IF(D32=0,1/C32,N(AF32)/E32))</f>
        <v/>
      </c>
      <c r="BF32" s="26" t="str">
        <f aca="false">IF(C32="","",SUM(AH32:BE32))</f>
        <v/>
      </c>
    </row>
    <row r="33" customFormat="false" ht="15" hidden="false" customHeight="false" outlineLevel="0" collapsed="false">
      <c r="A33" s="11" t="n">
        <v>28</v>
      </c>
      <c r="B33" s="21" t="str">
        <f aca="false">IF(Projects!B33="","",Projects!B33)</f>
        <v/>
      </c>
      <c r="C33" s="22" t="str">
        <f aca="false">IF(Projects!E33="","",Projects!E33)</f>
        <v/>
      </c>
      <c r="D33" s="23" t="n">
        <f aca="false">COUNT($I33:$AF33)</f>
        <v>0</v>
      </c>
      <c r="E33" s="23" t="n">
        <f aca="false">IF(C33="",0,IF(D33=0,C33,SUMPRODUCT($I33:$AF33*($I$2:$AF$2&lt;=C33))))</f>
        <v>0</v>
      </c>
      <c r="F33" s="23" t="n">
        <f aca="false">IF(OR(C33="",Projects!D33=""),1,MAX(1,((YEAR(Projects!$C$2)-YEAR(Projects!D33))*12+MONTH(Projects!$C$2)-MONTH(Projects!D33)+1)+1))</f>
        <v>1</v>
      </c>
      <c r="G33" s="23" t="n">
        <f aca="false">IF(C33="",0,IF(D33=0,MAX(0,C33-F33+1),SUMPRODUCT($I33:$AF33*($I$2:$AF$2&gt;=F33)*($I$2:$AF$2&lt;=C33))))</f>
        <v>0</v>
      </c>
      <c r="H33" s="23" t="n">
        <f aca="false">IF(C33="",0,SUMPRODUCT(($I33:$AF33&lt;&gt;0)*($I$2:$AF$2&gt;C33)))</f>
        <v>0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H33" s="25" t="str">
        <f aca="false">IF(OR(C33="",AH$2&gt;C33,E33=0),"",IF(D33=0,1/C33,N(I33)/E33))</f>
        <v/>
      </c>
      <c r="AI33" s="25" t="str">
        <f aca="false">IF(OR(C33="",AI$2&gt;C33,E33=0),"",IF(D33=0,1/C33,N(J33)/E33))</f>
        <v/>
      </c>
      <c r="AJ33" s="25" t="str">
        <f aca="false">IF(OR(C33="",AJ$2&gt;C33,E33=0),"",IF(D33=0,1/C33,N(K33)/E33))</f>
        <v/>
      </c>
      <c r="AK33" s="25" t="str">
        <f aca="false">IF(OR(C33="",AK$2&gt;C33,E33=0),"",IF(D33=0,1/C33,N(L33)/E33))</f>
        <v/>
      </c>
      <c r="AL33" s="25" t="str">
        <f aca="false">IF(OR(C33="",AL$2&gt;C33,E33=0),"",IF(D33=0,1/C33,N(M33)/E33))</f>
        <v/>
      </c>
      <c r="AM33" s="25" t="str">
        <f aca="false">IF(OR(C33="",AM$2&gt;C33,E33=0),"",IF(D33=0,1/C33,N(N33)/E33))</f>
        <v/>
      </c>
      <c r="AN33" s="25" t="str">
        <f aca="false">IF(OR(C33="",AN$2&gt;C33,E33=0),"",IF(D33=0,1/C33,N(O33)/E33))</f>
        <v/>
      </c>
      <c r="AO33" s="25" t="str">
        <f aca="false">IF(OR(C33="",AO$2&gt;C33,E33=0),"",IF(D33=0,1/C33,N(P33)/E33))</f>
        <v/>
      </c>
      <c r="AP33" s="25" t="str">
        <f aca="false">IF(OR(C33="",AP$2&gt;C33,E33=0),"",IF(D33=0,1/C33,N(Q33)/E33))</f>
        <v/>
      </c>
      <c r="AQ33" s="25" t="str">
        <f aca="false">IF(OR(C33="",AQ$2&gt;C33,E33=0),"",IF(D33=0,1/C33,N(R33)/E33))</f>
        <v/>
      </c>
      <c r="AR33" s="25" t="str">
        <f aca="false">IF(OR(C33="",AR$2&gt;C33,E33=0),"",IF(D33=0,1/C33,N(S33)/E33))</f>
        <v/>
      </c>
      <c r="AS33" s="25" t="str">
        <f aca="false">IF(OR(C33="",AS$2&gt;C33,E33=0),"",IF(D33=0,1/C33,N(T33)/E33))</f>
        <v/>
      </c>
      <c r="AT33" s="25" t="str">
        <f aca="false">IF(OR(C33="",AT$2&gt;C33,E33=0),"",IF(D33=0,1/C33,N(U33)/E33))</f>
        <v/>
      </c>
      <c r="AU33" s="25" t="str">
        <f aca="false">IF(OR(C33="",AU$2&gt;C33,E33=0),"",IF(D33=0,1/C33,N(V33)/E33))</f>
        <v/>
      </c>
      <c r="AV33" s="25" t="str">
        <f aca="false">IF(OR(C33="",AV$2&gt;C33,E33=0),"",IF(D33=0,1/C33,N(W33)/E33))</f>
        <v/>
      </c>
      <c r="AW33" s="25" t="str">
        <f aca="false">IF(OR(C33="",AW$2&gt;C33,E33=0),"",IF(D33=0,1/C33,N(X33)/E33))</f>
        <v/>
      </c>
      <c r="AX33" s="25" t="str">
        <f aca="false">IF(OR(C33="",AX$2&gt;C33,E33=0),"",IF(D33=0,1/C33,N(Y33)/E33))</f>
        <v/>
      </c>
      <c r="AY33" s="25" t="str">
        <f aca="false">IF(OR(C33="",AY$2&gt;C33,E33=0),"",IF(D33=0,1/C33,N(Z33)/E33))</f>
        <v/>
      </c>
      <c r="AZ33" s="25" t="str">
        <f aca="false">IF(OR(C33="",AZ$2&gt;C33,E33=0),"",IF(D33=0,1/C33,N(AA33)/E33))</f>
        <v/>
      </c>
      <c r="BA33" s="25" t="str">
        <f aca="false">IF(OR(C33="",BA$2&gt;C33,E33=0),"",IF(D33=0,1/C33,N(AB33)/E33))</f>
        <v/>
      </c>
      <c r="BB33" s="25" t="str">
        <f aca="false">IF(OR(C33="",BB$2&gt;C33,E33=0),"",IF(D33=0,1/C33,N(AC33)/E33))</f>
        <v/>
      </c>
      <c r="BC33" s="25" t="str">
        <f aca="false">IF(OR(C33="",BC$2&gt;C33,E33=0),"",IF(D33=0,1/C33,N(AD33)/E33))</f>
        <v/>
      </c>
      <c r="BD33" s="25" t="str">
        <f aca="false">IF(OR(C33="",BD$2&gt;C33,E33=0),"",IF(D33=0,1/C33,N(AE33)/E33))</f>
        <v/>
      </c>
      <c r="BE33" s="25" t="str">
        <f aca="false">IF(OR(C33="",BE$2&gt;C33,E33=0),"",IF(D33=0,1/C33,N(AF33)/E33))</f>
        <v/>
      </c>
      <c r="BF33" s="26" t="str">
        <f aca="false">IF(C33="","",SUM(AH33:BE33))</f>
        <v/>
      </c>
    </row>
    <row r="34" customFormat="false" ht="15" hidden="false" customHeight="false" outlineLevel="0" collapsed="false">
      <c r="A34" s="11" t="n">
        <v>29</v>
      </c>
      <c r="B34" s="21" t="str">
        <f aca="false">IF(Projects!B34="","",Projects!B34)</f>
        <v/>
      </c>
      <c r="C34" s="22" t="str">
        <f aca="false">IF(Projects!E34="","",Projects!E34)</f>
        <v/>
      </c>
      <c r="D34" s="23" t="n">
        <f aca="false">COUNT($I34:$AF34)</f>
        <v>0</v>
      </c>
      <c r="E34" s="23" t="n">
        <f aca="false">IF(C34="",0,IF(D34=0,C34,SUMPRODUCT($I34:$AF34*($I$2:$AF$2&lt;=C34))))</f>
        <v>0</v>
      </c>
      <c r="F34" s="23" t="n">
        <f aca="false">IF(OR(C34="",Projects!D34=""),1,MAX(1,((YEAR(Projects!$C$2)-YEAR(Projects!D34))*12+MONTH(Projects!$C$2)-MONTH(Projects!D34)+1)+1))</f>
        <v>1</v>
      </c>
      <c r="G34" s="23" t="n">
        <f aca="false">IF(C34="",0,IF(D34=0,MAX(0,C34-F34+1),SUMPRODUCT($I34:$AF34*($I$2:$AF$2&gt;=F34)*($I$2:$AF$2&lt;=C34))))</f>
        <v>0</v>
      </c>
      <c r="H34" s="23" t="n">
        <f aca="false">IF(C34="",0,SUMPRODUCT(($I34:$AF34&lt;&gt;0)*($I$2:$AF$2&gt;C34)))</f>
        <v>0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H34" s="25" t="str">
        <f aca="false">IF(OR(C34="",AH$2&gt;C34,E34=0),"",IF(D34=0,1/C34,N(I34)/E34))</f>
        <v/>
      </c>
      <c r="AI34" s="25" t="str">
        <f aca="false">IF(OR(C34="",AI$2&gt;C34,E34=0),"",IF(D34=0,1/C34,N(J34)/E34))</f>
        <v/>
      </c>
      <c r="AJ34" s="25" t="str">
        <f aca="false">IF(OR(C34="",AJ$2&gt;C34,E34=0),"",IF(D34=0,1/C34,N(K34)/E34))</f>
        <v/>
      </c>
      <c r="AK34" s="25" t="str">
        <f aca="false">IF(OR(C34="",AK$2&gt;C34,E34=0),"",IF(D34=0,1/C34,N(L34)/E34))</f>
        <v/>
      </c>
      <c r="AL34" s="25" t="str">
        <f aca="false">IF(OR(C34="",AL$2&gt;C34,E34=0),"",IF(D34=0,1/C34,N(M34)/E34))</f>
        <v/>
      </c>
      <c r="AM34" s="25" t="str">
        <f aca="false">IF(OR(C34="",AM$2&gt;C34,E34=0),"",IF(D34=0,1/C34,N(N34)/E34))</f>
        <v/>
      </c>
      <c r="AN34" s="25" t="str">
        <f aca="false">IF(OR(C34="",AN$2&gt;C34,E34=0),"",IF(D34=0,1/C34,N(O34)/E34))</f>
        <v/>
      </c>
      <c r="AO34" s="25" t="str">
        <f aca="false">IF(OR(C34="",AO$2&gt;C34,E34=0),"",IF(D34=0,1/C34,N(P34)/E34))</f>
        <v/>
      </c>
      <c r="AP34" s="25" t="str">
        <f aca="false">IF(OR(C34="",AP$2&gt;C34,E34=0),"",IF(D34=0,1/C34,N(Q34)/E34))</f>
        <v/>
      </c>
      <c r="AQ34" s="25" t="str">
        <f aca="false">IF(OR(C34="",AQ$2&gt;C34,E34=0),"",IF(D34=0,1/C34,N(R34)/E34))</f>
        <v/>
      </c>
      <c r="AR34" s="25" t="str">
        <f aca="false">IF(OR(C34="",AR$2&gt;C34,E34=0),"",IF(D34=0,1/C34,N(S34)/E34))</f>
        <v/>
      </c>
      <c r="AS34" s="25" t="str">
        <f aca="false">IF(OR(C34="",AS$2&gt;C34,E34=0),"",IF(D34=0,1/C34,N(T34)/E34))</f>
        <v/>
      </c>
      <c r="AT34" s="25" t="str">
        <f aca="false">IF(OR(C34="",AT$2&gt;C34,E34=0),"",IF(D34=0,1/C34,N(U34)/E34))</f>
        <v/>
      </c>
      <c r="AU34" s="25" t="str">
        <f aca="false">IF(OR(C34="",AU$2&gt;C34,E34=0),"",IF(D34=0,1/C34,N(V34)/E34))</f>
        <v/>
      </c>
      <c r="AV34" s="25" t="str">
        <f aca="false">IF(OR(C34="",AV$2&gt;C34,E34=0),"",IF(D34=0,1/C34,N(W34)/E34))</f>
        <v/>
      </c>
      <c r="AW34" s="25" t="str">
        <f aca="false">IF(OR(C34="",AW$2&gt;C34,E34=0),"",IF(D34=0,1/C34,N(X34)/E34))</f>
        <v/>
      </c>
      <c r="AX34" s="25" t="str">
        <f aca="false">IF(OR(C34="",AX$2&gt;C34,E34=0),"",IF(D34=0,1/C34,N(Y34)/E34))</f>
        <v/>
      </c>
      <c r="AY34" s="25" t="str">
        <f aca="false">IF(OR(C34="",AY$2&gt;C34,E34=0),"",IF(D34=0,1/C34,N(Z34)/E34))</f>
        <v/>
      </c>
      <c r="AZ34" s="25" t="str">
        <f aca="false">IF(OR(C34="",AZ$2&gt;C34,E34=0),"",IF(D34=0,1/C34,N(AA34)/E34))</f>
        <v/>
      </c>
      <c r="BA34" s="25" t="str">
        <f aca="false">IF(OR(C34="",BA$2&gt;C34,E34=0),"",IF(D34=0,1/C34,N(AB34)/E34))</f>
        <v/>
      </c>
      <c r="BB34" s="25" t="str">
        <f aca="false">IF(OR(C34="",BB$2&gt;C34,E34=0),"",IF(D34=0,1/C34,N(AC34)/E34))</f>
        <v/>
      </c>
      <c r="BC34" s="25" t="str">
        <f aca="false">IF(OR(C34="",BC$2&gt;C34,E34=0),"",IF(D34=0,1/C34,N(AD34)/E34))</f>
        <v/>
      </c>
      <c r="BD34" s="25" t="str">
        <f aca="false">IF(OR(C34="",BD$2&gt;C34,E34=0),"",IF(D34=0,1/C34,N(AE34)/E34))</f>
        <v/>
      </c>
      <c r="BE34" s="25" t="str">
        <f aca="false">IF(OR(C34="",BE$2&gt;C34,E34=0),"",IF(D34=0,1/C34,N(AF34)/E34))</f>
        <v/>
      </c>
      <c r="BF34" s="26" t="str">
        <f aca="false">IF(C34="","",SUM(AH34:BE34))</f>
        <v/>
      </c>
    </row>
    <row r="35" customFormat="false" ht="15" hidden="false" customHeight="false" outlineLevel="0" collapsed="false">
      <c r="A35" s="11" t="n">
        <v>30</v>
      </c>
      <c r="B35" s="21" t="str">
        <f aca="false">IF(Projects!B35="","",Projects!B35)</f>
        <v/>
      </c>
      <c r="C35" s="22" t="str">
        <f aca="false">IF(Projects!E35="","",Projects!E35)</f>
        <v/>
      </c>
      <c r="D35" s="23" t="n">
        <f aca="false">COUNT($I35:$AF35)</f>
        <v>0</v>
      </c>
      <c r="E35" s="23" t="n">
        <f aca="false">IF(C35="",0,IF(D35=0,C35,SUMPRODUCT($I35:$AF35*($I$2:$AF$2&lt;=C35))))</f>
        <v>0</v>
      </c>
      <c r="F35" s="23" t="n">
        <f aca="false">IF(OR(C35="",Projects!D35=""),1,MAX(1,((YEAR(Projects!$C$2)-YEAR(Projects!D35))*12+MONTH(Projects!$C$2)-MONTH(Projects!D35)+1)+1))</f>
        <v>1</v>
      </c>
      <c r="G35" s="23" t="n">
        <f aca="false">IF(C35="",0,IF(D35=0,MAX(0,C35-F35+1),SUMPRODUCT($I35:$AF35*($I$2:$AF$2&gt;=F35)*($I$2:$AF$2&lt;=C35))))</f>
        <v>0</v>
      </c>
      <c r="H35" s="23" t="n">
        <f aca="false">IF(C35="",0,SUMPRODUCT(($I35:$AF35&lt;&gt;0)*($I$2:$AF$2&gt;C35)))</f>
        <v>0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H35" s="25" t="str">
        <f aca="false">IF(OR(C35="",AH$2&gt;C35,E35=0),"",IF(D35=0,1/C35,N(I35)/E35))</f>
        <v/>
      </c>
      <c r="AI35" s="25" t="str">
        <f aca="false">IF(OR(C35="",AI$2&gt;C35,E35=0),"",IF(D35=0,1/C35,N(J35)/E35))</f>
        <v/>
      </c>
      <c r="AJ35" s="25" t="str">
        <f aca="false">IF(OR(C35="",AJ$2&gt;C35,E35=0),"",IF(D35=0,1/C35,N(K35)/E35))</f>
        <v/>
      </c>
      <c r="AK35" s="25" t="str">
        <f aca="false">IF(OR(C35="",AK$2&gt;C35,E35=0),"",IF(D35=0,1/C35,N(L35)/E35))</f>
        <v/>
      </c>
      <c r="AL35" s="25" t="str">
        <f aca="false">IF(OR(C35="",AL$2&gt;C35,E35=0),"",IF(D35=0,1/C35,N(M35)/E35))</f>
        <v/>
      </c>
      <c r="AM35" s="25" t="str">
        <f aca="false">IF(OR(C35="",AM$2&gt;C35,E35=0),"",IF(D35=0,1/C35,N(N35)/E35))</f>
        <v/>
      </c>
      <c r="AN35" s="25" t="str">
        <f aca="false">IF(OR(C35="",AN$2&gt;C35,E35=0),"",IF(D35=0,1/C35,N(O35)/E35))</f>
        <v/>
      </c>
      <c r="AO35" s="25" t="str">
        <f aca="false">IF(OR(C35="",AO$2&gt;C35,E35=0),"",IF(D35=0,1/C35,N(P35)/E35))</f>
        <v/>
      </c>
      <c r="AP35" s="25" t="str">
        <f aca="false">IF(OR(C35="",AP$2&gt;C35,E35=0),"",IF(D35=0,1/C35,N(Q35)/E35))</f>
        <v/>
      </c>
      <c r="AQ35" s="25" t="str">
        <f aca="false">IF(OR(C35="",AQ$2&gt;C35,E35=0),"",IF(D35=0,1/C35,N(R35)/E35))</f>
        <v/>
      </c>
      <c r="AR35" s="25" t="str">
        <f aca="false">IF(OR(C35="",AR$2&gt;C35,E35=0),"",IF(D35=0,1/C35,N(S35)/E35))</f>
        <v/>
      </c>
      <c r="AS35" s="25" t="str">
        <f aca="false">IF(OR(C35="",AS$2&gt;C35,E35=0),"",IF(D35=0,1/C35,N(T35)/E35))</f>
        <v/>
      </c>
      <c r="AT35" s="25" t="str">
        <f aca="false">IF(OR(C35="",AT$2&gt;C35,E35=0),"",IF(D35=0,1/C35,N(U35)/E35))</f>
        <v/>
      </c>
      <c r="AU35" s="25" t="str">
        <f aca="false">IF(OR(C35="",AU$2&gt;C35,E35=0),"",IF(D35=0,1/C35,N(V35)/E35))</f>
        <v/>
      </c>
      <c r="AV35" s="25" t="str">
        <f aca="false">IF(OR(C35="",AV$2&gt;C35,E35=0),"",IF(D35=0,1/C35,N(W35)/E35))</f>
        <v/>
      </c>
      <c r="AW35" s="25" t="str">
        <f aca="false">IF(OR(C35="",AW$2&gt;C35,E35=0),"",IF(D35=0,1/C35,N(X35)/E35))</f>
        <v/>
      </c>
      <c r="AX35" s="25" t="str">
        <f aca="false">IF(OR(C35="",AX$2&gt;C35,E35=0),"",IF(D35=0,1/C35,N(Y35)/E35))</f>
        <v/>
      </c>
      <c r="AY35" s="25" t="str">
        <f aca="false">IF(OR(C35="",AY$2&gt;C35,E35=0),"",IF(D35=0,1/C35,N(Z35)/E35))</f>
        <v/>
      </c>
      <c r="AZ35" s="25" t="str">
        <f aca="false">IF(OR(C35="",AZ$2&gt;C35,E35=0),"",IF(D35=0,1/C35,N(AA35)/E35))</f>
        <v/>
      </c>
      <c r="BA35" s="25" t="str">
        <f aca="false">IF(OR(C35="",BA$2&gt;C35,E35=0),"",IF(D35=0,1/C35,N(AB35)/E35))</f>
        <v/>
      </c>
      <c r="BB35" s="25" t="str">
        <f aca="false">IF(OR(C35="",BB$2&gt;C35,E35=0),"",IF(D35=0,1/C35,N(AC35)/E35))</f>
        <v/>
      </c>
      <c r="BC35" s="25" t="str">
        <f aca="false">IF(OR(C35="",BC$2&gt;C35,E35=0),"",IF(D35=0,1/C35,N(AD35)/E35))</f>
        <v/>
      </c>
      <c r="BD35" s="25" t="str">
        <f aca="false">IF(OR(C35="",BD$2&gt;C35,E35=0),"",IF(D35=0,1/C35,N(AE35)/E35))</f>
        <v/>
      </c>
      <c r="BE35" s="25" t="str">
        <f aca="false">IF(OR(C35="",BE$2&gt;C35,E35=0),"",IF(D35=0,1/C35,N(AF35)/E35))</f>
        <v/>
      </c>
      <c r="BF35" s="26" t="str">
        <f aca="false">IF(C35="","",SUM(AH35:BE35))</f>
        <v/>
      </c>
    </row>
    <row r="36" customFormat="false" ht="15" hidden="false" customHeight="false" outlineLevel="0" collapsed="false">
      <c r="A36" s="11" t="n">
        <v>31</v>
      </c>
      <c r="B36" s="21" t="str">
        <f aca="false">IF(Projects!B36="","",Projects!B36)</f>
        <v/>
      </c>
      <c r="C36" s="22" t="str">
        <f aca="false">IF(Projects!E36="","",Projects!E36)</f>
        <v/>
      </c>
      <c r="D36" s="23" t="n">
        <f aca="false">COUNT($I36:$AF36)</f>
        <v>0</v>
      </c>
      <c r="E36" s="23" t="n">
        <f aca="false">IF(C36="",0,IF(D36=0,C36,SUMPRODUCT($I36:$AF36*($I$2:$AF$2&lt;=C36))))</f>
        <v>0</v>
      </c>
      <c r="F36" s="23" t="n">
        <f aca="false">IF(OR(C36="",Projects!D36=""),1,MAX(1,((YEAR(Projects!$C$2)-YEAR(Projects!D36))*12+MONTH(Projects!$C$2)-MONTH(Projects!D36)+1)+1))</f>
        <v>1</v>
      </c>
      <c r="G36" s="23" t="n">
        <f aca="false">IF(C36="",0,IF(D36=0,MAX(0,C36-F36+1),SUMPRODUCT($I36:$AF36*($I$2:$AF$2&gt;=F36)*($I$2:$AF$2&lt;=C36))))</f>
        <v>0</v>
      </c>
      <c r="H36" s="23" t="n">
        <f aca="false">IF(C36="",0,SUMPRODUCT(($I36:$AF36&lt;&gt;0)*($I$2:$AF$2&gt;C36)))</f>
        <v>0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H36" s="25" t="str">
        <f aca="false">IF(OR(C36="",AH$2&gt;C36,E36=0),"",IF(D36=0,1/C36,N(I36)/E36))</f>
        <v/>
      </c>
      <c r="AI36" s="25" t="str">
        <f aca="false">IF(OR(C36="",AI$2&gt;C36,E36=0),"",IF(D36=0,1/C36,N(J36)/E36))</f>
        <v/>
      </c>
      <c r="AJ36" s="25" t="str">
        <f aca="false">IF(OR(C36="",AJ$2&gt;C36,E36=0),"",IF(D36=0,1/C36,N(K36)/E36))</f>
        <v/>
      </c>
      <c r="AK36" s="25" t="str">
        <f aca="false">IF(OR(C36="",AK$2&gt;C36,E36=0),"",IF(D36=0,1/C36,N(L36)/E36))</f>
        <v/>
      </c>
      <c r="AL36" s="25" t="str">
        <f aca="false">IF(OR(C36="",AL$2&gt;C36,E36=0),"",IF(D36=0,1/C36,N(M36)/E36))</f>
        <v/>
      </c>
      <c r="AM36" s="25" t="str">
        <f aca="false">IF(OR(C36="",AM$2&gt;C36,E36=0),"",IF(D36=0,1/C36,N(N36)/E36))</f>
        <v/>
      </c>
      <c r="AN36" s="25" t="str">
        <f aca="false">IF(OR(C36="",AN$2&gt;C36,E36=0),"",IF(D36=0,1/C36,N(O36)/E36))</f>
        <v/>
      </c>
      <c r="AO36" s="25" t="str">
        <f aca="false">IF(OR(C36="",AO$2&gt;C36,E36=0),"",IF(D36=0,1/C36,N(P36)/E36))</f>
        <v/>
      </c>
      <c r="AP36" s="25" t="str">
        <f aca="false">IF(OR(C36="",AP$2&gt;C36,E36=0),"",IF(D36=0,1/C36,N(Q36)/E36))</f>
        <v/>
      </c>
      <c r="AQ36" s="25" t="str">
        <f aca="false">IF(OR(C36="",AQ$2&gt;C36,E36=0),"",IF(D36=0,1/C36,N(R36)/E36))</f>
        <v/>
      </c>
      <c r="AR36" s="25" t="str">
        <f aca="false">IF(OR(C36="",AR$2&gt;C36,E36=0),"",IF(D36=0,1/C36,N(S36)/E36))</f>
        <v/>
      </c>
      <c r="AS36" s="25" t="str">
        <f aca="false">IF(OR(C36="",AS$2&gt;C36,E36=0),"",IF(D36=0,1/C36,N(T36)/E36))</f>
        <v/>
      </c>
      <c r="AT36" s="25" t="str">
        <f aca="false">IF(OR(C36="",AT$2&gt;C36,E36=0),"",IF(D36=0,1/C36,N(U36)/E36))</f>
        <v/>
      </c>
      <c r="AU36" s="25" t="str">
        <f aca="false">IF(OR(C36="",AU$2&gt;C36,E36=0),"",IF(D36=0,1/C36,N(V36)/E36))</f>
        <v/>
      </c>
      <c r="AV36" s="25" t="str">
        <f aca="false">IF(OR(C36="",AV$2&gt;C36,E36=0),"",IF(D36=0,1/C36,N(W36)/E36))</f>
        <v/>
      </c>
      <c r="AW36" s="25" t="str">
        <f aca="false">IF(OR(C36="",AW$2&gt;C36,E36=0),"",IF(D36=0,1/C36,N(X36)/E36))</f>
        <v/>
      </c>
      <c r="AX36" s="25" t="str">
        <f aca="false">IF(OR(C36="",AX$2&gt;C36,E36=0),"",IF(D36=0,1/C36,N(Y36)/E36))</f>
        <v/>
      </c>
      <c r="AY36" s="25" t="str">
        <f aca="false">IF(OR(C36="",AY$2&gt;C36,E36=0),"",IF(D36=0,1/C36,N(Z36)/E36))</f>
        <v/>
      </c>
      <c r="AZ36" s="25" t="str">
        <f aca="false">IF(OR(C36="",AZ$2&gt;C36,E36=0),"",IF(D36=0,1/C36,N(AA36)/E36))</f>
        <v/>
      </c>
      <c r="BA36" s="25" t="str">
        <f aca="false">IF(OR(C36="",BA$2&gt;C36,E36=0),"",IF(D36=0,1/C36,N(AB36)/E36))</f>
        <v/>
      </c>
      <c r="BB36" s="25" t="str">
        <f aca="false">IF(OR(C36="",BB$2&gt;C36,E36=0),"",IF(D36=0,1/C36,N(AC36)/E36))</f>
        <v/>
      </c>
      <c r="BC36" s="25" t="str">
        <f aca="false">IF(OR(C36="",BC$2&gt;C36,E36=0),"",IF(D36=0,1/C36,N(AD36)/E36))</f>
        <v/>
      </c>
      <c r="BD36" s="25" t="str">
        <f aca="false">IF(OR(C36="",BD$2&gt;C36,E36=0),"",IF(D36=0,1/C36,N(AE36)/E36))</f>
        <v/>
      </c>
      <c r="BE36" s="25" t="str">
        <f aca="false">IF(OR(C36="",BE$2&gt;C36,E36=0),"",IF(D36=0,1/C36,N(AF36)/E36))</f>
        <v/>
      </c>
      <c r="BF36" s="26" t="str">
        <f aca="false">IF(C36="","",SUM(AH36:BE36))</f>
        <v/>
      </c>
    </row>
    <row r="37" customFormat="false" ht="15" hidden="false" customHeight="false" outlineLevel="0" collapsed="false">
      <c r="A37" s="11" t="n">
        <v>32</v>
      </c>
      <c r="B37" s="21" t="str">
        <f aca="false">IF(Projects!B37="","",Projects!B37)</f>
        <v/>
      </c>
      <c r="C37" s="22" t="str">
        <f aca="false">IF(Projects!E37="","",Projects!E37)</f>
        <v/>
      </c>
      <c r="D37" s="23" t="n">
        <f aca="false">COUNT($I37:$AF37)</f>
        <v>0</v>
      </c>
      <c r="E37" s="23" t="n">
        <f aca="false">IF(C37="",0,IF(D37=0,C37,SUMPRODUCT($I37:$AF37*($I$2:$AF$2&lt;=C37))))</f>
        <v>0</v>
      </c>
      <c r="F37" s="23" t="n">
        <f aca="false">IF(OR(C37="",Projects!D37=""),1,MAX(1,((YEAR(Projects!$C$2)-YEAR(Projects!D37))*12+MONTH(Projects!$C$2)-MONTH(Projects!D37)+1)+1))</f>
        <v>1</v>
      </c>
      <c r="G37" s="23" t="n">
        <f aca="false">IF(C37="",0,IF(D37=0,MAX(0,C37-F37+1),SUMPRODUCT($I37:$AF37*($I$2:$AF$2&gt;=F37)*($I$2:$AF$2&lt;=C37))))</f>
        <v>0</v>
      </c>
      <c r="H37" s="23" t="n">
        <f aca="false">IF(C37="",0,SUMPRODUCT(($I37:$AF37&lt;&gt;0)*($I$2:$AF$2&gt;C37)))</f>
        <v>0</v>
      </c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H37" s="25" t="str">
        <f aca="false">IF(OR(C37="",AH$2&gt;C37,E37=0),"",IF(D37=0,1/C37,N(I37)/E37))</f>
        <v/>
      </c>
      <c r="AI37" s="25" t="str">
        <f aca="false">IF(OR(C37="",AI$2&gt;C37,E37=0),"",IF(D37=0,1/C37,N(J37)/E37))</f>
        <v/>
      </c>
      <c r="AJ37" s="25" t="str">
        <f aca="false">IF(OR(C37="",AJ$2&gt;C37,E37=0),"",IF(D37=0,1/C37,N(K37)/E37))</f>
        <v/>
      </c>
      <c r="AK37" s="25" t="str">
        <f aca="false">IF(OR(C37="",AK$2&gt;C37,E37=0),"",IF(D37=0,1/C37,N(L37)/E37))</f>
        <v/>
      </c>
      <c r="AL37" s="25" t="str">
        <f aca="false">IF(OR(C37="",AL$2&gt;C37,E37=0),"",IF(D37=0,1/C37,N(M37)/E37))</f>
        <v/>
      </c>
      <c r="AM37" s="25" t="str">
        <f aca="false">IF(OR(C37="",AM$2&gt;C37,E37=0),"",IF(D37=0,1/C37,N(N37)/E37))</f>
        <v/>
      </c>
      <c r="AN37" s="25" t="str">
        <f aca="false">IF(OR(C37="",AN$2&gt;C37,E37=0),"",IF(D37=0,1/C37,N(O37)/E37))</f>
        <v/>
      </c>
      <c r="AO37" s="25" t="str">
        <f aca="false">IF(OR(C37="",AO$2&gt;C37,E37=0),"",IF(D37=0,1/C37,N(P37)/E37))</f>
        <v/>
      </c>
      <c r="AP37" s="25" t="str">
        <f aca="false">IF(OR(C37="",AP$2&gt;C37,E37=0),"",IF(D37=0,1/C37,N(Q37)/E37))</f>
        <v/>
      </c>
      <c r="AQ37" s="25" t="str">
        <f aca="false">IF(OR(C37="",AQ$2&gt;C37,E37=0),"",IF(D37=0,1/C37,N(R37)/E37))</f>
        <v/>
      </c>
      <c r="AR37" s="25" t="str">
        <f aca="false">IF(OR(C37="",AR$2&gt;C37,E37=0),"",IF(D37=0,1/C37,N(S37)/E37))</f>
        <v/>
      </c>
      <c r="AS37" s="25" t="str">
        <f aca="false">IF(OR(C37="",AS$2&gt;C37,E37=0),"",IF(D37=0,1/C37,N(T37)/E37))</f>
        <v/>
      </c>
      <c r="AT37" s="25" t="str">
        <f aca="false">IF(OR(C37="",AT$2&gt;C37,E37=0),"",IF(D37=0,1/C37,N(U37)/E37))</f>
        <v/>
      </c>
      <c r="AU37" s="25" t="str">
        <f aca="false">IF(OR(C37="",AU$2&gt;C37,E37=0),"",IF(D37=0,1/C37,N(V37)/E37))</f>
        <v/>
      </c>
      <c r="AV37" s="25" t="str">
        <f aca="false">IF(OR(C37="",AV$2&gt;C37,E37=0),"",IF(D37=0,1/C37,N(W37)/E37))</f>
        <v/>
      </c>
      <c r="AW37" s="25" t="str">
        <f aca="false">IF(OR(C37="",AW$2&gt;C37,E37=0),"",IF(D37=0,1/C37,N(X37)/E37))</f>
        <v/>
      </c>
      <c r="AX37" s="25" t="str">
        <f aca="false">IF(OR(C37="",AX$2&gt;C37,E37=0),"",IF(D37=0,1/C37,N(Y37)/E37))</f>
        <v/>
      </c>
      <c r="AY37" s="25" t="str">
        <f aca="false">IF(OR(C37="",AY$2&gt;C37,E37=0),"",IF(D37=0,1/C37,N(Z37)/E37))</f>
        <v/>
      </c>
      <c r="AZ37" s="25" t="str">
        <f aca="false">IF(OR(C37="",AZ$2&gt;C37,E37=0),"",IF(D37=0,1/C37,N(AA37)/E37))</f>
        <v/>
      </c>
      <c r="BA37" s="25" t="str">
        <f aca="false">IF(OR(C37="",BA$2&gt;C37,E37=0),"",IF(D37=0,1/C37,N(AB37)/E37))</f>
        <v/>
      </c>
      <c r="BB37" s="25" t="str">
        <f aca="false">IF(OR(C37="",BB$2&gt;C37,E37=0),"",IF(D37=0,1/C37,N(AC37)/E37))</f>
        <v/>
      </c>
      <c r="BC37" s="25" t="str">
        <f aca="false">IF(OR(C37="",BC$2&gt;C37,E37=0),"",IF(D37=0,1/C37,N(AD37)/E37))</f>
        <v/>
      </c>
      <c r="BD37" s="25" t="str">
        <f aca="false">IF(OR(C37="",BD$2&gt;C37,E37=0),"",IF(D37=0,1/C37,N(AE37)/E37))</f>
        <v/>
      </c>
      <c r="BE37" s="25" t="str">
        <f aca="false">IF(OR(C37="",BE$2&gt;C37,E37=0),"",IF(D37=0,1/C37,N(AF37)/E37))</f>
        <v/>
      </c>
      <c r="BF37" s="26" t="str">
        <f aca="false">IF(C37="","",SUM(AH37:BE37))</f>
        <v/>
      </c>
    </row>
    <row r="38" customFormat="false" ht="15" hidden="false" customHeight="false" outlineLevel="0" collapsed="false">
      <c r="A38" s="11" t="n">
        <v>33</v>
      </c>
      <c r="B38" s="21" t="str">
        <f aca="false">IF(Projects!B38="","",Projects!B38)</f>
        <v/>
      </c>
      <c r="C38" s="22" t="str">
        <f aca="false">IF(Projects!E38="","",Projects!E38)</f>
        <v/>
      </c>
      <c r="D38" s="23" t="n">
        <f aca="false">COUNT($I38:$AF38)</f>
        <v>0</v>
      </c>
      <c r="E38" s="23" t="n">
        <f aca="false">IF(C38="",0,IF(D38=0,C38,SUMPRODUCT($I38:$AF38*($I$2:$AF$2&lt;=C38))))</f>
        <v>0</v>
      </c>
      <c r="F38" s="23" t="n">
        <f aca="false">IF(OR(C38="",Projects!D38=""),1,MAX(1,((YEAR(Projects!$C$2)-YEAR(Projects!D38))*12+MONTH(Projects!$C$2)-MONTH(Projects!D38)+1)+1))</f>
        <v>1</v>
      </c>
      <c r="G38" s="23" t="n">
        <f aca="false">IF(C38="",0,IF(D38=0,MAX(0,C38-F38+1),SUMPRODUCT($I38:$AF38*($I$2:$AF$2&gt;=F38)*($I$2:$AF$2&lt;=C38))))</f>
        <v>0</v>
      </c>
      <c r="H38" s="23" t="n">
        <f aca="false">IF(C38="",0,SUMPRODUCT(($I38:$AF38&lt;&gt;0)*($I$2:$AF$2&gt;C38)))</f>
        <v>0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H38" s="25" t="str">
        <f aca="false">IF(OR(C38="",AH$2&gt;C38,E38=0),"",IF(D38=0,1/C38,N(I38)/E38))</f>
        <v/>
      </c>
      <c r="AI38" s="25" t="str">
        <f aca="false">IF(OR(C38="",AI$2&gt;C38,E38=0),"",IF(D38=0,1/C38,N(J38)/E38))</f>
        <v/>
      </c>
      <c r="AJ38" s="25" t="str">
        <f aca="false">IF(OR(C38="",AJ$2&gt;C38,E38=0),"",IF(D38=0,1/C38,N(K38)/E38))</f>
        <v/>
      </c>
      <c r="AK38" s="25" t="str">
        <f aca="false">IF(OR(C38="",AK$2&gt;C38,E38=0),"",IF(D38=0,1/C38,N(L38)/E38))</f>
        <v/>
      </c>
      <c r="AL38" s="25" t="str">
        <f aca="false">IF(OR(C38="",AL$2&gt;C38,E38=0),"",IF(D38=0,1/C38,N(M38)/E38))</f>
        <v/>
      </c>
      <c r="AM38" s="25" t="str">
        <f aca="false">IF(OR(C38="",AM$2&gt;C38,E38=0),"",IF(D38=0,1/C38,N(N38)/E38))</f>
        <v/>
      </c>
      <c r="AN38" s="25" t="str">
        <f aca="false">IF(OR(C38="",AN$2&gt;C38,E38=0),"",IF(D38=0,1/C38,N(O38)/E38))</f>
        <v/>
      </c>
      <c r="AO38" s="25" t="str">
        <f aca="false">IF(OR(C38="",AO$2&gt;C38,E38=0),"",IF(D38=0,1/C38,N(P38)/E38))</f>
        <v/>
      </c>
      <c r="AP38" s="25" t="str">
        <f aca="false">IF(OR(C38="",AP$2&gt;C38,E38=0),"",IF(D38=0,1/C38,N(Q38)/E38))</f>
        <v/>
      </c>
      <c r="AQ38" s="25" t="str">
        <f aca="false">IF(OR(C38="",AQ$2&gt;C38,E38=0),"",IF(D38=0,1/C38,N(R38)/E38))</f>
        <v/>
      </c>
      <c r="AR38" s="25" t="str">
        <f aca="false">IF(OR(C38="",AR$2&gt;C38,E38=0),"",IF(D38=0,1/C38,N(S38)/E38))</f>
        <v/>
      </c>
      <c r="AS38" s="25" t="str">
        <f aca="false">IF(OR(C38="",AS$2&gt;C38,E38=0),"",IF(D38=0,1/C38,N(T38)/E38))</f>
        <v/>
      </c>
      <c r="AT38" s="25" t="str">
        <f aca="false">IF(OR(C38="",AT$2&gt;C38,E38=0),"",IF(D38=0,1/C38,N(U38)/E38))</f>
        <v/>
      </c>
      <c r="AU38" s="25" t="str">
        <f aca="false">IF(OR(C38="",AU$2&gt;C38,E38=0),"",IF(D38=0,1/C38,N(V38)/E38))</f>
        <v/>
      </c>
      <c r="AV38" s="25" t="str">
        <f aca="false">IF(OR(C38="",AV$2&gt;C38,E38=0),"",IF(D38=0,1/C38,N(W38)/E38))</f>
        <v/>
      </c>
      <c r="AW38" s="25" t="str">
        <f aca="false">IF(OR(C38="",AW$2&gt;C38,E38=0),"",IF(D38=0,1/C38,N(X38)/E38))</f>
        <v/>
      </c>
      <c r="AX38" s="25" t="str">
        <f aca="false">IF(OR(C38="",AX$2&gt;C38,E38=0),"",IF(D38=0,1/C38,N(Y38)/E38))</f>
        <v/>
      </c>
      <c r="AY38" s="25" t="str">
        <f aca="false">IF(OR(C38="",AY$2&gt;C38,E38=0),"",IF(D38=0,1/C38,N(Z38)/E38))</f>
        <v/>
      </c>
      <c r="AZ38" s="25" t="str">
        <f aca="false">IF(OR(C38="",AZ$2&gt;C38,E38=0),"",IF(D38=0,1/C38,N(AA38)/E38))</f>
        <v/>
      </c>
      <c r="BA38" s="25" t="str">
        <f aca="false">IF(OR(C38="",BA$2&gt;C38,E38=0),"",IF(D38=0,1/C38,N(AB38)/E38))</f>
        <v/>
      </c>
      <c r="BB38" s="25" t="str">
        <f aca="false">IF(OR(C38="",BB$2&gt;C38,E38=0),"",IF(D38=0,1/C38,N(AC38)/E38))</f>
        <v/>
      </c>
      <c r="BC38" s="25" t="str">
        <f aca="false">IF(OR(C38="",BC$2&gt;C38,E38=0),"",IF(D38=0,1/C38,N(AD38)/E38))</f>
        <v/>
      </c>
      <c r="BD38" s="25" t="str">
        <f aca="false">IF(OR(C38="",BD$2&gt;C38,E38=0),"",IF(D38=0,1/C38,N(AE38)/E38))</f>
        <v/>
      </c>
      <c r="BE38" s="25" t="str">
        <f aca="false">IF(OR(C38="",BE$2&gt;C38,E38=0),"",IF(D38=0,1/C38,N(AF38)/E38))</f>
        <v/>
      </c>
      <c r="BF38" s="26" t="str">
        <f aca="false">IF(C38="","",SUM(AH38:BE38))</f>
        <v/>
      </c>
    </row>
    <row r="39" customFormat="false" ht="15" hidden="false" customHeight="false" outlineLevel="0" collapsed="false">
      <c r="A39" s="11" t="n">
        <v>34</v>
      </c>
      <c r="B39" s="21" t="str">
        <f aca="false">IF(Projects!B39="","",Projects!B39)</f>
        <v/>
      </c>
      <c r="C39" s="22" t="str">
        <f aca="false">IF(Projects!E39="","",Projects!E39)</f>
        <v/>
      </c>
      <c r="D39" s="23" t="n">
        <f aca="false">COUNT($I39:$AF39)</f>
        <v>0</v>
      </c>
      <c r="E39" s="23" t="n">
        <f aca="false">IF(C39="",0,IF(D39=0,C39,SUMPRODUCT($I39:$AF39*($I$2:$AF$2&lt;=C39))))</f>
        <v>0</v>
      </c>
      <c r="F39" s="23" t="n">
        <f aca="false">IF(OR(C39="",Projects!D39=""),1,MAX(1,((YEAR(Projects!$C$2)-YEAR(Projects!D39))*12+MONTH(Projects!$C$2)-MONTH(Projects!D39)+1)+1))</f>
        <v>1</v>
      </c>
      <c r="G39" s="23" t="n">
        <f aca="false">IF(C39="",0,IF(D39=0,MAX(0,C39-F39+1),SUMPRODUCT($I39:$AF39*($I$2:$AF$2&gt;=F39)*($I$2:$AF$2&lt;=C39))))</f>
        <v>0</v>
      </c>
      <c r="H39" s="23" t="n">
        <f aca="false">IF(C39="",0,SUMPRODUCT(($I39:$AF39&lt;&gt;0)*($I$2:$AF$2&gt;C39)))</f>
        <v>0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H39" s="25" t="str">
        <f aca="false">IF(OR(C39="",AH$2&gt;C39,E39=0),"",IF(D39=0,1/C39,N(I39)/E39))</f>
        <v/>
      </c>
      <c r="AI39" s="25" t="str">
        <f aca="false">IF(OR(C39="",AI$2&gt;C39,E39=0),"",IF(D39=0,1/C39,N(J39)/E39))</f>
        <v/>
      </c>
      <c r="AJ39" s="25" t="str">
        <f aca="false">IF(OR(C39="",AJ$2&gt;C39,E39=0),"",IF(D39=0,1/C39,N(K39)/E39))</f>
        <v/>
      </c>
      <c r="AK39" s="25" t="str">
        <f aca="false">IF(OR(C39="",AK$2&gt;C39,E39=0),"",IF(D39=0,1/C39,N(L39)/E39))</f>
        <v/>
      </c>
      <c r="AL39" s="25" t="str">
        <f aca="false">IF(OR(C39="",AL$2&gt;C39,E39=0),"",IF(D39=0,1/C39,N(M39)/E39))</f>
        <v/>
      </c>
      <c r="AM39" s="25" t="str">
        <f aca="false">IF(OR(C39="",AM$2&gt;C39,E39=0),"",IF(D39=0,1/C39,N(N39)/E39))</f>
        <v/>
      </c>
      <c r="AN39" s="25" t="str">
        <f aca="false">IF(OR(C39="",AN$2&gt;C39,E39=0),"",IF(D39=0,1/C39,N(O39)/E39))</f>
        <v/>
      </c>
      <c r="AO39" s="25" t="str">
        <f aca="false">IF(OR(C39="",AO$2&gt;C39,E39=0),"",IF(D39=0,1/C39,N(P39)/E39))</f>
        <v/>
      </c>
      <c r="AP39" s="25" t="str">
        <f aca="false">IF(OR(C39="",AP$2&gt;C39,E39=0),"",IF(D39=0,1/C39,N(Q39)/E39))</f>
        <v/>
      </c>
      <c r="AQ39" s="25" t="str">
        <f aca="false">IF(OR(C39="",AQ$2&gt;C39,E39=0),"",IF(D39=0,1/C39,N(R39)/E39))</f>
        <v/>
      </c>
      <c r="AR39" s="25" t="str">
        <f aca="false">IF(OR(C39="",AR$2&gt;C39,E39=0),"",IF(D39=0,1/C39,N(S39)/E39))</f>
        <v/>
      </c>
      <c r="AS39" s="25" t="str">
        <f aca="false">IF(OR(C39="",AS$2&gt;C39,E39=0),"",IF(D39=0,1/C39,N(T39)/E39))</f>
        <v/>
      </c>
      <c r="AT39" s="25" t="str">
        <f aca="false">IF(OR(C39="",AT$2&gt;C39,E39=0),"",IF(D39=0,1/C39,N(U39)/E39))</f>
        <v/>
      </c>
      <c r="AU39" s="25" t="str">
        <f aca="false">IF(OR(C39="",AU$2&gt;C39,E39=0),"",IF(D39=0,1/C39,N(V39)/E39))</f>
        <v/>
      </c>
      <c r="AV39" s="25" t="str">
        <f aca="false">IF(OR(C39="",AV$2&gt;C39,E39=0),"",IF(D39=0,1/C39,N(W39)/E39))</f>
        <v/>
      </c>
      <c r="AW39" s="25" t="str">
        <f aca="false">IF(OR(C39="",AW$2&gt;C39,E39=0),"",IF(D39=0,1/C39,N(X39)/E39))</f>
        <v/>
      </c>
      <c r="AX39" s="25" t="str">
        <f aca="false">IF(OR(C39="",AX$2&gt;C39,E39=0),"",IF(D39=0,1/C39,N(Y39)/E39))</f>
        <v/>
      </c>
      <c r="AY39" s="25" t="str">
        <f aca="false">IF(OR(C39="",AY$2&gt;C39,E39=0),"",IF(D39=0,1/C39,N(Z39)/E39))</f>
        <v/>
      </c>
      <c r="AZ39" s="25" t="str">
        <f aca="false">IF(OR(C39="",AZ$2&gt;C39,E39=0),"",IF(D39=0,1/C39,N(AA39)/E39))</f>
        <v/>
      </c>
      <c r="BA39" s="25" t="str">
        <f aca="false">IF(OR(C39="",BA$2&gt;C39,E39=0),"",IF(D39=0,1/C39,N(AB39)/E39))</f>
        <v/>
      </c>
      <c r="BB39" s="25" t="str">
        <f aca="false">IF(OR(C39="",BB$2&gt;C39,E39=0),"",IF(D39=0,1/C39,N(AC39)/E39))</f>
        <v/>
      </c>
      <c r="BC39" s="25" t="str">
        <f aca="false">IF(OR(C39="",BC$2&gt;C39,E39=0),"",IF(D39=0,1/C39,N(AD39)/E39))</f>
        <v/>
      </c>
      <c r="BD39" s="25" t="str">
        <f aca="false">IF(OR(C39="",BD$2&gt;C39,E39=0),"",IF(D39=0,1/C39,N(AE39)/E39))</f>
        <v/>
      </c>
      <c r="BE39" s="25" t="str">
        <f aca="false">IF(OR(C39="",BE$2&gt;C39,E39=0),"",IF(D39=0,1/C39,N(AF39)/E39))</f>
        <v/>
      </c>
      <c r="BF39" s="26" t="str">
        <f aca="false">IF(C39="","",SUM(AH39:BE39))</f>
        <v/>
      </c>
    </row>
    <row r="40" customFormat="false" ht="15" hidden="false" customHeight="false" outlineLevel="0" collapsed="false">
      <c r="A40" s="11" t="n">
        <v>35</v>
      </c>
      <c r="B40" s="21" t="str">
        <f aca="false">IF(Projects!B40="","",Projects!B40)</f>
        <v/>
      </c>
      <c r="C40" s="22" t="str">
        <f aca="false">IF(Projects!E40="","",Projects!E40)</f>
        <v/>
      </c>
      <c r="D40" s="23" t="n">
        <f aca="false">COUNT($I40:$AF40)</f>
        <v>0</v>
      </c>
      <c r="E40" s="23" t="n">
        <f aca="false">IF(C40="",0,IF(D40=0,C40,SUMPRODUCT($I40:$AF40*($I$2:$AF$2&lt;=C40))))</f>
        <v>0</v>
      </c>
      <c r="F40" s="23" t="n">
        <f aca="false">IF(OR(C40="",Projects!D40=""),1,MAX(1,((YEAR(Projects!$C$2)-YEAR(Projects!D40))*12+MONTH(Projects!$C$2)-MONTH(Projects!D40)+1)+1))</f>
        <v>1</v>
      </c>
      <c r="G40" s="23" t="n">
        <f aca="false">IF(C40="",0,IF(D40=0,MAX(0,C40-F40+1),SUMPRODUCT($I40:$AF40*($I$2:$AF$2&gt;=F40)*($I$2:$AF$2&lt;=C40))))</f>
        <v>0</v>
      </c>
      <c r="H40" s="23" t="n">
        <f aca="false">IF(C40="",0,SUMPRODUCT(($I40:$AF40&lt;&gt;0)*($I$2:$AF$2&gt;C40)))</f>
        <v>0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H40" s="25" t="str">
        <f aca="false">IF(OR(C40="",AH$2&gt;C40,E40=0),"",IF(D40=0,1/C40,N(I40)/E40))</f>
        <v/>
      </c>
      <c r="AI40" s="25" t="str">
        <f aca="false">IF(OR(C40="",AI$2&gt;C40,E40=0),"",IF(D40=0,1/C40,N(J40)/E40))</f>
        <v/>
      </c>
      <c r="AJ40" s="25" t="str">
        <f aca="false">IF(OR(C40="",AJ$2&gt;C40,E40=0),"",IF(D40=0,1/C40,N(K40)/E40))</f>
        <v/>
      </c>
      <c r="AK40" s="25" t="str">
        <f aca="false">IF(OR(C40="",AK$2&gt;C40,E40=0),"",IF(D40=0,1/C40,N(L40)/E40))</f>
        <v/>
      </c>
      <c r="AL40" s="25" t="str">
        <f aca="false">IF(OR(C40="",AL$2&gt;C40,E40=0),"",IF(D40=0,1/C40,N(M40)/E40))</f>
        <v/>
      </c>
      <c r="AM40" s="25" t="str">
        <f aca="false">IF(OR(C40="",AM$2&gt;C40,E40=0),"",IF(D40=0,1/C40,N(N40)/E40))</f>
        <v/>
      </c>
      <c r="AN40" s="25" t="str">
        <f aca="false">IF(OR(C40="",AN$2&gt;C40,E40=0),"",IF(D40=0,1/C40,N(O40)/E40))</f>
        <v/>
      </c>
      <c r="AO40" s="25" t="str">
        <f aca="false">IF(OR(C40="",AO$2&gt;C40,E40=0),"",IF(D40=0,1/C40,N(P40)/E40))</f>
        <v/>
      </c>
      <c r="AP40" s="25" t="str">
        <f aca="false">IF(OR(C40="",AP$2&gt;C40,E40=0),"",IF(D40=0,1/C40,N(Q40)/E40))</f>
        <v/>
      </c>
      <c r="AQ40" s="25" t="str">
        <f aca="false">IF(OR(C40="",AQ$2&gt;C40,E40=0),"",IF(D40=0,1/C40,N(R40)/E40))</f>
        <v/>
      </c>
      <c r="AR40" s="25" t="str">
        <f aca="false">IF(OR(C40="",AR$2&gt;C40,E40=0),"",IF(D40=0,1/C40,N(S40)/E40))</f>
        <v/>
      </c>
      <c r="AS40" s="25" t="str">
        <f aca="false">IF(OR(C40="",AS$2&gt;C40,E40=0),"",IF(D40=0,1/C40,N(T40)/E40))</f>
        <v/>
      </c>
      <c r="AT40" s="25" t="str">
        <f aca="false">IF(OR(C40="",AT$2&gt;C40,E40=0),"",IF(D40=0,1/C40,N(U40)/E40))</f>
        <v/>
      </c>
      <c r="AU40" s="25" t="str">
        <f aca="false">IF(OR(C40="",AU$2&gt;C40,E40=0),"",IF(D40=0,1/C40,N(V40)/E40))</f>
        <v/>
      </c>
      <c r="AV40" s="25" t="str">
        <f aca="false">IF(OR(C40="",AV$2&gt;C40,E40=0),"",IF(D40=0,1/C40,N(W40)/E40))</f>
        <v/>
      </c>
      <c r="AW40" s="25" t="str">
        <f aca="false">IF(OR(C40="",AW$2&gt;C40,E40=0),"",IF(D40=0,1/C40,N(X40)/E40))</f>
        <v/>
      </c>
      <c r="AX40" s="25" t="str">
        <f aca="false">IF(OR(C40="",AX$2&gt;C40,E40=0),"",IF(D40=0,1/C40,N(Y40)/E40))</f>
        <v/>
      </c>
      <c r="AY40" s="25" t="str">
        <f aca="false">IF(OR(C40="",AY$2&gt;C40,E40=0),"",IF(D40=0,1/C40,N(Z40)/E40))</f>
        <v/>
      </c>
      <c r="AZ40" s="25" t="str">
        <f aca="false">IF(OR(C40="",AZ$2&gt;C40,E40=0),"",IF(D40=0,1/C40,N(AA40)/E40))</f>
        <v/>
      </c>
      <c r="BA40" s="25" t="str">
        <f aca="false">IF(OR(C40="",BA$2&gt;C40,E40=0),"",IF(D40=0,1/C40,N(AB40)/E40))</f>
        <v/>
      </c>
      <c r="BB40" s="25" t="str">
        <f aca="false">IF(OR(C40="",BB$2&gt;C40,E40=0),"",IF(D40=0,1/C40,N(AC40)/E40))</f>
        <v/>
      </c>
      <c r="BC40" s="25" t="str">
        <f aca="false">IF(OR(C40="",BC$2&gt;C40,E40=0),"",IF(D40=0,1/C40,N(AD40)/E40))</f>
        <v/>
      </c>
      <c r="BD40" s="25" t="str">
        <f aca="false">IF(OR(C40="",BD$2&gt;C40,E40=0),"",IF(D40=0,1/C40,N(AE40)/E40))</f>
        <v/>
      </c>
      <c r="BE40" s="25" t="str">
        <f aca="false">IF(OR(C40="",BE$2&gt;C40,E40=0),"",IF(D40=0,1/C40,N(AF40)/E40))</f>
        <v/>
      </c>
      <c r="BF40" s="26" t="str">
        <f aca="false">IF(C40="","",SUM(AH40:BE40))</f>
        <v/>
      </c>
    </row>
    <row r="41" customFormat="false" ht="15" hidden="false" customHeight="false" outlineLevel="0" collapsed="false">
      <c r="A41" s="11" t="n">
        <v>36</v>
      </c>
      <c r="B41" s="21" t="str">
        <f aca="false">IF(Projects!B41="","",Projects!B41)</f>
        <v/>
      </c>
      <c r="C41" s="22" t="str">
        <f aca="false">IF(Projects!E41="","",Projects!E41)</f>
        <v/>
      </c>
      <c r="D41" s="23" t="n">
        <f aca="false">COUNT($I41:$AF41)</f>
        <v>0</v>
      </c>
      <c r="E41" s="23" t="n">
        <f aca="false">IF(C41="",0,IF(D41=0,C41,SUMPRODUCT($I41:$AF41*($I$2:$AF$2&lt;=C41))))</f>
        <v>0</v>
      </c>
      <c r="F41" s="23" t="n">
        <f aca="false">IF(OR(C41="",Projects!D41=""),1,MAX(1,((YEAR(Projects!$C$2)-YEAR(Projects!D41))*12+MONTH(Projects!$C$2)-MONTH(Projects!D41)+1)+1))</f>
        <v>1</v>
      </c>
      <c r="G41" s="23" t="n">
        <f aca="false">IF(C41="",0,IF(D41=0,MAX(0,C41-F41+1),SUMPRODUCT($I41:$AF41*($I$2:$AF$2&gt;=F41)*($I$2:$AF$2&lt;=C41))))</f>
        <v>0</v>
      </c>
      <c r="H41" s="23" t="n">
        <f aca="false">IF(C41="",0,SUMPRODUCT(($I41:$AF41&lt;&gt;0)*($I$2:$AF$2&gt;C41)))</f>
        <v>0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H41" s="25" t="str">
        <f aca="false">IF(OR(C41="",AH$2&gt;C41,E41=0),"",IF(D41=0,1/C41,N(I41)/E41))</f>
        <v/>
      </c>
      <c r="AI41" s="25" t="str">
        <f aca="false">IF(OR(C41="",AI$2&gt;C41,E41=0),"",IF(D41=0,1/C41,N(J41)/E41))</f>
        <v/>
      </c>
      <c r="AJ41" s="25" t="str">
        <f aca="false">IF(OR(C41="",AJ$2&gt;C41,E41=0),"",IF(D41=0,1/C41,N(K41)/E41))</f>
        <v/>
      </c>
      <c r="AK41" s="25" t="str">
        <f aca="false">IF(OR(C41="",AK$2&gt;C41,E41=0),"",IF(D41=0,1/C41,N(L41)/E41))</f>
        <v/>
      </c>
      <c r="AL41" s="25" t="str">
        <f aca="false">IF(OR(C41="",AL$2&gt;C41,E41=0),"",IF(D41=0,1/C41,N(M41)/E41))</f>
        <v/>
      </c>
      <c r="AM41" s="25" t="str">
        <f aca="false">IF(OR(C41="",AM$2&gt;C41,E41=0),"",IF(D41=0,1/C41,N(N41)/E41))</f>
        <v/>
      </c>
      <c r="AN41" s="25" t="str">
        <f aca="false">IF(OR(C41="",AN$2&gt;C41,E41=0),"",IF(D41=0,1/C41,N(O41)/E41))</f>
        <v/>
      </c>
      <c r="AO41" s="25" t="str">
        <f aca="false">IF(OR(C41="",AO$2&gt;C41,E41=0),"",IF(D41=0,1/C41,N(P41)/E41))</f>
        <v/>
      </c>
      <c r="AP41" s="25" t="str">
        <f aca="false">IF(OR(C41="",AP$2&gt;C41,E41=0),"",IF(D41=0,1/C41,N(Q41)/E41))</f>
        <v/>
      </c>
      <c r="AQ41" s="25" t="str">
        <f aca="false">IF(OR(C41="",AQ$2&gt;C41,E41=0),"",IF(D41=0,1/C41,N(R41)/E41))</f>
        <v/>
      </c>
      <c r="AR41" s="25" t="str">
        <f aca="false">IF(OR(C41="",AR$2&gt;C41,E41=0),"",IF(D41=0,1/C41,N(S41)/E41))</f>
        <v/>
      </c>
      <c r="AS41" s="25" t="str">
        <f aca="false">IF(OR(C41="",AS$2&gt;C41,E41=0),"",IF(D41=0,1/C41,N(T41)/E41))</f>
        <v/>
      </c>
      <c r="AT41" s="25" t="str">
        <f aca="false">IF(OR(C41="",AT$2&gt;C41,E41=0),"",IF(D41=0,1/C41,N(U41)/E41))</f>
        <v/>
      </c>
      <c r="AU41" s="25" t="str">
        <f aca="false">IF(OR(C41="",AU$2&gt;C41,E41=0),"",IF(D41=0,1/C41,N(V41)/E41))</f>
        <v/>
      </c>
      <c r="AV41" s="25" t="str">
        <f aca="false">IF(OR(C41="",AV$2&gt;C41,E41=0),"",IF(D41=0,1/C41,N(W41)/E41))</f>
        <v/>
      </c>
      <c r="AW41" s="25" t="str">
        <f aca="false">IF(OR(C41="",AW$2&gt;C41,E41=0),"",IF(D41=0,1/C41,N(X41)/E41))</f>
        <v/>
      </c>
      <c r="AX41" s="25" t="str">
        <f aca="false">IF(OR(C41="",AX$2&gt;C41,E41=0),"",IF(D41=0,1/C41,N(Y41)/E41))</f>
        <v/>
      </c>
      <c r="AY41" s="25" t="str">
        <f aca="false">IF(OR(C41="",AY$2&gt;C41,E41=0),"",IF(D41=0,1/C41,N(Z41)/E41))</f>
        <v/>
      </c>
      <c r="AZ41" s="25" t="str">
        <f aca="false">IF(OR(C41="",AZ$2&gt;C41,E41=0),"",IF(D41=0,1/C41,N(AA41)/E41))</f>
        <v/>
      </c>
      <c r="BA41" s="25" t="str">
        <f aca="false">IF(OR(C41="",BA$2&gt;C41,E41=0),"",IF(D41=0,1/C41,N(AB41)/E41))</f>
        <v/>
      </c>
      <c r="BB41" s="25" t="str">
        <f aca="false">IF(OR(C41="",BB$2&gt;C41,E41=0),"",IF(D41=0,1/C41,N(AC41)/E41))</f>
        <v/>
      </c>
      <c r="BC41" s="25" t="str">
        <f aca="false">IF(OR(C41="",BC$2&gt;C41,E41=0),"",IF(D41=0,1/C41,N(AD41)/E41))</f>
        <v/>
      </c>
      <c r="BD41" s="25" t="str">
        <f aca="false">IF(OR(C41="",BD$2&gt;C41,E41=0),"",IF(D41=0,1/C41,N(AE41)/E41))</f>
        <v/>
      </c>
      <c r="BE41" s="25" t="str">
        <f aca="false">IF(OR(C41="",BE$2&gt;C41,E41=0),"",IF(D41=0,1/C41,N(AF41)/E41))</f>
        <v/>
      </c>
      <c r="BF41" s="26" t="str">
        <f aca="false">IF(C41="","",SUM(AH41:BE41))</f>
        <v/>
      </c>
    </row>
    <row r="42" customFormat="false" ht="15" hidden="false" customHeight="false" outlineLevel="0" collapsed="false">
      <c r="A42" s="11" t="n">
        <v>37</v>
      </c>
      <c r="B42" s="21" t="str">
        <f aca="false">IF(Projects!B42="","",Projects!B42)</f>
        <v/>
      </c>
      <c r="C42" s="22" t="str">
        <f aca="false">IF(Projects!E42="","",Projects!E42)</f>
        <v/>
      </c>
      <c r="D42" s="23" t="n">
        <f aca="false">COUNT($I42:$AF42)</f>
        <v>0</v>
      </c>
      <c r="E42" s="23" t="n">
        <f aca="false">IF(C42="",0,IF(D42=0,C42,SUMPRODUCT($I42:$AF42*($I$2:$AF$2&lt;=C42))))</f>
        <v>0</v>
      </c>
      <c r="F42" s="23" t="n">
        <f aca="false">IF(OR(C42="",Projects!D42=""),1,MAX(1,((YEAR(Projects!$C$2)-YEAR(Projects!D42))*12+MONTH(Projects!$C$2)-MONTH(Projects!D42)+1)+1))</f>
        <v>1</v>
      </c>
      <c r="G42" s="23" t="n">
        <f aca="false">IF(C42="",0,IF(D42=0,MAX(0,C42-F42+1),SUMPRODUCT($I42:$AF42*($I$2:$AF$2&gt;=F42)*($I$2:$AF$2&lt;=C42))))</f>
        <v>0</v>
      </c>
      <c r="H42" s="23" t="n">
        <f aca="false">IF(C42="",0,SUMPRODUCT(($I42:$AF42&lt;&gt;0)*($I$2:$AF$2&gt;C42)))</f>
        <v>0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H42" s="25" t="str">
        <f aca="false">IF(OR(C42="",AH$2&gt;C42,E42=0),"",IF(D42=0,1/C42,N(I42)/E42))</f>
        <v/>
      </c>
      <c r="AI42" s="25" t="str">
        <f aca="false">IF(OR(C42="",AI$2&gt;C42,E42=0),"",IF(D42=0,1/C42,N(J42)/E42))</f>
        <v/>
      </c>
      <c r="AJ42" s="25" t="str">
        <f aca="false">IF(OR(C42="",AJ$2&gt;C42,E42=0),"",IF(D42=0,1/C42,N(K42)/E42))</f>
        <v/>
      </c>
      <c r="AK42" s="25" t="str">
        <f aca="false">IF(OR(C42="",AK$2&gt;C42,E42=0),"",IF(D42=0,1/C42,N(L42)/E42))</f>
        <v/>
      </c>
      <c r="AL42" s="25" t="str">
        <f aca="false">IF(OR(C42="",AL$2&gt;C42,E42=0),"",IF(D42=0,1/C42,N(M42)/E42))</f>
        <v/>
      </c>
      <c r="AM42" s="25" t="str">
        <f aca="false">IF(OR(C42="",AM$2&gt;C42,E42=0),"",IF(D42=0,1/C42,N(N42)/E42))</f>
        <v/>
      </c>
      <c r="AN42" s="25" t="str">
        <f aca="false">IF(OR(C42="",AN$2&gt;C42,E42=0),"",IF(D42=0,1/C42,N(O42)/E42))</f>
        <v/>
      </c>
      <c r="AO42" s="25" t="str">
        <f aca="false">IF(OR(C42="",AO$2&gt;C42,E42=0),"",IF(D42=0,1/C42,N(P42)/E42))</f>
        <v/>
      </c>
      <c r="AP42" s="25" t="str">
        <f aca="false">IF(OR(C42="",AP$2&gt;C42,E42=0),"",IF(D42=0,1/C42,N(Q42)/E42))</f>
        <v/>
      </c>
      <c r="AQ42" s="25" t="str">
        <f aca="false">IF(OR(C42="",AQ$2&gt;C42,E42=0),"",IF(D42=0,1/C42,N(R42)/E42))</f>
        <v/>
      </c>
      <c r="AR42" s="25" t="str">
        <f aca="false">IF(OR(C42="",AR$2&gt;C42,E42=0),"",IF(D42=0,1/C42,N(S42)/E42))</f>
        <v/>
      </c>
      <c r="AS42" s="25" t="str">
        <f aca="false">IF(OR(C42="",AS$2&gt;C42,E42=0),"",IF(D42=0,1/C42,N(T42)/E42))</f>
        <v/>
      </c>
      <c r="AT42" s="25" t="str">
        <f aca="false">IF(OR(C42="",AT$2&gt;C42,E42=0),"",IF(D42=0,1/C42,N(U42)/E42))</f>
        <v/>
      </c>
      <c r="AU42" s="25" t="str">
        <f aca="false">IF(OR(C42="",AU$2&gt;C42,E42=0),"",IF(D42=0,1/C42,N(V42)/E42))</f>
        <v/>
      </c>
      <c r="AV42" s="25" t="str">
        <f aca="false">IF(OR(C42="",AV$2&gt;C42,E42=0),"",IF(D42=0,1/C42,N(W42)/E42))</f>
        <v/>
      </c>
      <c r="AW42" s="25" t="str">
        <f aca="false">IF(OR(C42="",AW$2&gt;C42,E42=0),"",IF(D42=0,1/C42,N(X42)/E42))</f>
        <v/>
      </c>
      <c r="AX42" s="25" t="str">
        <f aca="false">IF(OR(C42="",AX$2&gt;C42,E42=0),"",IF(D42=0,1/C42,N(Y42)/E42))</f>
        <v/>
      </c>
      <c r="AY42" s="25" t="str">
        <f aca="false">IF(OR(C42="",AY$2&gt;C42,E42=0),"",IF(D42=0,1/C42,N(Z42)/E42))</f>
        <v/>
      </c>
      <c r="AZ42" s="25" t="str">
        <f aca="false">IF(OR(C42="",AZ$2&gt;C42,E42=0),"",IF(D42=0,1/C42,N(AA42)/E42))</f>
        <v/>
      </c>
      <c r="BA42" s="25" t="str">
        <f aca="false">IF(OR(C42="",BA$2&gt;C42,E42=0),"",IF(D42=0,1/C42,N(AB42)/E42))</f>
        <v/>
      </c>
      <c r="BB42" s="25" t="str">
        <f aca="false">IF(OR(C42="",BB$2&gt;C42,E42=0),"",IF(D42=0,1/C42,N(AC42)/E42))</f>
        <v/>
      </c>
      <c r="BC42" s="25" t="str">
        <f aca="false">IF(OR(C42="",BC$2&gt;C42,E42=0),"",IF(D42=0,1/C42,N(AD42)/E42))</f>
        <v/>
      </c>
      <c r="BD42" s="25" t="str">
        <f aca="false">IF(OR(C42="",BD$2&gt;C42,E42=0),"",IF(D42=0,1/C42,N(AE42)/E42))</f>
        <v/>
      </c>
      <c r="BE42" s="25" t="str">
        <f aca="false">IF(OR(C42="",BE$2&gt;C42,E42=0),"",IF(D42=0,1/C42,N(AF42)/E42))</f>
        <v/>
      </c>
      <c r="BF42" s="26" t="str">
        <f aca="false">IF(C42="","",SUM(AH42:BE42))</f>
        <v/>
      </c>
    </row>
    <row r="43" customFormat="false" ht="15" hidden="false" customHeight="false" outlineLevel="0" collapsed="false">
      <c r="A43" s="11" t="n">
        <v>38</v>
      </c>
      <c r="B43" s="21" t="str">
        <f aca="false">IF(Projects!B43="","",Projects!B43)</f>
        <v/>
      </c>
      <c r="C43" s="22" t="str">
        <f aca="false">IF(Projects!E43="","",Projects!E43)</f>
        <v/>
      </c>
      <c r="D43" s="23" t="n">
        <f aca="false">COUNT($I43:$AF43)</f>
        <v>0</v>
      </c>
      <c r="E43" s="23" t="n">
        <f aca="false">IF(C43="",0,IF(D43=0,C43,SUMPRODUCT($I43:$AF43*($I$2:$AF$2&lt;=C43))))</f>
        <v>0</v>
      </c>
      <c r="F43" s="23" t="n">
        <f aca="false">IF(OR(C43="",Projects!D43=""),1,MAX(1,((YEAR(Projects!$C$2)-YEAR(Projects!D43))*12+MONTH(Projects!$C$2)-MONTH(Projects!D43)+1)+1))</f>
        <v>1</v>
      </c>
      <c r="G43" s="23" t="n">
        <f aca="false">IF(C43="",0,IF(D43=0,MAX(0,C43-F43+1),SUMPRODUCT($I43:$AF43*($I$2:$AF$2&gt;=F43)*($I$2:$AF$2&lt;=C43))))</f>
        <v>0</v>
      </c>
      <c r="H43" s="23" t="n">
        <f aca="false">IF(C43="",0,SUMPRODUCT(($I43:$AF43&lt;&gt;0)*($I$2:$AF$2&gt;C43)))</f>
        <v>0</v>
      </c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H43" s="25" t="str">
        <f aca="false">IF(OR(C43="",AH$2&gt;C43,E43=0),"",IF(D43=0,1/C43,N(I43)/E43))</f>
        <v/>
      </c>
      <c r="AI43" s="25" t="str">
        <f aca="false">IF(OR(C43="",AI$2&gt;C43,E43=0),"",IF(D43=0,1/C43,N(J43)/E43))</f>
        <v/>
      </c>
      <c r="AJ43" s="25" t="str">
        <f aca="false">IF(OR(C43="",AJ$2&gt;C43,E43=0),"",IF(D43=0,1/C43,N(K43)/E43))</f>
        <v/>
      </c>
      <c r="AK43" s="25" t="str">
        <f aca="false">IF(OR(C43="",AK$2&gt;C43,E43=0),"",IF(D43=0,1/C43,N(L43)/E43))</f>
        <v/>
      </c>
      <c r="AL43" s="25" t="str">
        <f aca="false">IF(OR(C43="",AL$2&gt;C43,E43=0),"",IF(D43=0,1/C43,N(M43)/E43))</f>
        <v/>
      </c>
      <c r="AM43" s="25" t="str">
        <f aca="false">IF(OR(C43="",AM$2&gt;C43,E43=0),"",IF(D43=0,1/C43,N(N43)/E43))</f>
        <v/>
      </c>
      <c r="AN43" s="25" t="str">
        <f aca="false">IF(OR(C43="",AN$2&gt;C43,E43=0),"",IF(D43=0,1/C43,N(O43)/E43))</f>
        <v/>
      </c>
      <c r="AO43" s="25" t="str">
        <f aca="false">IF(OR(C43="",AO$2&gt;C43,E43=0),"",IF(D43=0,1/C43,N(P43)/E43))</f>
        <v/>
      </c>
      <c r="AP43" s="25" t="str">
        <f aca="false">IF(OR(C43="",AP$2&gt;C43,E43=0),"",IF(D43=0,1/C43,N(Q43)/E43))</f>
        <v/>
      </c>
      <c r="AQ43" s="25" t="str">
        <f aca="false">IF(OR(C43="",AQ$2&gt;C43,E43=0),"",IF(D43=0,1/C43,N(R43)/E43))</f>
        <v/>
      </c>
      <c r="AR43" s="25" t="str">
        <f aca="false">IF(OR(C43="",AR$2&gt;C43,E43=0),"",IF(D43=0,1/C43,N(S43)/E43))</f>
        <v/>
      </c>
      <c r="AS43" s="25" t="str">
        <f aca="false">IF(OR(C43="",AS$2&gt;C43,E43=0),"",IF(D43=0,1/C43,N(T43)/E43))</f>
        <v/>
      </c>
      <c r="AT43" s="25" t="str">
        <f aca="false">IF(OR(C43="",AT$2&gt;C43,E43=0),"",IF(D43=0,1/C43,N(U43)/E43))</f>
        <v/>
      </c>
      <c r="AU43" s="25" t="str">
        <f aca="false">IF(OR(C43="",AU$2&gt;C43,E43=0),"",IF(D43=0,1/C43,N(V43)/E43))</f>
        <v/>
      </c>
      <c r="AV43" s="25" t="str">
        <f aca="false">IF(OR(C43="",AV$2&gt;C43,E43=0),"",IF(D43=0,1/C43,N(W43)/E43))</f>
        <v/>
      </c>
      <c r="AW43" s="25" t="str">
        <f aca="false">IF(OR(C43="",AW$2&gt;C43,E43=0),"",IF(D43=0,1/C43,N(X43)/E43))</f>
        <v/>
      </c>
      <c r="AX43" s="25" t="str">
        <f aca="false">IF(OR(C43="",AX$2&gt;C43,E43=0),"",IF(D43=0,1/C43,N(Y43)/E43))</f>
        <v/>
      </c>
      <c r="AY43" s="25" t="str">
        <f aca="false">IF(OR(C43="",AY$2&gt;C43,E43=0),"",IF(D43=0,1/C43,N(Z43)/E43))</f>
        <v/>
      </c>
      <c r="AZ43" s="25" t="str">
        <f aca="false">IF(OR(C43="",AZ$2&gt;C43,E43=0),"",IF(D43=0,1/C43,N(AA43)/E43))</f>
        <v/>
      </c>
      <c r="BA43" s="25" t="str">
        <f aca="false">IF(OR(C43="",BA$2&gt;C43,E43=0),"",IF(D43=0,1/C43,N(AB43)/E43))</f>
        <v/>
      </c>
      <c r="BB43" s="25" t="str">
        <f aca="false">IF(OR(C43="",BB$2&gt;C43,E43=0),"",IF(D43=0,1/C43,N(AC43)/E43))</f>
        <v/>
      </c>
      <c r="BC43" s="25" t="str">
        <f aca="false">IF(OR(C43="",BC$2&gt;C43,E43=0),"",IF(D43=0,1/C43,N(AD43)/E43))</f>
        <v/>
      </c>
      <c r="BD43" s="25" t="str">
        <f aca="false">IF(OR(C43="",BD$2&gt;C43,E43=0),"",IF(D43=0,1/C43,N(AE43)/E43))</f>
        <v/>
      </c>
      <c r="BE43" s="25" t="str">
        <f aca="false">IF(OR(C43="",BE$2&gt;C43,E43=0),"",IF(D43=0,1/C43,N(AF43)/E43))</f>
        <v/>
      </c>
      <c r="BF43" s="26" t="str">
        <f aca="false">IF(C43="","",SUM(AH43:BE43))</f>
        <v/>
      </c>
    </row>
    <row r="44" customFormat="false" ht="15" hidden="false" customHeight="false" outlineLevel="0" collapsed="false">
      <c r="A44" s="11" t="n">
        <v>39</v>
      </c>
      <c r="B44" s="21" t="str">
        <f aca="false">IF(Projects!B44="","",Projects!B44)</f>
        <v/>
      </c>
      <c r="C44" s="22" t="str">
        <f aca="false">IF(Projects!E44="","",Projects!E44)</f>
        <v/>
      </c>
      <c r="D44" s="23" t="n">
        <f aca="false">COUNT($I44:$AF44)</f>
        <v>0</v>
      </c>
      <c r="E44" s="23" t="n">
        <f aca="false">IF(C44="",0,IF(D44=0,C44,SUMPRODUCT($I44:$AF44*($I$2:$AF$2&lt;=C44))))</f>
        <v>0</v>
      </c>
      <c r="F44" s="23" t="n">
        <f aca="false">IF(OR(C44="",Projects!D44=""),1,MAX(1,((YEAR(Projects!$C$2)-YEAR(Projects!D44))*12+MONTH(Projects!$C$2)-MONTH(Projects!D44)+1)+1))</f>
        <v>1</v>
      </c>
      <c r="G44" s="23" t="n">
        <f aca="false">IF(C44="",0,IF(D44=0,MAX(0,C44-F44+1),SUMPRODUCT($I44:$AF44*($I$2:$AF$2&gt;=F44)*($I$2:$AF$2&lt;=C44))))</f>
        <v>0</v>
      </c>
      <c r="H44" s="23" t="n">
        <f aca="false">IF(C44="",0,SUMPRODUCT(($I44:$AF44&lt;&gt;0)*($I$2:$AF$2&gt;C44)))</f>
        <v>0</v>
      </c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H44" s="25" t="str">
        <f aca="false">IF(OR(C44="",AH$2&gt;C44,E44=0),"",IF(D44=0,1/C44,N(I44)/E44))</f>
        <v/>
      </c>
      <c r="AI44" s="25" t="str">
        <f aca="false">IF(OR(C44="",AI$2&gt;C44,E44=0),"",IF(D44=0,1/C44,N(J44)/E44))</f>
        <v/>
      </c>
      <c r="AJ44" s="25" t="str">
        <f aca="false">IF(OR(C44="",AJ$2&gt;C44,E44=0),"",IF(D44=0,1/C44,N(K44)/E44))</f>
        <v/>
      </c>
      <c r="AK44" s="25" t="str">
        <f aca="false">IF(OR(C44="",AK$2&gt;C44,E44=0),"",IF(D44=0,1/C44,N(L44)/E44))</f>
        <v/>
      </c>
      <c r="AL44" s="25" t="str">
        <f aca="false">IF(OR(C44="",AL$2&gt;C44,E44=0),"",IF(D44=0,1/C44,N(M44)/E44))</f>
        <v/>
      </c>
      <c r="AM44" s="25" t="str">
        <f aca="false">IF(OR(C44="",AM$2&gt;C44,E44=0),"",IF(D44=0,1/C44,N(N44)/E44))</f>
        <v/>
      </c>
      <c r="AN44" s="25" t="str">
        <f aca="false">IF(OR(C44="",AN$2&gt;C44,E44=0),"",IF(D44=0,1/C44,N(O44)/E44))</f>
        <v/>
      </c>
      <c r="AO44" s="25" t="str">
        <f aca="false">IF(OR(C44="",AO$2&gt;C44,E44=0),"",IF(D44=0,1/C44,N(P44)/E44))</f>
        <v/>
      </c>
      <c r="AP44" s="25" t="str">
        <f aca="false">IF(OR(C44="",AP$2&gt;C44,E44=0),"",IF(D44=0,1/C44,N(Q44)/E44))</f>
        <v/>
      </c>
      <c r="AQ44" s="25" t="str">
        <f aca="false">IF(OR(C44="",AQ$2&gt;C44,E44=0),"",IF(D44=0,1/C44,N(R44)/E44))</f>
        <v/>
      </c>
      <c r="AR44" s="25" t="str">
        <f aca="false">IF(OR(C44="",AR$2&gt;C44,E44=0),"",IF(D44=0,1/C44,N(S44)/E44))</f>
        <v/>
      </c>
      <c r="AS44" s="25" t="str">
        <f aca="false">IF(OR(C44="",AS$2&gt;C44,E44=0),"",IF(D44=0,1/C44,N(T44)/E44))</f>
        <v/>
      </c>
      <c r="AT44" s="25" t="str">
        <f aca="false">IF(OR(C44="",AT$2&gt;C44,E44=0),"",IF(D44=0,1/C44,N(U44)/E44))</f>
        <v/>
      </c>
      <c r="AU44" s="25" t="str">
        <f aca="false">IF(OR(C44="",AU$2&gt;C44,E44=0),"",IF(D44=0,1/C44,N(V44)/E44))</f>
        <v/>
      </c>
      <c r="AV44" s="25" t="str">
        <f aca="false">IF(OR(C44="",AV$2&gt;C44,E44=0),"",IF(D44=0,1/C44,N(W44)/E44))</f>
        <v/>
      </c>
      <c r="AW44" s="25" t="str">
        <f aca="false">IF(OR(C44="",AW$2&gt;C44,E44=0),"",IF(D44=0,1/C44,N(X44)/E44))</f>
        <v/>
      </c>
      <c r="AX44" s="25" t="str">
        <f aca="false">IF(OR(C44="",AX$2&gt;C44,E44=0),"",IF(D44=0,1/C44,N(Y44)/E44))</f>
        <v/>
      </c>
      <c r="AY44" s="25" t="str">
        <f aca="false">IF(OR(C44="",AY$2&gt;C44,E44=0),"",IF(D44=0,1/C44,N(Z44)/E44))</f>
        <v/>
      </c>
      <c r="AZ44" s="25" t="str">
        <f aca="false">IF(OR(C44="",AZ$2&gt;C44,E44=0),"",IF(D44=0,1/C44,N(AA44)/E44))</f>
        <v/>
      </c>
      <c r="BA44" s="25" t="str">
        <f aca="false">IF(OR(C44="",BA$2&gt;C44,E44=0),"",IF(D44=0,1/C44,N(AB44)/E44))</f>
        <v/>
      </c>
      <c r="BB44" s="25" t="str">
        <f aca="false">IF(OR(C44="",BB$2&gt;C44,E44=0),"",IF(D44=0,1/C44,N(AC44)/E44))</f>
        <v/>
      </c>
      <c r="BC44" s="25" t="str">
        <f aca="false">IF(OR(C44="",BC$2&gt;C44,E44=0),"",IF(D44=0,1/C44,N(AD44)/E44))</f>
        <v/>
      </c>
      <c r="BD44" s="25" t="str">
        <f aca="false">IF(OR(C44="",BD$2&gt;C44,E44=0),"",IF(D44=0,1/C44,N(AE44)/E44))</f>
        <v/>
      </c>
      <c r="BE44" s="25" t="str">
        <f aca="false">IF(OR(C44="",BE$2&gt;C44,E44=0),"",IF(D44=0,1/C44,N(AF44)/E44))</f>
        <v/>
      </c>
      <c r="BF44" s="26" t="str">
        <f aca="false">IF(C44="","",SUM(AH44:BE44))</f>
        <v/>
      </c>
    </row>
    <row r="45" customFormat="false" ht="15" hidden="false" customHeight="false" outlineLevel="0" collapsed="false">
      <c r="A45" s="11" t="n">
        <v>40</v>
      </c>
      <c r="B45" s="21" t="str">
        <f aca="false">IF(Projects!B45="","",Projects!B45)</f>
        <v/>
      </c>
      <c r="C45" s="22" t="str">
        <f aca="false">IF(Projects!E45="","",Projects!E45)</f>
        <v/>
      </c>
      <c r="D45" s="23" t="n">
        <f aca="false">COUNT($I45:$AF45)</f>
        <v>0</v>
      </c>
      <c r="E45" s="23" t="n">
        <f aca="false">IF(C45="",0,IF(D45=0,C45,SUMPRODUCT($I45:$AF45*($I$2:$AF$2&lt;=C45))))</f>
        <v>0</v>
      </c>
      <c r="F45" s="23" t="n">
        <f aca="false">IF(OR(C45="",Projects!D45=""),1,MAX(1,((YEAR(Projects!$C$2)-YEAR(Projects!D45))*12+MONTH(Projects!$C$2)-MONTH(Projects!D45)+1)+1))</f>
        <v>1</v>
      </c>
      <c r="G45" s="23" t="n">
        <f aca="false">IF(C45="",0,IF(D45=0,MAX(0,C45-F45+1),SUMPRODUCT($I45:$AF45*($I$2:$AF$2&gt;=F45)*($I$2:$AF$2&lt;=C45))))</f>
        <v>0</v>
      </c>
      <c r="H45" s="23" t="n">
        <f aca="false">IF(C45="",0,SUMPRODUCT(($I45:$AF45&lt;&gt;0)*($I$2:$AF$2&gt;C45)))</f>
        <v>0</v>
      </c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H45" s="25" t="str">
        <f aca="false">IF(OR(C45="",AH$2&gt;C45,E45=0),"",IF(D45=0,1/C45,N(I45)/E45))</f>
        <v/>
      </c>
      <c r="AI45" s="25" t="str">
        <f aca="false">IF(OR(C45="",AI$2&gt;C45,E45=0),"",IF(D45=0,1/C45,N(J45)/E45))</f>
        <v/>
      </c>
      <c r="AJ45" s="25" t="str">
        <f aca="false">IF(OR(C45="",AJ$2&gt;C45,E45=0),"",IF(D45=0,1/C45,N(K45)/E45))</f>
        <v/>
      </c>
      <c r="AK45" s="25" t="str">
        <f aca="false">IF(OR(C45="",AK$2&gt;C45,E45=0),"",IF(D45=0,1/C45,N(L45)/E45))</f>
        <v/>
      </c>
      <c r="AL45" s="25" t="str">
        <f aca="false">IF(OR(C45="",AL$2&gt;C45,E45=0),"",IF(D45=0,1/C45,N(M45)/E45))</f>
        <v/>
      </c>
      <c r="AM45" s="25" t="str">
        <f aca="false">IF(OR(C45="",AM$2&gt;C45,E45=0),"",IF(D45=0,1/C45,N(N45)/E45))</f>
        <v/>
      </c>
      <c r="AN45" s="25" t="str">
        <f aca="false">IF(OR(C45="",AN$2&gt;C45,E45=0),"",IF(D45=0,1/C45,N(O45)/E45))</f>
        <v/>
      </c>
      <c r="AO45" s="25" t="str">
        <f aca="false">IF(OR(C45="",AO$2&gt;C45,E45=0),"",IF(D45=0,1/C45,N(P45)/E45))</f>
        <v/>
      </c>
      <c r="AP45" s="25" t="str">
        <f aca="false">IF(OR(C45="",AP$2&gt;C45,E45=0),"",IF(D45=0,1/C45,N(Q45)/E45))</f>
        <v/>
      </c>
      <c r="AQ45" s="25" t="str">
        <f aca="false">IF(OR(C45="",AQ$2&gt;C45,E45=0),"",IF(D45=0,1/C45,N(R45)/E45))</f>
        <v/>
      </c>
      <c r="AR45" s="25" t="str">
        <f aca="false">IF(OR(C45="",AR$2&gt;C45,E45=0),"",IF(D45=0,1/C45,N(S45)/E45))</f>
        <v/>
      </c>
      <c r="AS45" s="25" t="str">
        <f aca="false">IF(OR(C45="",AS$2&gt;C45,E45=0),"",IF(D45=0,1/C45,N(T45)/E45))</f>
        <v/>
      </c>
      <c r="AT45" s="25" t="str">
        <f aca="false">IF(OR(C45="",AT$2&gt;C45,E45=0),"",IF(D45=0,1/C45,N(U45)/E45))</f>
        <v/>
      </c>
      <c r="AU45" s="25" t="str">
        <f aca="false">IF(OR(C45="",AU$2&gt;C45,E45=0),"",IF(D45=0,1/C45,N(V45)/E45))</f>
        <v/>
      </c>
      <c r="AV45" s="25" t="str">
        <f aca="false">IF(OR(C45="",AV$2&gt;C45,E45=0),"",IF(D45=0,1/C45,N(W45)/E45))</f>
        <v/>
      </c>
      <c r="AW45" s="25" t="str">
        <f aca="false">IF(OR(C45="",AW$2&gt;C45,E45=0),"",IF(D45=0,1/C45,N(X45)/E45))</f>
        <v/>
      </c>
      <c r="AX45" s="25" t="str">
        <f aca="false">IF(OR(C45="",AX$2&gt;C45,E45=0),"",IF(D45=0,1/C45,N(Y45)/E45))</f>
        <v/>
      </c>
      <c r="AY45" s="25" t="str">
        <f aca="false">IF(OR(C45="",AY$2&gt;C45,E45=0),"",IF(D45=0,1/C45,N(Z45)/E45))</f>
        <v/>
      </c>
      <c r="AZ45" s="25" t="str">
        <f aca="false">IF(OR(C45="",AZ$2&gt;C45,E45=0),"",IF(D45=0,1/C45,N(AA45)/E45))</f>
        <v/>
      </c>
      <c r="BA45" s="25" t="str">
        <f aca="false">IF(OR(C45="",BA$2&gt;C45,E45=0),"",IF(D45=0,1/C45,N(AB45)/E45))</f>
        <v/>
      </c>
      <c r="BB45" s="25" t="str">
        <f aca="false">IF(OR(C45="",BB$2&gt;C45,E45=0),"",IF(D45=0,1/C45,N(AC45)/E45))</f>
        <v/>
      </c>
      <c r="BC45" s="25" t="str">
        <f aca="false">IF(OR(C45="",BC$2&gt;C45,E45=0),"",IF(D45=0,1/C45,N(AD45)/E45))</f>
        <v/>
      </c>
      <c r="BD45" s="25" t="str">
        <f aca="false">IF(OR(C45="",BD$2&gt;C45,E45=0),"",IF(D45=0,1/C45,N(AE45)/E45))</f>
        <v/>
      </c>
      <c r="BE45" s="25" t="str">
        <f aca="false">IF(OR(C45="",BE$2&gt;C45,E45=0),"",IF(D45=0,1/C45,N(AF45)/E45))</f>
        <v/>
      </c>
      <c r="BF45" s="26" t="str">
        <f aca="false">IF(C45="","",SUM(AH45:BE45))</f>
        <v/>
      </c>
    </row>
    <row r="46" customFormat="false" ht="15" hidden="false" customHeight="false" outlineLevel="0" collapsed="false">
      <c r="A46" s="11" t="n">
        <v>41</v>
      </c>
      <c r="B46" s="21" t="str">
        <f aca="false">IF(Projects!B46="","",Projects!B46)</f>
        <v/>
      </c>
      <c r="C46" s="22" t="str">
        <f aca="false">IF(Projects!E46="","",Projects!E46)</f>
        <v/>
      </c>
      <c r="D46" s="23" t="n">
        <f aca="false">COUNT($I46:$AF46)</f>
        <v>0</v>
      </c>
      <c r="E46" s="23" t="n">
        <f aca="false">IF(C46="",0,IF(D46=0,C46,SUMPRODUCT($I46:$AF46*($I$2:$AF$2&lt;=C46))))</f>
        <v>0</v>
      </c>
      <c r="F46" s="23" t="n">
        <f aca="false">IF(OR(C46="",Projects!D46=""),1,MAX(1,((YEAR(Projects!$C$2)-YEAR(Projects!D46))*12+MONTH(Projects!$C$2)-MONTH(Projects!D46)+1)+1))</f>
        <v>1</v>
      </c>
      <c r="G46" s="23" t="n">
        <f aca="false">IF(C46="",0,IF(D46=0,MAX(0,C46-F46+1),SUMPRODUCT($I46:$AF46*($I$2:$AF$2&gt;=F46)*($I$2:$AF$2&lt;=C46))))</f>
        <v>0</v>
      </c>
      <c r="H46" s="23" t="n">
        <f aca="false">IF(C46="",0,SUMPRODUCT(($I46:$AF46&lt;&gt;0)*($I$2:$AF$2&gt;C46)))</f>
        <v>0</v>
      </c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H46" s="25" t="str">
        <f aca="false">IF(OR(C46="",AH$2&gt;C46,E46=0),"",IF(D46=0,1/C46,N(I46)/E46))</f>
        <v/>
      </c>
      <c r="AI46" s="25" t="str">
        <f aca="false">IF(OR(C46="",AI$2&gt;C46,E46=0),"",IF(D46=0,1/C46,N(J46)/E46))</f>
        <v/>
      </c>
      <c r="AJ46" s="25" t="str">
        <f aca="false">IF(OR(C46="",AJ$2&gt;C46,E46=0),"",IF(D46=0,1/C46,N(K46)/E46))</f>
        <v/>
      </c>
      <c r="AK46" s="25" t="str">
        <f aca="false">IF(OR(C46="",AK$2&gt;C46,E46=0),"",IF(D46=0,1/C46,N(L46)/E46))</f>
        <v/>
      </c>
      <c r="AL46" s="25" t="str">
        <f aca="false">IF(OR(C46="",AL$2&gt;C46,E46=0),"",IF(D46=0,1/C46,N(M46)/E46))</f>
        <v/>
      </c>
      <c r="AM46" s="25" t="str">
        <f aca="false">IF(OR(C46="",AM$2&gt;C46,E46=0),"",IF(D46=0,1/C46,N(N46)/E46))</f>
        <v/>
      </c>
      <c r="AN46" s="25" t="str">
        <f aca="false">IF(OR(C46="",AN$2&gt;C46,E46=0),"",IF(D46=0,1/C46,N(O46)/E46))</f>
        <v/>
      </c>
      <c r="AO46" s="25" t="str">
        <f aca="false">IF(OR(C46="",AO$2&gt;C46,E46=0),"",IF(D46=0,1/C46,N(P46)/E46))</f>
        <v/>
      </c>
      <c r="AP46" s="25" t="str">
        <f aca="false">IF(OR(C46="",AP$2&gt;C46,E46=0),"",IF(D46=0,1/C46,N(Q46)/E46))</f>
        <v/>
      </c>
      <c r="AQ46" s="25" t="str">
        <f aca="false">IF(OR(C46="",AQ$2&gt;C46,E46=0),"",IF(D46=0,1/C46,N(R46)/E46))</f>
        <v/>
      </c>
      <c r="AR46" s="25" t="str">
        <f aca="false">IF(OR(C46="",AR$2&gt;C46,E46=0),"",IF(D46=0,1/C46,N(S46)/E46))</f>
        <v/>
      </c>
      <c r="AS46" s="25" t="str">
        <f aca="false">IF(OR(C46="",AS$2&gt;C46,E46=0),"",IF(D46=0,1/C46,N(T46)/E46))</f>
        <v/>
      </c>
      <c r="AT46" s="25" t="str">
        <f aca="false">IF(OR(C46="",AT$2&gt;C46,E46=0),"",IF(D46=0,1/C46,N(U46)/E46))</f>
        <v/>
      </c>
      <c r="AU46" s="25" t="str">
        <f aca="false">IF(OR(C46="",AU$2&gt;C46,E46=0),"",IF(D46=0,1/C46,N(V46)/E46))</f>
        <v/>
      </c>
      <c r="AV46" s="25" t="str">
        <f aca="false">IF(OR(C46="",AV$2&gt;C46,E46=0),"",IF(D46=0,1/C46,N(W46)/E46))</f>
        <v/>
      </c>
      <c r="AW46" s="25" t="str">
        <f aca="false">IF(OR(C46="",AW$2&gt;C46,E46=0),"",IF(D46=0,1/C46,N(X46)/E46))</f>
        <v/>
      </c>
      <c r="AX46" s="25" t="str">
        <f aca="false">IF(OR(C46="",AX$2&gt;C46,E46=0),"",IF(D46=0,1/C46,N(Y46)/E46))</f>
        <v/>
      </c>
      <c r="AY46" s="25" t="str">
        <f aca="false">IF(OR(C46="",AY$2&gt;C46,E46=0),"",IF(D46=0,1/C46,N(Z46)/E46))</f>
        <v/>
      </c>
      <c r="AZ46" s="25" t="str">
        <f aca="false">IF(OR(C46="",AZ$2&gt;C46,E46=0),"",IF(D46=0,1/C46,N(AA46)/E46))</f>
        <v/>
      </c>
      <c r="BA46" s="25" t="str">
        <f aca="false">IF(OR(C46="",BA$2&gt;C46,E46=0),"",IF(D46=0,1/C46,N(AB46)/E46))</f>
        <v/>
      </c>
      <c r="BB46" s="25" t="str">
        <f aca="false">IF(OR(C46="",BB$2&gt;C46,E46=0),"",IF(D46=0,1/C46,N(AC46)/E46))</f>
        <v/>
      </c>
      <c r="BC46" s="25" t="str">
        <f aca="false">IF(OR(C46="",BC$2&gt;C46,E46=0),"",IF(D46=0,1/C46,N(AD46)/E46))</f>
        <v/>
      </c>
      <c r="BD46" s="25" t="str">
        <f aca="false">IF(OR(C46="",BD$2&gt;C46,E46=0),"",IF(D46=0,1/C46,N(AE46)/E46))</f>
        <v/>
      </c>
      <c r="BE46" s="25" t="str">
        <f aca="false">IF(OR(C46="",BE$2&gt;C46,E46=0),"",IF(D46=0,1/C46,N(AF46)/E46))</f>
        <v/>
      </c>
      <c r="BF46" s="26" t="str">
        <f aca="false">IF(C46="","",SUM(AH46:BE46))</f>
        <v/>
      </c>
    </row>
    <row r="47" customFormat="false" ht="15" hidden="false" customHeight="false" outlineLevel="0" collapsed="false">
      <c r="A47" s="11" t="n">
        <v>42</v>
      </c>
      <c r="B47" s="21" t="str">
        <f aca="false">IF(Projects!B47="","",Projects!B47)</f>
        <v/>
      </c>
      <c r="C47" s="22" t="str">
        <f aca="false">IF(Projects!E47="","",Projects!E47)</f>
        <v/>
      </c>
      <c r="D47" s="23" t="n">
        <f aca="false">COUNT($I47:$AF47)</f>
        <v>0</v>
      </c>
      <c r="E47" s="23" t="n">
        <f aca="false">IF(C47="",0,IF(D47=0,C47,SUMPRODUCT($I47:$AF47*($I$2:$AF$2&lt;=C47))))</f>
        <v>0</v>
      </c>
      <c r="F47" s="23" t="n">
        <f aca="false">IF(OR(C47="",Projects!D47=""),1,MAX(1,((YEAR(Projects!$C$2)-YEAR(Projects!D47))*12+MONTH(Projects!$C$2)-MONTH(Projects!D47)+1)+1))</f>
        <v>1</v>
      </c>
      <c r="G47" s="23" t="n">
        <f aca="false">IF(C47="",0,IF(D47=0,MAX(0,C47-F47+1),SUMPRODUCT($I47:$AF47*($I$2:$AF$2&gt;=F47)*($I$2:$AF$2&lt;=C47))))</f>
        <v>0</v>
      </c>
      <c r="H47" s="23" t="n">
        <f aca="false">IF(C47="",0,SUMPRODUCT(($I47:$AF47&lt;&gt;0)*($I$2:$AF$2&gt;C47)))</f>
        <v>0</v>
      </c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H47" s="25" t="str">
        <f aca="false">IF(OR(C47="",AH$2&gt;C47,E47=0),"",IF(D47=0,1/C47,N(I47)/E47))</f>
        <v/>
      </c>
      <c r="AI47" s="25" t="str">
        <f aca="false">IF(OR(C47="",AI$2&gt;C47,E47=0),"",IF(D47=0,1/C47,N(J47)/E47))</f>
        <v/>
      </c>
      <c r="AJ47" s="25" t="str">
        <f aca="false">IF(OR(C47="",AJ$2&gt;C47,E47=0),"",IF(D47=0,1/C47,N(K47)/E47))</f>
        <v/>
      </c>
      <c r="AK47" s="25" t="str">
        <f aca="false">IF(OR(C47="",AK$2&gt;C47,E47=0),"",IF(D47=0,1/C47,N(L47)/E47))</f>
        <v/>
      </c>
      <c r="AL47" s="25" t="str">
        <f aca="false">IF(OR(C47="",AL$2&gt;C47,E47=0),"",IF(D47=0,1/C47,N(M47)/E47))</f>
        <v/>
      </c>
      <c r="AM47" s="25" t="str">
        <f aca="false">IF(OR(C47="",AM$2&gt;C47,E47=0),"",IF(D47=0,1/C47,N(N47)/E47))</f>
        <v/>
      </c>
      <c r="AN47" s="25" t="str">
        <f aca="false">IF(OR(C47="",AN$2&gt;C47,E47=0),"",IF(D47=0,1/C47,N(O47)/E47))</f>
        <v/>
      </c>
      <c r="AO47" s="25" t="str">
        <f aca="false">IF(OR(C47="",AO$2&gt;C47,E47=0),"",IF(D47=0,1/C47,N(P47)/E47))</f>
        <v/>
      </c>
      <c r="AP47" s="25" t="str">
        <f aca="false">IF(OR(C47="",AP$2&gt;C47,E47=0),"",IF(D47=0,1/C47,N(Q47)/E47))</f>
        <v/>
      </c>
      <c r="AQ47" s="25" t="str">
        <f aca="false">IF(OR(C47="",AQ$2&gt;C47,E47=0),"",IF(D47=0,1/C47,N(R47)/E47))</f>
        <v/>
      </c>
      <c r="AR47" s="25" t="str">
        <f aca="false">IF(OR(C47="",AR$2&gt;C47,E47=0),"",IF(D47=0,1/C47,N(S47)/E47))</f>
        <v/>
      </c>
      <c r="AS47" s="25" t="str">
        <f aca="false">IF(OR(C47="",AS$2&gt;C47,E47=0),"",IF(D47=0,1/C47,N(T47)/E47))</f>
        <v/>
      </c>
      <c r="AT47" s="25" t="str">
        <f aca="false">IF(OR(C47="",AT$2&gt;C47,E47=0),"",IF(D47=0,1/C47,N(U47)/E47))</f>
        <v/>
      </c>
      <c r="AU47" s="25" t="str">
        <f aca="false">IF(OR(C47="",AU$2&gt;C47,E47=0),"",IF(D47=0,1/C47,N(V47)/E47))</f>
        <v/>
      </c>
      <c r="AV47" s="25" t="str">
        <f aca="false">IF(OR(C47="",AV$2&gt;C47,E47=0),"",IF(D47=0,1/C47,N(W47)/E47))</f>
        <v/>
      </c>
      <c r="AW47" s="25" t="str">
        <f aca="false">IF(OR(C47="",AW$2&gt;C47,E47=0),"",IF(D47=0,1/C47,N(X47)/E47))</f>
        <v/>
      </c>
      <c r="AX47" s="25" t="str">
        <f aca="false">IF(OR(C47="",AX$2&gt;C47,E47=0),"",IF(D47=0,1/C47,N(Y47)/E47))</f>
        <v/>
      </c>
      <c r="AY47" s="25" t="str">
        <f aca="false">IF(OR(C47="",AY$2&gt;C47,E47=0),"",IF(D47=0,1/C47,N(Z47)/E47))</f>
        <v/>
      </c>
      <c r="AZ47" s="25" t="str">
        <f aca="false">IF(OR(C47="",AZ$2&gt;C47,E47=0),"",IF(D47=0,1/C47,N(AA47)/E47))</f>
        <v/>
      </c>
      <c r="BA47" s="25" t="str">
        <f aca="false">IF(OR(C47="",BA$2&gt;C47,E47=0),"",IF(D47=0,1/C47,N(AB47)/E47))</f>
        <v/>
      </c>
      <c r="BB47" s="25" t="str">
        <f aca="false">IF(OR(C47="",BB$2&gt;C47,E47=0),"",IF(D47=0,1/C47,N(AC47)/E47))</f>
        <v/>
      </c>
      <c r="BC47" s="25" t="str">
        <f aca="false">IF(OR(C47="",BC$2&gt;C47,E47=0),"",IF(D47=0,1/C47,N(AD47)/E47))</f>
        <v/>
      </c>
      <c r="BD47" s="25" t="str">
        <f aca="false">IF(OR(C47="",BD$2&gt;C47,E47=0),"",IF(D47=0,1/C47,N(AE47)/E47))</f>
        <v/>
      </c>
      <c r="BE47" s="25" t="str">
        <f aca="false">IF(OR(C47="",BE$2&gt;C47,E47=0),"",IF(D47=0,1/C47,N(AF47)/E47))</f>
        <v/>
      </c>
      <c r="BF47" s="26" t="str">
        <f aca="false">IF(C47="","",SUM(AH47:BE47))</f>
        <v/>
      </c>
    </row>
    <row r="48" customFormat="false" ht="15" hidden="false" customHeight="false" outlineLevel="0" collapsed="false">
      <c r="A48" s="11" t="n">
        <v>43</v>
      </c>
      <c r="B48" s="21" t="str">
        <f aca="false">IF(Projects!B48="","",Projects!B48)</f>
        <v/>
      </c>
      <c r="C48" s="22" t="str">
        <f aca="false">IF(Projects!E48="","",Projects!E48)</f>
        <v/>
      </c>
      <c r="D48" s="23" t="n">
        <f aca="false">COUNT($I48:$AF48)</f>
        <v>0</v>
      </c>
      <c r="E48" s="23" t="n">
        <f aca="false">IF(C48="",0,IF(D48=0,C48,SUMPRODUCT($I48:$AF48*($I$2:$AF$2&lt;=C48))))</f>
        <v>0</v>
      </c>
      <c r="F48" s="23" t="n">
        <f aca="false">IF(OR(C48="",Projects!D48=""),1,MAX(1,((YEAR(Projects!$C$2)-YEAR(Projects!D48))*12+MONTH(Projects!$C$2)-MONTH(Projects!D48)+1)+1))</f>
        <v>1</v>
      </c>
      <c r="G48" s="23" t="n">
        <f aca="false">IF(C48="",0,IF(D48=0,MAX(0,C48-F48+1),SUMPRODUCT($I48:$AF48*($I$2:$AF$2&gt;=F48)*($I$2:$AF$2&lt;=C48))))</f>
        <v>0</v>
      </c>
      <c r="H48" s="23" t="n">
        <f aca="false">IF(C48="",0,SUMPRODUCT(($I48:$AF48&lt;&gt;0)*($I$2:$AF$2&gt;C48)))</f>
        <v>0</v>
      </c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H48" s="25" t="str">
        <f aca="false">IF(OR(C48="",AH$2&gt;C48,E48=0),"",IF(D48=0,1/C48,N(I48)/E48))</f>
        <v/>
      </c>
      <c r="AI48" s="25" t="str">
        <f aca="false">IF(OR(C48="",AI$2&gt;C48,E48=0),"",IF(D48=0,1/C48,N(J48)/E48))</f>
        <v/>
      </c>
      <c r="AJ48" s="25" t="str">
        <f aca="false">IF(OR(C48="",AJ$2&gt;C48,E48=0),"",IF(D48=0,1/C48,N(K48)/E48))</f>
        <v/>
      </c>
      <c r="AK48" s="25" t="str">
        <f aca="false">IF(OR(C48="",AK$2&gt;C48,E48=0),"",IF(D48=0,1/C48,N(L48)/E48))</f>
        <v/>
      </c>
      <c r="AL48" s="25" t="str">
        <f aca="false">IF(OR(C48="",AL$2&gt;C48,E48=0),"",IF(D48=0,1/C48,N(M48)/E48))</f>
        <v/>
      </c>
      <c r="AM48" s="25" t="str">
        <f aca="false">IF(OR(C48="",AM$2&gt;C48,E48=0),"",IF(D48=0,1/C48,N(N48)/E48))</f>
        <v/>
      </c>
      <c r="AN48" s="25" t="str">
        <f aca="false">IF(OR(C48="",AN$2&gt;C48,E48=0),"",IF(D48=0,1/C48,N(O48)/E48))</f>
        <v/>
      </c>
      <c r="AO48" s="25" t="str">
        <f aca="false">IF(OR(C48="",AO$2&gt;C48,E48=0),"",IF(D48=0,1/C48,N(P48)/E48))</f>
        <v/>
      </c>
      <c r="AP48" s="25" t="str">
        <f aca="false">IF(OR(C48="",AP$2&gt;C48,E48=0),"",IF(D48=0,1/C48,N(Q48)/E48))</f>
        <v/>
      </c>
      <c r="AQ48" s="25" t="str">
        <f aca="false">IF(OR(C48="",AQ$2&gt;C48,E48=0),"",IF(D48=0,1/C48,N(R48)/E48))</f>
        <v/>
      </c>
      <c r="AR48" s="25" t="str">
        <f aca="false">IF(OR(C48="",AR$2&gt;C48,E48=0),"",IF(D48=0,1/C48,N(S48)/E48))</f>
        <v/>
      </c>
      <c r="AS48" s="25" t="str">
        <f aca="false">IF(OR(C48="",AS$2&gt;C48,E48=0),"",IF(D48=0,1/C48,N(T48)/E48))</f>
        <v/>
      </c>
      <c r="AT48" s="25" t="str">
        <f aca="false">IF(OR(C48="",AT$2&gt;C48,E48=0),"",IF(D48=0,1/C48,N(U48)/E48))</f>
        <v/>
      </c>
      <c r="AU48" s="25" t="str">
        <f aca="false">IF(OR(C48="",AU$2&gt;C48,E48=0),"",IF(D48=0,1/C48,N(V48)/E48))</f>
        <v/>
      </c>
      <c r="AV48" s="25" t="str">
        <f aca="false">IF(OR(C48="",AV$2&gt;C48,E48=0),"",IF(D48=0,1/C48,N(W48)/E48))</f>
        <v/>
      </c>
      <c r="AW48" s="25" t="str">
        <f aca="false">IF(OR(C48="",AW$2&gt;C48,E48=0),"",IF(D48=0,1/C48,N(X48)/E48))</f>
        <v/>
      </c>
      <c r="AX48" s="25" t="str">
        <f aca="false">IF(OR(C48="",AX$2&gt;C48,E48=0),"",IF(D48=0,1/C48,N(Y48)/E48))</f>
        <v/>
      </c>
      <c r="AY48" s="25" t="str">
        <f aca="false">IF(OR(C48="",AY$2&gt;C48,E48=0),"",IF(D48=0,1/C48,N(Z48)/E48))</f>
        <v/>
      </c>
      <c r="AZ48" s="25" t="str">
        <f aca="false">IF(OR(C48="",AZ$2&gt;C48,E48=0),"",IF(D48=0,1/C48,N(AA48)/E48))</f>
        <v/>
      </c>
      <c r="BA48" s="25" t="str">
        <f aca="false">IF(OR(C48="",BA$2&gt;C48,E48=0),"",IF(D48=0,1/C48,N(AB48)/E48))</f>
        <v/>
      </c>
      <c r="BB48" s="25" t="str">
        <f aca="false">IF(OR(C48="",BB$2&gt;C48,E48=0),"",IF(D48=0,1/C48,N(AC48)/E48))</f>
        <v/>
      </c>
      <c r="BC48" s="25" t="str">
        <f aca="false">IF(OR(C48="",BC$2&gt;C48,E48=0),"",IF(D48=0,1/C48,N(AD48)/E48))</f>
        <v/>
      </c>
      <c r="BD48" s="25" t="str">
        <f aca="false">IF(OR(C48="",BD$2&gt;C48,E48=0),"",IF(D48=0,1/C48,N(AE48)/E48))</f>
        <v/>
      </c>
      <c r="BE48" s="25" t="str">
        <f aca="false">IF(OR(C48="",BE$2&gt;C48,E48=0),"",IF(D48=0,1/C48,N(AF48)/E48))</f>
        <v/>
      </c>
      <c r="BF48" s="26" t="str">
        <f aca="false">IF(C48="","",SUM(AH48:BE48))</f>
        <v/>
      </c>
    </row>
    <row r="49" customFormat="false" ht="15" hidden="false" customHeight="false" outlineLevel="0" collapsed="false">
      <c r="A49" s="11" t="n">
        <v>44</v>
      </c>
      <c r="B49" s="21" t="str">
        <f aca="false">IF(Projects!B49="","",Projects!B49)</f>
        <v/>
      </c>
      <c r="C49" s="22" t="str">
        <f aca="false">IF(Projects!E49="","",Projects!E49)</f>
        <v/>
      </c>
      <c r="D49" s="23" t="n">
        <f aca="false">COUNT($I49:$AF49)</f>
        <v>0</v>
      </c>
      <c r="E49" s="23" t="n">
        <f aca="false">IF(C49="",0,IF(D49=0,C49,SUMPRODUCT($I49:$AF49*($I$2:$AF$2&lt;=C49))))</f>
        <v>0</v>
      </c>
      <c r="F49" s="23" t="n">
        <f aca="false">IF(OR(C49="",Projects!D49=""),1,MAX(1,((YEAR(Projects!$C$2)-YEAR(Projects!D49))*12+MONTH(Projects!$C$2)-MONTH(Projects!D49)+1)+1))</f>
        <v>1</v>
      </c>
      <c r="G49" s="23" t="n">
        <f aca="false">IF(C49="",0,IF(D49=0,MAX(0,C49-F49+1),SUMPRODUCT($I49:$AF49*($I$2:$AF$2&gt;=F49)*($I$2:$AF$2&lt;=C49))))</f>
        <v>0</v>
      </c>
      <c r="H49" s="23" t="n">
        <f aca="false">IF(C49="",0,SUMPRODUCT(($I49:$AF49&lt;&gt;0)*($I$2:$AF$2&gt;C49)))</f>
        <v>0</v>
      </c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H49" s="25" t="str">
        <f aca="false">IF(OR(C49="",AH$2&gt;C49,E49=0),"",IF(D49=0,1/C49,N(I49)/E49))</f>
        <v/>
      </c>
      <c r="AI49" s="25" t="str">
        <f aca="false">IF(OR(C49="",AI$2&gt;C49,E49=0),"",IF(D49=0,1/C49,N(J49)/E49))</f>
        <v/>
      </c>
      <c r="AJ49" s="25" t="str">
        <f aca="false">IF(OR(C49="",AJ$2&gt;C49,E49=0),"",IF(D49=0,1/C49,N(K49)/E49))</f>
        <v/>
      </c>
      <c r="AK49" s="25" t="str">
        <f aca="false">IF(OR(C49="",AK$2&gt;C49,E49=0),"",IF(D49=0,1/C49,N(L49)/E49))</f>
        <v/>
      </c>
      <c r="AL49" s="25" t="str">
        <f aca="false">IF(OR(C49="",AL$2&gt;C49,E49=0),"",IF(D49=0,1/C49,N(M49)/E49))</f>
        <v/>
      </c>
      <c r="AM49" s="25" t="str">
        <f aca="false">IF(OR(C49="",AM$2&gt;C49,E49=0),"",IF(D49=0,1/C49,N(N49)/E49))</f>
        <v/>
      </c>
      <c r="AN49" s="25" t="str">
        <f aca="false">IF(OR(C49="",AN$2&gt;C49,E49=0),"",IF(D49=0,1/C49,N(O49)/E49))</f>
        <v/>
      </c>
      <c r="AO49" s="25" t="str">
        <f aca="false">IF(OR(C49="",AO$2&gt;C49,E49=0),"",IF(D49=0,1/C49,N(P49)/E49))</f>
        <v/>
      </c>
      <c r="AP49" s="25" t="str">
        <f aca="false">IF(OR(C49="",AP$2&gt;C49,E49=0),"",IF(D49=0,1/C49,N(Q49)/E49))</f>
        <v/>
      </c>
      <c r="AQ49" s="25" t="str">
        <f aca="false">IF(OR(C49="",AQ$2&gt;C49,E49=0),"",IF(D49=0,1/C49,N(R49)/E49))</f>
        <v/>
      </c>
      <c r="AR49" s="25" t="str">
        <f aca="false">IF(OR(C49="",AR$2&gt;C49,E49=0),"",IF(D49=0,1/C49,N(S49)/E49))</f>
        <v/>
      </c>
      <c r="AS49" s="25" t="str">
        <f aca="false">IF(OR(C49="",AS$2&gt;C49,E49=0),"",IF(D49=0,1/C49,N(T49)/E49))</f>
        <v/>
      </c>
      <c r="AT49" s="25" t="str">
        <f aca="false">IF(OR(C49="",AT$2&gt;C49,E49=0),"",IF(D49=0,1/C49,N(U49)/E49))</f>
        <v/>
      </c>
      <c r="AU49" s="25" t="str">
        <f aca="false">IF(OR(C49="",AU$2&gt;C49,E49=0),"",IF(D49=0,1/C49,N(V49)/E49))</f>
        <v/>
      </c>
      <c r="AV49" s="25" t="str">
        <f aca="false">IF(OR(C49="",AV$2&gt;C49,E49=0),"",IF(D49=0,1/C49,N(W49)/E49))</f>
        <v/>
      </c>
      <c r="AW49" s="25" t="str">
        <f aca="false">IF(OR(C49="",AW$2&gt;C49,E49=0),"",IF(D49=0,1/C49,N(X49)/E49))</f>
        <v/>
      </c>
      <c r="AX49" s="25" t="str">
        <f aca="false">IF(OR(C49="",AX$2&gt;C49,E49=0),"",IF(D49=0,1/C49,N(Y49)/E49))</f>
        <v/>
      </c>
      <c r="AY49" s="25" t="str">
        <f aca="false">IF(OR(C49="",AY$2&gt;C49,E49=0),"",IF(D49=0,1/C49,N(Z49)/E49))</f>
        <v/>
      </c>
      <c r="AZ49" s="25" t="str">
        <f aca="false">IF(OR(C49="",AZ$2&gt;C49,E49=0),"",IF(D49=0,1/C49,N(AA49)/E49))</f>
        <v/>
      </c>
      <c r="BA49" s="25" t="str">
        <f aca="false">IF(OR(C49="",BA$2&gt;C49,E49=0),"",IF(D49=0,1/C49,N(AB49)/E49))</f>
        <v/>
      </c>
      <c r="BB49" s="25" t="str">
        <f aca="false">IF(OR(C49="",BB$2&gt;C49,E49=0),"",IF(D49=0,1/C49,N(AC49)/E49))</f>
        <v/>
      </c>
      <c r="BC49" s="25" t="str">
        <f aca="false">IF(OR(C49="",BC$2&gt;C49,E49=0),"",IF(D49=0,1/C49,N(AD49)/E49))</f>
        <v/>
      </c>
      <c r="BD49" s="25" t="str">
        <f aca="false">IF(OR(C49="",BD$2&gt;C49,E49=0),"",IF(D49=0,1/C49,N(AE49)/E49))</f>
        <v/>
      </c>
      <c r="BE49" s="25" t="str">
        <f aca="false">IF(OR(C49="",BE$2&gt;C49,E49=0),"",IF(D49=0,1/C49,N(AF49)/E49))</f>
        <v/>
      </c>
      <c r="BF49" s="26" t="str">
        <f aca="false">IF(C49="","",SUM(AH49:BE49))</f>
        <v/>
      </c>
    </row>
    <row r="50" customFormat="false" ht="15" hidden="false" customHeight="false" outlineLevel="0" collapsed="false">
      <c r="A50" s="11" t="n">
        <v>45</v>
      </c>
      <c r="B50" s="21" t="str">
        <f aca="false">IF(Projects!B50="","",Projects!B50)</f>
        <v/>
      </c>
      <c r="C50" s="22" t="str">
        <f aca="false">IF(Projects!E50="","",Projects!E50)</f>
        <v/>
      </c>
      <c r="D50" s="23" t="n">
        <f aca="false">COUNT($I50:$AF50)</f>
        <v>0</v>
      </c>
      <c r="E50" s="23" t="n">
        <f aca="false">IF(C50="",0,IF(D50=0,C50,SUMPRODUCT($I50:$AF50*($I$2:$AF$2&lt;=C50))))</f>
        <v>0</v>
      </c>
      <c r="F50" s="23" t="n">
        <f aca="false">IF(OR(C50="",Projects!D50=""),1,MAX(1,((YEAR(Projects!$C$2)-YEAR(Projects!D50))*12+MONTH(Projects!$C$2)-MONTH(Projects!D50)+1)+1))</f>
        <v>1</v>
      </c>
      <c r="G50" s="23" t="n">
        <f aca="false">IF(C50="",0,IF(D50=0,MAX(0,C50-F50+1),SUMPRODUCT($I50:$AF50*($I$2:$AF$2&gt;=F50)*($I$2:$AF$2&lt;=C50))))</f>
        <v>0</v>
      </c>
      <c r="H50" s="23" t="n">
        <f aca="false">IF(C50="",0,SUMPRODUCT(($I50:$AF50&lt;&gt;0)*($I$2:$AF$2&gt;C50)))</f>
        <v>0</v>
      </c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H50" s="25" t="str">
        <f aca="false">IF(OR(C50="",AH$2&gt;C50,E50=0),"",IF(D50=0,1/C50,N(I50)/E50))</f>
        <v/>
      </c>
      <c r="AI50" s="25" t="str">
        <f aca="false">IF(OR(C50="",AI$2&gt;C50,E50=0),"",IF(D50=0,1/C50,N(J50)/E50))</f>
        <v/>
      </c>
      <c r="AJ50" s="25" t="str">
        <f aca="false">IF(OR(C50="",AJ$2&gt;C50,E50=0),"",IF(D50=0,1/C50,N(K50)/E50))</f>
        <v/>
      </c>
      <c r="AK50" s="25" t="str">
        <f aca="false">IF(OR(C50="",AK$2&gt;C50,E50=0),"",IF(D50=0,1/C50,N(L50)/E50))</f>
        <v/>
      </c>
      <c r="AL50" s="25" t="str">
        <f aca="false">IF(OR(C50="",AL$2&gt;C50,E50=0),"",IF(D50=0,1/C50,N(M50)/E50))</f>
        <v/>
      </c>
      <c r="AM50" s="25" t="str">
        <f aca="false">IF(OR(C50="",AM$2&gt;C50,E50=0),"",IF(D50=0,1/C50,N(N50)/E50))</f>
        <v/>
      </c>
      <c r="AN50" s="25" t="str">
        <f aca="false">IF(OR(C50="",AN$2&gt;C50,E50=0),"",IF(D50=0,1/C50,N(O50)/E50))</f>
        <v/>
      </c>
      <c r="AO50" s="25" t="str">
        <f aca="false">IF(OR(C50="",AO$2&gt;C50,E50=0),"",IF(D50=0,1/C50,N(P50)/E50))</f>
        <v/>
      </c>
      <c r="AP50" s="25" t="str">
        <f aca="false">IF(OR(C50="",AP$2&gt;C50,E50=0),"",IF(D50=0,1/C50,N(Q50)/E50))</f>
        <v/>
      </c>
      <c r="AQ50" s="25" t="str">
        <f aca="false">IF(OR(C50="",AQ$2&gt;C50,E50=0),"",IF(D50=0,1/C50,N(R50)/E50))</f>
        <v/>
      </c>
      <c r="AR50" s="25" t="str">
        <f aca="false">IF(OR(C50="",AR$2&gt;C50,E50=0),"",IF(D50=0,1/C50,N(S50)/E50))</f>
        <v/>
      </c>
      <c r="AS50" s="25" t="str">
        <f aca="false">IF(OR(C50="",AS$2&gt;C50,E50=0),"",IF(D50=0,1/C50,N(T50)/E50))</f>
        <v/>
      </c>
      <c r="AT50" s="25" t="str">
        <f aca="false">IF(OR(C50="",AT$2&gt;C50,E50=0),"",IF(D50=0,1/C50,N(U50)/E50))</f>
        <v/>
      </c>
      <c r="AU50" s="25" t="str">
        <f aca="false">IF(OR(C50="",AU$2&gt;C50,E50=0),"",IF(D50=0,1/C50,N(V50)/E50))</f>
        <v/>
      </c>
      <c r="AV50" s="25" t="str">
        <f aca="false">IF(OR(C50="",AV$2&gt;C50,E50=0),"",IF(D50=0,1/C50,N(W50)/E50))</f>
        <v/>
      </c>
      <c r="AW50" s="25" t="str">
        <f aca="false">IF(OR(C50="",AW$2&gt;C50,E50=0),"",IF(D50=0,1/C50,N(X50)/E50))</f>
        <v/>
      </c>
      <c r="AX50" s="25" t="str">
        <f aca="false">IF(OR(C50="",AX$2&gt;C50,E50=0),"",IF(D50=0,1/C50,N(Y50)/E50))</f>
        <v/>
      </c>
      <c r="AY50" s="25" t="str">
        <f aca="false">IF(OR(C50="",AY$2&gt;C50,E50=0),"",IF(D50=0,1/C50,N(Z50)/E50))</f>
        <v/>
      </c>
      <c r="AZ50" s="25" t="str">
        <f aca="false">IF(OR(C50="",AZ$2&gt;C50,E50=0),"",IF(D50=0,1/C50,N(AA50)/E50))</f>
        <v/>
      </c>
      <c r="BA50" s="25" t="str">
        <f aca="false">IF(OR(C50="",BA$2&gt;C50,E50=0),"",IF(D50=0,1/C50,N(AB50)/E50))</f>
        <v/>
      </c>
      <c r="BB50" s="25" t="str">
        <f aca="false">IF(OR(C50="",BB$2&gt;C50,E50=0),"",IF(D50=0,1/C50,N(AC50)/E50))</f>
        <v/>
      </c>
      <c r="BC50" s="25" t="str">
        <f aca="false">IF(OR(C50="",BC$2&gt;C50,E50=0),"",IF(D50=0,1/C50,N(AD50)/E50))</f>
        <v/>
      </c>
      <c r="BD50" s="25" t="str">
        <f aca="false">IF(OR(C50="",BD$2&gt;C50,E50=0),"",IF(D50=0,1/C50,N(AE50)/E50))</f>
        <v/>
      </c>
      <c r="BE50" s="25" t="str">
        <f aca="false">IF(OR(C50="",BE$2&gt;C50,E50=0),"",IF(D50=0,1/C50,N(AF50)/E50))</f>
        <v/>
      </c>
      <c r="BF50" s="26" t="str">
        <f aca="false">IF(C50="","",SUM(AH50:BE50))</f>
        <v/>
      </c>
    </row>
    <row r="51" customFormat="false" ht="15" hidden="false" customHeight="false" outlineLevel="0" collapsed="false">
      <c r="A51" s="11" t="n">
        <v>46</v>
      </c>
      <c r="B51" s="21" t="str">
        <f aca="false">IF(Projects!B51="","",Projects!B51)</f>
        <v/>
      </c>
      <c r="C51" s="22" t="str">
        <f aca="false">IF(Projects!E51="","",Projects!E51)</f>
        <v/>
      </c>
      <c r="D51" s="23" t="n">
        <f aca="false">COUNT($I51:$AF51)</f>
        <v>0</v>
      </c>
      <c r="E51" s="23" t="n">
        <f aca="false">IF(C51="",0,IF(D51=0,C51,SUMPRODUCT($I51:$AF51*($I$2:$AF$2&lt;=C51))))</f>
        <v>0</v>
      </c>
      <c r="F51" s="23" t="n">
        <f aca="false">IF(OR(C51="",Projects!D51=""),1,MAX(1,((YEAR(Projects!$C$2)-YEAR(Projects!D51))*12+MONTH(Projects!$C$2)-MONTH(Projects!D51)+1)+1))</f>
        <v>1</v>
      </c>
      <c r="G51" s="23" t="n">
        <f aca="false">IF(C51="",0,IF(D51=0,MAX(0,C51-F51+1),SUMPRODUCT($I51:$AF51*($I$2:$AF$2&gt;=F51)*($I$2:$AF$2&lt;=C51))))</f>
        <v>0</v>
      </c>
      <c r="H51" s="23" t="n">
        <f aca="false">IF(C51="",0,SUMPRODUCT(($I51:$AF51&lt;&gt;0)*($I$2:$AF$2&gt;C51)))</f>
        <v>0</v>
      </c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H51" s="25" t="str">
        <f aca="false">IF(OR(C51="",AH$2&gt;C51,E51=0),"",IF(D51=0,1/C51,N(I51)/E51))</f>
        <v/>
      </c>
      <c r="AI51" s="25" t="str">
        <f aca="false">IF(OR(C51="",AI$2&gt;C51,E51=0),"",IF(D51=0,1/C51,N(J51)/E51))</f>
        <v/>
      </c>
      <c r="AJ51" s="25" t="str">
        <f aca="false">IF(OR(C51="",AJ$2&gt;C51,E51=0),"",IF(D51=0,1/C51,N(K51)/E51))</f>
        <v/>
      </c>
      <c r="AK51" s="25" t="str">
        <f aca="false">IF(OR(C51="",AK$2&gt;C51,E51=0),"",IF(D51=0,1/C51,N(L51)/E51))</f>
        <v/>
      </c>
      <c r="AL51" s="25" t="str">
        <f aca="false">IF(OR(C51="",AL$2&gt;C51,E51=0),"",IF(D51=0,1/C51,N(M51)/E51))</f>
        <v/>
      </c>
      <c r="AM51" s="25" t="str">
        <f aca="false">IF(OR(C51="",AM$2&gt;C51,E51=0),"",IF(D51=0,1/C51,N(N51)/E51))</f>
        <v/>
      </c>
      <c r="AN51" s="25" t="str">
        <f aca="false">IF(OR(C51="",AN$2&gt;C51,E51=0),"",IF(D51=0,1/C51,N(O51)/E51))</f>
        <v/>
      </c>
      <c r="AO51" s="25" t="str">
        <f aca="false">IF(OR(C51="",AO$2&gt;C51,E51=0),"",IF(D51=0,1/C51,N(P51)/E51))</f>
        <v/>
      </c>
      <c r="AP51" s="25" t="str">
        <f aca="false">IF(OR(C51="",AP$2&gt;C51,E51=0),"",IF(D51=0,1/C51,N(Q51)/E51))</f>
        <v/>
      </c>
      <c r="AQ51" s="25" t="str">
        <f aca="false">IF(OR(C51="",AQ$2&gt;C51,E51=0),"",IF(D51=0,1/C51,N(R51)/E51))</f>
        <v/>
      </c>
      <c r="AR51" s="25" t="str">
        <f aca="false">IF(OR(C51="",AR$2&gt;C51,E51=0),"",IF(D51=0,1/C51,N(S51)/E51))</f>
        <v/>
      </c>
      <c r="AS51" s="25" t="str">
        <f aca="false">IF(OR(C51="",AS$2&gt;C51,E51=0),"",IF(D51=0,1/C51,N(T51)/E51))</f>
        <v/>
      </c>
      <c r="AT51" s="25" t="str">
        <f aca="false">IF(OR(C51="",AT$2&gt;C51,E51=0),"",IF(D51=0,1/C51,N(U51)/E51))</f>
        <v/>
      </c>
      <c r="AU51" s="25" t="str">
        <f aca="false">IF(OR(C51="",AU$2&gt;C51,E51=0),"",IF(D51=0,1/C51,N(V51)/E51))</f>
        <v/>
      </c>
      <c r="AV51" s="25" t="str">
        <f aca="false">IF(OR(C51="",AV$2&gt;C51,E51=0),"",IF(D51=0,1/C51,N(W51)/E51))</f>
        <v/>
      </c>
      <c r="AW51" s="25" t="str">
        <f aca="false">IF(OR(C51="",AW$2&gt;C51,E51=0),"",IF(D51=0,1/C51,N(X51)/E51))</f>
        <v/>
      </c>
      <c r="AX51" s="25" t="str">
        <f aca="false">IF(OR(C51="",AX$2&gt;C51,E51=0),"",IF(D51=0,1/C51,N(Y51)/E51))</f>
        <v/>
      </c>
      <c r="AY51" s="25" t="str">
        <f aca="false">IF(OR(C51="",AY$2&gt;C51,E51=0),"",IF(D51=0,1/C51,N(Z51)/E51))</f>
        <v/>
      </c>
      <c r="AZ51" s="25" t="str">
        <f aca="false">IF(OR(C51="",AZ$2&gt;C51,E51=0),"",IF(D51=0,1/C51,N(AA51)/E51))</f>
        <v/>
      </c>
      <c r="BA51" s="25" t="str">
        <f aca="false">IF(OR(C51="",BA$2&gt;C51,E51=0),"",IF(D51=0,1/C51,N(AB51)/E51))</f>
        <v/>
      </c>
      <c r="BB51" s="25" t="str">
        <f aca="false">IF(OR(C51="",BB$2&gt;C51,E51=0),"",IF(D51=0,1/C51,N(AC51)/E51))</f>
        <v/>
      </c>
      <c r="BC51" s="25" t="str">
        <f aca="false">IF(OR(C51="",BC$2&gt;C51,E51=0),"",IF(D51=0,1/C51,N(AD51)/E51))</f>
        <v/>
      </c>
      <c r="BD51" s="25" t="str">
        <f aca="false">IF(OR(C51="",BD$2&gt;C51,E51=0),"",IF(D51=0,1/C51,N(AE51)/E51))</f>
        <v/>
      </c>
      <c r="BE51" s="25" t="str">
        <f aca="false">IF(OR(C51="",BE$2&gt;C51,E51=0),"",IF(D51=0,1/C51,N(AF51)/E51))</f>
        <v/>
      </c>
      <c r="BF51" s="26" t="str">
        <f aca="false">IF(C51="","",SUM(AH51:BE51))</f>
        <v/>
      </c>
    </row>
    <row r="52" customFormat="false" ht="15" hidden="false" customHeight="false" outlineLevel="0" collapsed="false">
      <c r="A52" s="11" t="n">
        <v>47</v>
      </c>
      <c r="B52" s="21" t="str">
        <f aca="false">IF(Projects!B52="","",Projects!B52)</f>
        <v/>
      </c>
      <c r="C52" s="22" t="str">
        <f aca="false">IF(Projects!E52="","",Projects!E52)</f>
        <v/>
      </c>
      <c r="D52" s="23" t="n">
        <f aca="false">COUNT($I52:$AF52)</f>
        <v>0</v>
      </c>
      <c r="E52" s="23" t="n">
        <f aca="false">IF(C52="",0,IF(D52=0,C52,SUMPRODUCT($I52:$AF52*($I$2:$AF$2&lt;=C52))))</f>
        <v>0</v>
      </c>
      <c r="F52" s="23" t="n">
        <f aca="false">IF(OR(C52="",Projects!D52=""),1,MAX(1,((YEAR(Projects!$C$2)-YEAR(Projects!D52))*12+MONTH(Projects!$C$2)-MONTH(Projects!D52)+1)+1))</f>
        <v>1</v>
      </c>
      <c r="G52" s="23" t="n">
        <f aca="false">IF(C52="",0,IF(D52=0,MAX(0,C52-F52+1),SUMPRODUCT($I52:$AF52*($I$2:$AF$2&gt;=F52)*($I$2:$AF$2&lt;=C52))))</f>
        <v>0</v>
      </c>
      <c r="H52" s="23" t="n">
        <f aca="false">IF(C52="",0,SUMPRODUCT(($I52:$AF52&lt;&gt;0)*($I$2:$AF$2&gt;C52)))</f>
        <v>0</v>
      </c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H52" s="25" t="str">
        <f aca="false">IF(OR(C52="",AH$2&gt;C52,E52=0),"",IF(D52=0,1/C52,N(I52)/E52))</f>
        <v/>
      </c>
      <c r="AI52" s="25" t="str">
        <f aca="false">IF(OR(C52="",AI$2&gt;C52,E52=0),"",IF(D52=0,1/C52,N(J52)/E52))</f>
        <v/>
      </c>
      <c r="AJ52" s="25" t="str">
        <f aca="false">IF(OR(C52="",AJ$2&gt;C52,E52=0),"",IF(D52=0,1/C52,N(K52)/E52))</f>
        <v/>
      </c>
      <c r="AK52" s="25" t="str">
        <f aca="false">IF(OR(C52="",AK$2&gt;C52,E52=0),"",IF(D52=0,1/C52,N(L52)/E52))</f>
        <v/>
      </c>
      <c r="AL52" s="25" t="str">
        <f aca="false">IF(OR(C52="",AL$2&gt;C52,E52=0),"",IF(D52=0,1/C52,N(M52)/E52))</f>
        <v/>
      </c>
      <c r="AM52" s="25" t="str">
        <f aca="false">IF(OR(C52="",AM$2&gt;C52,E52=0),"",IF(D52=0,1/C52,N(N52)/E52))</f>
        <v/>
      </c>
      <c r="AN52" s="25" t="str">
        <f aca="false">IF(OR(C52="",AN$2&gt;C52,E52=0),"",IF(D52=0,1/C52,N(O52)/E52))</f>
        <v/>
      </c>
      <c r="AO52" s="25" t="str">
        <f aca="false">IF(OR(C52="",AO$2&gt;C52,E52=0),"",IF(D52=0,1/C52,N(P52)/E52))</f>
        <v/>
      </c>
      <c r="AP52" s="25" t="str">
        <f aca="false">IF(OR(C52="",AP$2&gt;C52,E52=0),"",IF(D52=0,1/C52,N(Q52)/E52))</f>
        <v/>
      </c>
      <c r="AQ52" s="25" t="str">
        <f aca="false">IF(OR(C52="",AQ$2&gt;C52,E52=0),"",IF(D52=0,1/C52,N(R52)/E52))</f>
        <v/>
      </c>
      <c r="AR52" s="25" t="str">
        <f aca="false">IF(OR(C52="",AR$2&gt;C52,E52=0),"",IF(D52=0,1/C52,N(S52)/E52))</f>
        <v/>
      </c>
      <c r="AS52" s="25" t="str">
        <f aca="false">IF(OR(C52="",AS$2&gt;C52,E52=0),"",IF(D52=0,1/C52,N(T52)/E52))</f>
        <v/>
      </c>
      <c r="AT52" s="25" t="str">
        <f aca="false">IF(OR(C52="",AT$2&gt;C52,E52=0),"",IF(D52=0,1/C52,N(U52)/E52))</f>
        <v/>
      </c>
      <c r="AU52" s="25" t="str">
        <f aca="false">IF(OR(C52="",AU$2&gt;C52,E52=0),"",IF(D52=0,1/C52,N(V52)/E52))</f>
        <v/>
      </c>
      <c r="AV52" s="25" t="str">
        <f aca="false">IF(OR(C52="",AV$2&gt;C52,E52=0),"",IF(D52=0,1/C52,N(W52)/E52))</f>
        <v/>
      </c>
      <c r="AW52" s="25" t="str">
        <f aca="false">IF(OR(C52="",AW$2&gt;C52,E52=0),"",IF(D52=0,1/C52,N(X52)/E52))</f>
        <v/>
      </c>
      <c r="AX52" s="25" t="str">
        <f aca="false">IF(OR(C52="",AX$2&gt;C52,E52=0),"",IF(D52=0,1/C52,N(Y52)/E52))</f>
        <v/>
      </c>
      <c r="AY52" s="25" t="str">
        <f aca="false">IF(OR(C52="",AY$2&gt;C52,E52=0),"",IF(D52=0,1/C52,N(Z52)/E52))</f>
        <v/>
      </c>
      <c r="AZ52" s="25" t="str">
        <f aca="false">IF(OR(C52="",AZ$2&gt;C52,E52=0),"",IF(D52=0,1/C52,N(AA52)/E52))</f>
        <v/>
      </c>
      <c r="BA52" s="25" t="str">
        <f aca="false">IF(OR(C52="",BA$2&gt;C52,E52=0),"",IF(D52=0,1/C52,N(AB52)/E52))</f>
        <v/>
      </c>
      <c r="BB52" s="25" t="str">
        <f aca="false">IF(OR(C52="",BB$2&gt;C52,E52=0),"",IF(D52=0,1/C52,N(AC52)/E52))</f>
        <v/>
      </c>
      <c r="BC52" s="25" t="str">
        <f aca="false">IF(OR(C52="",BC$2&gt;C52,E52=0),"",IF(D52=0,1/C52,N(AD52)/E52))</f>
        <v/>
      </c>
      <c r="BD52" s="25" t="str">
        <f aca="false">IF(OR(C52="",BD$2&gt;C52,E52=0),"",IF(D52=0,1/C52,N(AE52)/E52))</f>
        <v/>
      </c>
      <c r="BE52" s="25" t="str">
        <f aca="false">IF(OR(C52="",BE$2&gt;C52,E52=0),"",IF(D52=0,1/C52,N(AF52)/E52))</f>
        <v/>
      </c>
      <c r="BF52" s="26" t="str">
        <f aca="false">IF(C52="","",SUM(AH52:BE52))</f>
        <v/>
      </c>
    </row>
    <row r="53" customFormat="false" ht="15" hidden="false" customHeight="false" outlineLevel="0" collapsed="false">
      <c r="A53" s="11" t="n">
        <v>48</v>
      </c>
      <c r="B53" s="21" t="str">
        <f aca="false">IF(Projects!B53="","",Projects!B53)</f>
        <v/>
      </c>
      <c r="C53" s="22" t="str">
        <f aca="false">IF(Projects!E53="","",Projects!E53)</f>
        <v/>
      </c>
      <c r="D53" s="23" t="n">
        <f aca="false">COUNT($I53:$AF53)</f>
        <v>0</v>
      </c>
      <c r="E53" s="23" t="n">
        <f aca="false">IF(C53="",0,IF(D53=0,C53,SUMPRODUCT($I53:$AF53*($I$2:$AF$2&lt;=C53))))</f>
        <v>0</v>
      </c>
      <c r="F53" s="23" t="n">
        <f aca="false">IF(OR(C53="",Projects!D53=""),1,MAX(1,((YEAR(Projects!$C$2)-YEAR(Projects!D53))*12+MONTH(Projects!$C$2)-MONTH(Projects!D53)+1)+1))</f>
        <v>1</v>
      </c>
      <c r="G53" s="23" t="n">
        <f aca="false">IF(C53="",0,IF(D53=0,MAX(0,C53-F53+1),SUMPRODUCT($I53:$AF53*($I$2:$AF$2&gt;=F53)*($I$2:$AF$2&lt;=C53))))</f>
        <v>0</v>
      </c>
      <c r="H53" s="23" t="n">
        <f aca="false">IF(C53="",0,SUMPRODUCT(($I53:$AF53&lt;&gt;0)*($I$2:$AF$2&gt;C53)))</f>
        <v>0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H53" s="25" t="str">
        <f aca="false">IF(OR(C53="",AH$2&gt;C53,E53=0),"",IF(D53=0,1/C53,N(I53)/E53))</f>
        <v/>
      </c>
      <c r="AI53" s="25" t="str">
        <f aca="false">IF(OR(C53="",AI$2&gt;C53,E53=0),"",IF(D53=0,1/C53,N(J53)/E53))</f>
        <v/>
      </c>
      <c r="AJ53" s="25" t="str">
        <f aca="false">IF(OR(C53="",AJ$2&gt;C53,E53=0),"",IF(D53=0,1/C53,N(K53)/E53))</f>
        <v/>
      </c>
      <c r="AK53" s="25" t="str">
        <f aca="false">IF(OR(C53="",AK$2&gt;C53,E53=0),"",IF(D53=0,1/C53,N(L53)/E53))</f>
        <v/>
      </c>
      <c r="AL53" s="25" t="str">
        <f aca="false">IF(OR(C53="",AL$2&gt;C53,E53=0),"",IF(D53=0,1/C53,N(M53)/E53))</f>
        <v/>
      </c>
      <c r="AM53" s="25" t="str">
        <f aca="false">IF(OR(C53="",AM$2&gt;C53,E53=0),"",IF(D53=0,1/C53,N(N53)/E53))</f>
        <v/>
      </c>
      <c r="AN53" s="25" t="str">
        <f aca="false">IF(OR(C53="",AN$2&gt;C53,E53=0),"",IF(D53=0,1/C53,N(O53)/E53))</f>
        <v/>
      </c>
      <c r="AO53" s="25" t="str">
        <f aca="false">IF(OR(C53="",AO$2&gt;C53,E53=0),"",IF(D53=0,1/C53,N(P53)/E53))</f>
        <v/>
      </c>
      <c r="AP53" s="25" t="str">
        <f aca="false">IF(OR(C53="",AP$2&gt;C53,E53=0),"",IF(D53=0,1/C53,N(Q53)/E53))</f>
        <v/>
      </c>
      <c r="AQ53" s="25" t="str">
        <f aca="false">IF(OR(C53="",AQ$2&gt;C53,E53=0),"",IF(D53=0,1/C53,N(R53)/E53))</f>
        <v/>
      </c>
      <c r="AR53" s="25" t="str">
        <f aca="false">IF(OR(C53="",AR$2&gt;C53,E53=0),"",IF(D53=0,1/C53,N(S53)/E53))</f>
        <v/>
      </c>
      <c r="AS53" s="25" t="str">
        <f aca="false">IF(OR(C53="",AS$2&gt;C53,E53=0),"",IF(D53=0,1/C53,N(T53)/E53))</f>
        <v/>
      </c>
      <c r="AT53" s="25" t="str">
        <f aca="false">IF(OR(C53="",AT$2&gt;C53,E53=0),"",IF(D53=0,1/C53,N(U53)/E53))</f>
        <v/>
      </c>
      <c r="AU53" s="25" t="str">
        <f aca="false">IF(OR(C53="",AU$2&gt;C53,E53=0),"",IF(D53=0,1/C53,N(V53)/E53))</f>
        <v/>
      </c>
      <c r="AV53" s="25" t="str">
        <f aca="false">IF(OR(C53="",AV$2&gt;C53,E53=0),"",IF(D53=0,1/C53,N(W53)/E53))</f>
        <v/>
      </c>
      <c r="AW53" s="25" t="str">
        <f aca="false">IF(OR(C53="",AW$2&gt;C53,E53=0),"",IF(D53=0,1/C53,N(X53)/E53))</f>
        <v/>
      </c>
      <c r="AX53" s="25" t="str">
        <f aca="false">IF(OR(C53="",AX$2&gt;C53,E53=0),"",IF(D53=0,1/C53,N(Y53)/E53))</f>
        <v/>
      </c>
      <c r="AY53" s="25" t="str">
        <f aca="false">IF(OR(C53="",AY$2&gt;C53,E53=0),"",IF(D53=0,1/C53,N(Z53)/E53))</f>
        <v/>
      </c>
      <c r="AZ53" s="25" t="str">
        <f aca="false">IF(OR(C53="",AZ$2&gt;C53,E53=0),"",IF(D53=0,1/C53,N(AA53)/E53))</f>
        <v/>
      </c>
      <c r="BA53" s="25" t="str">
        <f aca="false">IF(OR(C53="",BA$2&gt;C53,E53=0),"",IF(D53=0,1/C53,N(AB53)/E53))</f>
        <v/>
      </c>
      <c r="BB53" s="25" t="str">
        <f aca="false">IF(OR(C53="",BB$2&gt;C53,E53=0),"",IF(D53=0,1/C53,N(AC53)/E53))</f>
        <v/>
      </c>
      <c r="BC53" s="25" t="str">
        <f aca="false">IF(OR(C53="",BC$2&gt;C53,E53=0),"",IF(D53=0,1/C53,N(AD53)/E53))</f>
        <v/>
      </c>
      <c r="BD53" s="25" t="str">
        <f aca="false">IF(OR(C53="",BD$2&gt;C53,E53=0),"",IF(D53=0,1/C53,N(AE53)/E53))</f>
        <v/>
      </c>
      <c r="BE53" s="25" t="str">
        <f aca="false">IF(OR(C53="",BE$2&gt;C53,E53=0),"",IF(D53=0,1/C53,N(AF53)/E53))</f>
        <v/>
      </c>
      <c r="BF53" s="26" t="str">
        <f aca="false">IF(C53="","",SUM(AH53:BE53))</f>
        <v/>
      </c>
    </row>
    <row r="54" customFormat="false" ht="15" hidden="false" customHeight="false" outlineLevel="0" collapsed="false">
      <c r="A54" s="11" t="n">
        <v>49</v>
      </c>
      <c r="B54" s="21" t="str">
        <f aca="false">IF(Projects!B54="","",Projects!B54)</f>
        <v/>
      </c>
      <c r="C54" s="22" t="str">
        <f aca="false">IF(Projects!E54="","",Projects!E54)</f>
        <v/>
      </c>
      <c r="D54" s="23" t="n">
        <f aca="false">COUNT($I54:$AF54)</f>
        <v>0</v>
      </c>
      <c r="E54" s="23" t="n">
        <f aca="false">IF(C54="",0,IF(D54=0,C54,SUMPRODUCT($I54:$AF54*($I$2:$AF$2&lt;=C54))))</f>
        <v>0</v>
      </c>
      <c r="F54" s="23" t="n">
        <f aca="false">IF(OR(C54="",Projects!D54=""),1,MAX(1,((YEAR(Projects!$C$2)-YEAR(Projects!D54))*12+MONTH(Projects!$C$2)-MONTH(Projects!D54)+1)+1))</f>
        <v>1</v>
      </c>
      <c r="G54" s="23" t="n">
        <f aca="false">IF(C54="",0,IF(D54=0,MAX(0,C54-F54+1),SUMPRODUCT($I54:$AF54*($I$2:$AF$2&gt;=F54)*($I$2:$AF$2&lt;=C54))))</f>
        <v>0</v>
      </c>
      <c r="H54" s="23" t="n">
        <f aca="false">IF(C54="",0,SUMPRODUCT(($I54:$AF54&lt;&gt;0)*($I$2:$AF$2&gt;C54)))</f>
        <v>0</v>
      </c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H54" s="25" t="str">
        <f aca="false">IF(OR(C54="",AH$2&gt;C54,E54=0),"",IF(D54=0,1/C54,N(I54)/E54))</f>
        <v/>
      </c>
      <c r="AI54" s="25" t="str">
        <f aca="false">IF(OR(C54="",AI$2&gt;C54,E54=0),"",IF(D54=0,1/C54,N(J54)/E54))</f>
        <v/>
      </c>
      <c r="AJ54" s="25" t="str">
        <f aca="false">IF(OR(C54="",AJ$2&gt;C54,E54=0),"",IF(D54=0,1/C54,N(K54)/E54))</f>
        <v/>
      </c>
      <c r="AK54" s="25" t="str">
        <f aca="false">IF(OR(C54="",AK$2&gt;C54,E54=0),"",IF(D54=0,1/C54,N(L54)/E54))</f>
        <v/>
      </c>
      <c r="AL54" s="25" t="str">
        <f aca="false">IF(OR(C54="",AL$2&gt;C54,E54=0),"",IF(D54=0,1/C54,N(M54)/E54))</f>
        <v/>
      </c>
      <c r="AM54" s="25" t="str">
        <f aca="false">IF(OR(C54="",AM$2&gt;C54,E54=0),"",IF(D54=0,1/C54,N(N54)/E54))</f>
        <v/>
      </c>
      <c r="AN54" s="25" t="str">
        <f aca="false">IF(OR(C54="",AN$2&gt;C54,E54=0),"",IF(D54=0,1/C54,N(O54)/E54))</f>
        <v/>
      </c>
      <c r="AO54" s="25" t="str">
        <f aca="false">IF(OR(C54="",AO$2&gt;C54,E54=0),"",IF(D54=0,1/C54,N(P54)/E54))</f>
        <v/>
      </c>
      <c r="AP54" s="25" t="str">
        <f aca="false">IF(OR(C54="",AP$2&gt;C54,E54=0),"",IF(D54=0,1/C54,N(Q54)/E54))</f>
        <v/>
      </c>
      <c r="AQ54" s="25" t="str">
        <f aca="false">IF(OR(C54="",AQ$2&gt;C54,E54=0),"",IF(D54=0,1/C54,N(R54)/E54))</f>
        <v/>
      </c>
      <c r="AR54" s="25" t="str">
        <f aca="false">IF(OR(C54="",AR$2&gt;C54,E54=0),"",IF(D54=0,1/C54,N(S54)/E54))</f>
        <v/>
      </c>
      <c r="AS54" s="25" t="str">
        <f aca="false">IF(OR(C54="",AS$2&gt;C54,E54=0),"",IF(D54=0,1/C54,N(T54)/E54))</f>
        <v/>
      </c>
      <c r="AT54" s="25" t="str">
        <f aca="false">IF(OR(C54="",AT$2&gt;C54,E54=0),"",IF(D54=0,1/C54,N(U54)/E54))</f>
        <v/>
      </c>
      <c r="AU54" s="25" t="str">
        <f aca="false">IF(OR(C54="",AU$2&gt;C54,E54=0),"",IF(D54=0,1/C54,N(V54)/E54))</f>
        <v/>
      </c>
      <c r="AV54" s="25" t="str">
        <f aca="false">IF(OR(C54="",AV$2&gt;C54,E54=0),"",IF(D54=0,1/C54,N(W54)/E54))</f>
        <v/>
      </c>
      <c r="AW54" s="25" t="str">
        <f aca="false">IF(OR(C54="",AW$2&gt;C54,E54=0),"",IF(D54=0,1/C54,N(X54)/E54))</f>
        <v/>
      </c>
      <c r="AX54" s="25" t="str">
        <f aca="false">IF(OR(C54="",AX$2&gt;C54,E54=0),"",IF(D54=0,1/C54,N(Y54)/E54))</f>
        <v/>
      </c>
      <c r="AY54" s="25" t="str">
        <f aca="false">IF(OR(C54="",AY$2&gt;C54,E54=0),"",IF(D54=0,1/C54,N(Z54)/E54))</f>
        <v/>
      </c>
      <c r="AZ54" s="25" t="str">
        <f aca="false">IF(OR(C54="",AZ$2&gt;C54,E54=0),"",IF(D54=0,1/C54,N(AA54)/E54))</f>
        <v/>
      </c>
      <c r="BA54" s="25" t="str">
        <f aca="false">IF(OR(C54="",BA$2&gt;C54,E54=0),"",IF(D54=0,1/C54,N(AB54)/E54))</f>
        <v/>
      </c>
      <c r="BB54" s="25" t="str">
        <f aca="false">IF(OR(C54="",BB$2&gt;C54,E54=0),"",IF(D54=0,1/C54,N(AC54)/E54))</f>
        <v/>
      </c>
      <c r="BC54" s="25" t="str">
        <f aca="false">IF(OR(C54="",BC$2&gt;C54,E54=0),"",IF(D54=0,1/C54,N(AD54)/E54))</f>
        <v/>
      </c>
      <c r="BD54" s="25" t="str">
        <f aca="false">IF(OR(C54="",BD$2&gt;C54,E54=0),"",IF(D54=0,1/C54,N(AE54)/E54))</f>
        <v/>
      </c>
      <c r="BE54" s="25" t="str">
        <f aca="false">IF(OR(C54="",BE$2&gt;C54,E54=0),"",IF(D54=0,1/C54,N(AF54)/E54))</f>
        <v/>
      </c>
      <c r="BF54" s="26" t="str">
        <f aca="false">IF(C54="","",SUM(AH54:BE54))</f>
        <v/>
      </c>
    </row>
    <row r="55" customFormat="false" ht="15" hidden="false" customHeight="false" outlineLevel="0" collapsed="false">
      <c r="A55" s="11" t="n">
        <v>50</v>
      </c>
      <c r="B55" s="21" t="str">
        <f aca="false">IF(Projects!B55="","",Projects!B55)</f>
        <v/>
      </c>
      <c r="C55" s="22" t="str">
        <f aca="false">IF(Projects!E55="","",Projects!E55)</f>
        <v/>
      </c>
      <c r="D55" s="23" t="n">
        <f aca="false">COUNT($I55:$AF55)</f>
        <v>0</v>
      </c>
      <c r="E55" s="23" t="n">
        <f aca="false">IF(C55="",0,IF(D55=0,C55,SUMPRODUCT($I55:$AF55*($I$2:$AF$2&lt;=C55))))</f>
        <v>0</v>
      </c>
      <c r="F55" s="23" t="n">
        <f aca="false">IF(OR(C55="",Projects!D55=""),1,MAX(1,((YEAR(Projects!$C$2)-YEAR(Projects!D55))*12+MONTH(Projects!$C$2)-MONTH(Projects!D55)+1)+1))</f>
        <v>1</v>
      </c>
      <c r="G55" s="23" t="n">
        <f aca="false">IF(C55="",0,IF(D55=0,MAX(0,C55-F55+1),SUMPRODUCT($I55:$AF55*($I$2:$AF$2&gt;=F55)*($I$2:$AF$2&lt;=C55))))</f>
        <v>0</v>
      </c>
      <c r="H55" s="23" t="n">
        <f aca="false">IF(C55="",0,SUMPRODUCT(($I55:$AF55&lt;&gt;0)*($I$2:$AF$2&gt;C55)))</f>
        <v>0</v>
      </c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H55" s="25" t="str">
        <f aca="false">IF(OR(C55="",AH$2&gt;C55,E55=0),"",IF(D55=0,1/C55,N(I55)/E55))</f>
        <v/>
      </c>
      <c r="AI55" s="25" t="str">
        <f aca="false">IF(OR(C55="",AI$2&gt;C55,E55=0),"",IF(D55=0,1/C55,N(J55)/E55))</f>
        <v/>
      </c>
      <c r="AJ55" s="25" t="str">
        <f aca="false">IF(OR(C55="",AJ$2&gt;C55,E55=0),"",IF(D55=0,1/C55,N(K55)/E55))</f>
        <v/>
      </c>
      <c r="AK55" s="25" t="str">
        <f aca="false">IF(OR(C55="",AK$2&gt;C55,E55=0),"",IF(D55=0,1/C55,N(L55)/E55))</f>
        <v/>
      </c>
      <c r="AL55" s="25" t="str">
        <f aca="false">IF(OR(C55="",AL$2&gt;C55,E55=0),"",IF(D55=0,1/C55,N(M55)/E55))</f>
        <v/>
      </c>
      <c r="AM55" s="25" t="str">
        <f aca="false">IF(OR(C55="",AM$2&gt;C55,E55=0),"",IF(D55=0,1/C55,N(N55)/E55))</f>
        <v/>
      </c>
      <c r="AN55" s="25" t="str">
        <f aca="false">IF(OR(C55="",AN$2&gt;C55,E55=0),"",IF(D55=0,1/C55,N(O55)/E55))</f>
        <v/>
      </c>
      <c r="AO55" s="25" t="str">
        <f aca="false">IF(OR(C55="",AO$2&gt;C55,E55=0),"",IF(D55=0,1/C55,N(P55)/E55))</f>
        <v/>
      </c>
      <c r="AP55" s="25" t="str">
        <f aca="false">IF(OR(C55="",AP$2&gt;C55,E55=0),"",IF(D55=0,1/C55,N(Q55)/E55))</f>
        <v/>
      </c>
      <c r="AQ55" s="25" t="str">
        <f aca="false">IF(OR(C55="",AQ$2&gt;C55,E55=0),"",IF(D55=0,1/C55,N(R55)/E55))</f>
        <v/>
      </c>
      <c r="AR55" s="25" t="str">
        <f aca="false">IF(OR(C55="",AR$2&gt;C55,E55=0),"",IF(D55=0,1/C55,N(S55)/E55))</f>
        <v/>
      </c>
      <c r="AS55" s="25" t="str">
        <f aca="false">IF(OR(C55="",AS$2&gt;C55,E55=0),"",IF(D55=0,1/C55,N(T55)/E55))</f>
        <v/>
      </c>
      <c r="AT55" s="25" t="str">
        <f aca="false">IF(OR(C55="",AT$2&gt;C55,E55=0),"",IF(D55=0,1/C55,N(U55)/E55))</f>
        <v/>
      </c>
      <c r="AU55" s="25" t="str">
        <f aca="false">IF(OR(C55="",AU$2&gt;C55,E55=0),"",IF(D55=0,1/C55,N(V55)/E55))</f>
        <v/>
      </c>
      <c r="AV55" s="25" t="str">
        <f aca="false">IF(OR(C55="",AV$2&gt;C55,E55=0),"",IF(D55=0,1/C55,N(W55)/E55))</f>
        <v/>
      </c>
      <c r="AW55" s="25" t="str">
        <f aca="false">IF(OR(C55="",AW$2&gt;C55,E55=0),"",IF(D55=0,1/C55,N(X55)/E55))</f>
        <v/>
      </c>
      <c r="AX55" s="25" t="str">
        <f aca="false">IF(OR(C55="",AX$2&gt;C55,E55=0),"",IF(D55=0,1/C55,N(Y55)/E55))</f>
        <v/>
      </c>
      <c r="AY55" s="25" t="str">
        <f aca="false">IF(OR(C55="",AY$2&gt;C55,E55=0),"",IF(D55=0,1/C55,N(Z55)/E55))</f>
        <v/>
      </c>
      <c r="AZ55" s="25" t="str">
        <f aca="false">IF(OR(C55="",AZ$2&gt;C55,E55=0),"",IF(D55=0,1/C55,N(AA55)/E55))</f>
        <v/>
      </c>
      <c r="BA55" s="25" t="str">
        <f aca="false">IF(OR(C55="",BA$2&gt;C55,E55=0),"",IF(D55=0,1/C55,N(AB55)/E55))</f>
        <v/>
      </c>
      <c r="BB55" s="25" t="str">
        <f aca="false">IF(OR(C55="",BB$2&gt;C55,E55=0),"",IF(D55=0,1/C55,N(AC55)/E55))</f>
        <v/>
      </c>
      <c r="BC55" s="25" t="str">
        <f aca="false">IF(OR(C55="",BC$2&gt;C55,E55=0),"",IF(D55=0,1/C55,N(AD55)/E55))</f>
        <v/>
      </c>
      <c r="BD55" s="25" t="str">
        <f aca="false">IF(OR(C55="",BD$2&gt;C55,E55=0),"",IF(D55=0,1/C55,N(AE55)/E55))</f>
        <v/>
      </c>
      <c r="BE55" s="25" t="str">
        <f aca="false">IF(OR(C55="",BE$2&gt;C55,E55=0),"",IF(D55=0,1/C55,N(AF55)/E55))</f>
        <v/>
      </c>
      <c r="BF55" s="26" t="str">
        <f aca="false">IF(C55="","",SUM(AH55:BE55))</f>
        <v/>
      </c>
    </row>
  </sheetData>
  <conditionalFormatting sqref="I6:AF55">
    <cfRule type="expression" priority="2" aboveAverage="0" equalAverage="0" bottom="0" percent="0" rank="0" text="" dxfId="9">
      <formula>AND($C6&lt;&gt;"",I$2&lt;=$C6)</formula>
    </cfRule>
    <cfRule type="expression" priority="3" aboveAverage="0" equalAverage="0" bottom="0" percent="0" rank="0" text="" dxfId="10">
      <formula>AND($C6&lt;&gt;"",I$2&gt;$C6)</formula>
    </cfRule>
  </conditionalFormatting>
  <dataValidations count="1">
    <dataValidation allowBlank="true" error="Weights must be 0 or more." errorStyle="stop" errorTitle="Weight" operator="greaterThanOrEqual" showDropDown="false" showErrorMessage="true" showInputMessage="false" sqref="I6:AF5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AM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39" min="4" style="0" width="9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9" t="s">
        <v>113</v>
      </c>
    </row>
    <row r="4" customFormat="false" ht="15" hidden="false" customHeight="false" outlineLevel="0" collapsed="false">
      <c r="D4" s="20" t="str">
        <f aca="false">IF(D5&lt;=Projects!$C$2,"actual","future")</f>
        <v>actual</v>
      </c>
      <c r="E4" s="20" t="str">
        <f aca="false">IF(E5&lt;=Projects!$C$2,"actual","future")</f>
        <v>actual</v>
      </c>
      <c r="F4" s="20" t="str">
        <f aca="false">IF(F5&lt;=Projects!$C$2,"actual","future")</f>
        <v>actual</v>
      </c>
      <c r="G4" s="20" t="str">
        <f aca="false">IF(G5&lt;=Projects!$C$2,"actual","future")</f>
        <v>actual</v>
      </c>
      <c r="H4" s="20" t="str">
        <f aca="false">IF(H5&lt;=Projects!$C$2,"actual","future")</f>
        <v>actual</v>
      </c>
      <c r="I4" s="20" t="str">
        <f aca="false">IF(I5&lt;=Projects!$C$2,"actual","future")</f>
        <v>actual</v>
      </c>
      <c r="J4" s="20" t="str">
        <f aca="false">IF(J5&lt;=Projects!$C$2,"actual","future")</f>
        <v>actual</v>
      </c>
      <c r="K4" s="20" t="str">
        <f aca="false">IF(K5&lt;=Projects!$C$2,"actual","future")</f>
        <v>actual</v>
      </c>
      <c r="L4" s="20" t="str">
        <f aca="false">IF(L5&lt;=Projects!$C$2,"actual","future")</f>
        <v>actual</v>
      </c>
      <c r="M4" s="20" t="str">
        <f aca="false">IF(M5&lt;=Projects!$C$2,"actual","future")</f>
        <v>actual</v>
      </c>
      <c r="N4" s="20" t="str">
        <f aca="false">IF(N5&lt;=Projects!$C$2,"actual","future")</f>
        <v>future</v>
      </c>
      <c r="O4" s="20" t="str">
        <f aca="false">IF(O5&lt;=Projects!$C$2,"actual","future")</f>
        <v>future</v>
      </c>
      <c r="P4" s="20" t="str">
        <f aca="false">IF(P5&lt;=Projects!$C$2,"actual","future")</f>
        <v>future</v>
      </c>
      <c r="Q4" s="20" t="str">
        <f aca="false">IF(Q5&lt;=Projects!$C$2,"actual","future")</f>
        <v>future</v>
      </c>
      <c r="R4" s="20" t="str">
        <f aca="false">IF(R5&lt;=Projects!$C$2,"actual","future")</f>
        <v>future</v>
      </c>
      <c r="S4" s="20" t="str">
        <f aca="false">IF(S5&lt;=Projects!$C$2,"actual","future")</f>
        <v>future</v>
      </c>
      <c r="T4" s="20" t="str">
        <f aca="false">IF(T5&lt;=Projects!$C$2,"actual","future")</f>
        <v>future</v>
      </c>
      <c r="U4" s="20" t="str">
        <f aca="false">IF(U5&lt;=Projects!$C$2,"actual","future")</f>
        <v>future</v>
      </c>
      <c r="V4" s="20" t="str">
        <f aca="false">IF(V5&lt;=Projects!$C$2,"actual","future")</f>
        <v>future</v>
      </c>
      <c r="W4" s="20" t="str">
        <f aca="false">IF(W5&lt;=Projects!$C$2,"actual","future")</f>
        <v>future</v>
      </c>
      <c r="X4" s="20" t="str">
        <f aca="false">IF(X5&lt;=Projects!$C$2,"actual","future")</f>
        <v>future</v>
      </c>
      <c r="Y4" s="20" t="str">
        <f aca="false">IF(Y5&lt;=Projects!$C$2,"actual","future")</f>
        <v>future</v>
      </c>
      <c r="Z4" s="20" t="str">
        <f aca="false">IF(Z5&lt;=Projects!$C$2,"actual","future")</f>
        <v>future</v>
      </c>
      <c r="AA4" s="20" t="str">
        <f aca="false">IF(AA5&lt;=Projects!$C$2,"actual","future")</f>
        <v>future</v>
      </c>
      <c r="AB4" s="20" t="str">
        <f aca="false">IF(AB5&lt;=Projects!$C$2,"actual","future")</f>
        <v>future</v>
      </c>
      <c r="AC4" s="20" t="str">
        <f aca="false">IF(AC5&lt;=Projects!$C$2,"actual","future")</f>
        <v>future</v>
      </c>
      <c r="AD4" s="20" t="str">
        <f aca="false">IF(AD5&lt;=Projects!$C$2,"actual","future")</f>
        <v>future</v>
      </c>
      <c r="AE4" s="20" t="str">
        <f aca="false">IF(AE5&lt;=Projects!$C$2,"actual","future")</f>
        <v>future</v>
      </c>
      <c r="AF4" s="20" t="str">
        <f aca="false">IF(AF5&lt;=Projects!$C$2,"actual","future")</f>
        <v>future</v>
      </c>
      <c r="AG4" s="20" t="str">
        <f aca="false">IF(AG5&lt;=Projects!$C$2,"actual","future")</f>
        <v>future</v>
      </c>
      <c r="AH4" s="20" t="str">
        <f aca="false">IF(AH5&lt;=Projects!$C$2,"actual","future")</f>
        <v>future</v>
      </c>
      <c r="AI4" s="20" t="str">
        <f aca="false">IF(AI5&lt;=Projects!$C$2,"actual","future")</f>
        <v>future</v>
      </c>
      <c r="AJ4" s="20" t="str">
        <f aca="false">IF(AJ5&lt;=Projects!$C$2,"actual","future")</f>
        <v>future</v>
      </c>
      <c r="AK4" s="20" t="str">
        <f aca="false">IF(AK5&lt;=Projects!$C$2,"actual","future")</f>
        <v>future</v>
      </c>
      <c r="AL4" s="20" t="str">
        <f aca="false">IF(AL5&lt;=Projects!$C$2,"actual","future")</f>
        <v>future</v>
      </c>
      <c r="AM4" s="20" t="str">
        <f aca="false">IF(AM5&lt;=Projects!$C$2,"actual","future")</f>
        <v>future</v>
      </c>
    </row>
    <row r="5" customFormat="false" ht="43.5" hidden="false" customHeight="true" outlineLevel="0" collapsed="false">
      <c r="A5" s="10" t="s">
        <v>59</v>
      </c>
      <c r="B5" s="10" t="s">
        <v>60</v>
      </c>
      <c r="C5" s="10" t="s">
        <v>114</v>
      </c>
      <c r="D5" s="27" t="n">
        <f aca="false">Projects!$C$3</f>
        <v>46023</v>
      </c>
      <c r="E5" s="27" t="n">
        <f aca="false">EDATE(D5,1)</f>
        <v>46054</v>
      </c>
      <c r="F5" s="27" t="n">
        <f aca="false">EDATE(E5,1)</f>
        <v>46082</v>
      </c>
      <c r="G5" s="27" t="n">
        <f aca="false">EDATE(F5,1)</f>
        <v>46113</v>
      </c>
      <c r="H5" s="27" t="n">
        <f aca="false">EDATE(G5,1)</f>
        <v>46143</v>
      </c>
      <c r="I5" s="27" t="n">
        <f aca="false">EDATE(H5,1)</f>
        <v>46174</v>
      </c>
      <c r="J5" s="27" t="n">
        <f aca="false">EDATE(I5,1)</f>
        <v>46204</v>
      </c>
      <c r="K5" s="27" t="n">
        <f aca="false">EDATE(J5,1)</f>
        <v>46235</v>
      </c>
      <c r="L5" s="27" t="n">
        <f aca="false">EDATE(K5,1)</f>
        <v>46266</v>
      </c>
      <c r="M5" s="27" t="n">
        <f aca="false">EDATE(L5,1)</f>
        <v>46296</v>
      </c>
      <c r="N5" s="27" t="n">
        <f aca="false">EDATE(M5,1)</f>
        <v>46327</v>
      </c>
      <c r="O5" s="27" t="n">
        <f aca="false">EDATE(N5,1)</f>
        <v>46357</v>
      </c>
      <c r="P5" s="27" t="n">
        <f aca="false">EDATE(O5,1)</f>
        <v>46388</v>
      </c>
      <c r="Q5" s="27" t="n">
        <f aca="false">EDATE(P5,1)</f>
        <v>46419</v>
      </c>
      <c r="R5" s="27" t="n">
        <f aca="false">EDATE(Q5,1)</f>
        <v>46447</v>
      </c>
      <c r="S5" s="27" t="n">
        <f aca="false">EDATE(R5,1)</f>
        <v>46478</v>
      </c>
      <c r="T5" s="27" t="n">
        <f aca="false">EDATE(S5,1)</f>
        <v>46508</v>
      </c>
      <c r="U5" s="27" t="n">
        <f aca="false">EDATE(T5,1)</f>
        <v>46539</v>
      </c>
      <c r="V5" s="27" t="n">
        <f aca="false">EDATE(U5,1)</f>
        <v>46569</v>
      </c>
      <c r="W5" s="27" t="n">
        <f aca="false">EDATE(V5,1)</f>
        <v>46600</v>
      </c>
      <c r="X5" s="27" t="n">
        <f aca="false">EDATE(W5,1)</f>
        <v>46631</v>
      </c>
      <c r="Y5" s="27" t="n">
        <f aca="false">EDATE(X5,1)</f>
        <v>46661</v>
      </c>
      <c r="Z5" s="27" t="n">
        <f aca="false">EDATE(Y5,1)</f>
        <v>46692</v>
      </c>
      <c r="AA5" s="27" t="n">
        <f aca="false">EDATE(Z5,1)</f>
        <v>46722</v>
      </c>
      <c r="AB5" s="27" t="n">
        <f aca="false">EDATE(AA5,1)</f>
        <v>46753</v>
      </c>
      <c r="AC5" s="27" t="n">
        <f aca="false">EDATE(AB5,1)</f>
        <v>46784</v>
      </c>
      <c r="AD5" s="27" t="n">
        <f aca="false">EDATE(AC5,1)</f>
        <v>46813</v>
      </c>
      <c r="AE5" s="27" t="n">
        <f aca="false">EDATE(AD5,1)</f>
        <v>46844</v>
      </c>
      <c r="AF5" s="27" t="n">
        <f aca="false">EDATE(AE5,1)</f>
        <v>46874</v>
      </c>
      <c r="AG5" s="27" t="n">
        <f aca="false">EDATE(AF5,1)</f>
        <v>46905</v>
      </c>
      <c r="AH5" s="27" t="n">
        <f aca="false">EDATE(AG5,1)</f>
        <v>46935</v>
      </c>
      <c r="AI5" s="27" t="n">
        <f aca="false">EDATE(AH5,1)</f>
        <v>46966</v>
      </c>
      <c r="AJ5" s="27" t="n">
        <f aca="false">EDATE(AI5,1)</f>
        <v>46997</v>
      </c>
      <c r="AK5" s="27" t="n">
        <f aca="false">EDATE(AJ5,1)</f>
        <v>47027</v>
      </c>
      <c r="AL5" s="27" t="n">
        <f aca="false">EDATE(AK5,1)</f>
        <v>47058</v>
      </c>
      <c r="AM5" s="27" t="n">
        <f aca="false">EDATE(AL5,1)</f>
        <v>47088</v>
      </c>
    </row>
    <row r="6" customFormat="false" ht="15" hidden="false" customHeight="false" outlineLevel="0" collapsed="false">
      <c r="A6" s="11" t="n">
        <v>1</v>
      </c>
      <c r="B6" s="21" t="str">
        <f aca="false">IF(Projects!B6="","",Projects!B6)</f>
        <v>Example Project (slide)</v>
      </c>
      <c r="C6" s="17" t="n">
        <f aca="false">SUMPRODUCT($D6:$AM6*($D$5:$AM$5&lt;=Projects!$C$2))</f>
        <v>1000</v>
      </c>
      <c r="D6" s="15"/>
      <c r="E6" s="15"/>
      <c r="F6" s="15"/>
      <c r="G6" s="15"/>
      <c r="H6" s="15"/>
      <c r="I6" s="15"/>
      <c r="J6" s="15"/>
      <c r="K6" s="15"/>
      <c r="L6" s="15"/>
      <c r="M6" s="15" t="n">
        <v>1000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customFormat="false" ht="15" hidden="false" customHeight="false" outlineLevel="0" collapsed="false">
      <c r="A7" s="11" t="n">
        <v>2</v>
      </c>
      <c r="B7" s="21" t="str">
        <f aca="false">IF(Projects!B7="","",Projects!B7)</f>
        <v/>
      </c>
      <c r="C7" s="17" t="n">
        <f aca="false">SUMPRODUCT($D7:$AM7*($D$5:$AM$5&lt;=Projects!$C$2))</f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customFormat="false" ht="15" hidden="false" customHeight="false" outlineLevel="0" collapsed="false">
      <c r="A8" s="11" t="n">
        <v>3</v>
      </c>
      <c r="B8" s="21" t="str">
        <f aca="false">IF(Projects!B8="","",Projects!B8)</f>
        <v/>
      </c>
      <c r="C8" s="17" t="n">
        <f aca="false">SUMPRODUCT($D8:$AM8*($D$5:$AM$5&lt;=Projects!$C$2))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customFormat="false" ht="15" hidden="false" customHeight="false" outlineLevel="0" collapsed="false">
      <c r="A9" s="11" t="n">
        <v>4</v>
      </c>
      <c r="B9" s="21" t="str">
        <f aca="false">IF(Projects!B9="","",Projects!B9)</f>
        <v/>
      </c>
      <c r="C9" s="17" t="n">
        <f aca="false">SUMPRODUCT($D9:$AM9*($D$5:$AM$5&lt;=Projects!$C$2))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customFormat="false" ht="15" hidden="false" customHeight="false" outlineLevel="0" collapsed="false">
      <c r="A10" s="11" t="n">
        <v>5</v>
      </c>
      <c r="B10" s="21" t="str">
        <f aca="false">IF(Projects!B10="","",Projects!B10)</f>
        <v/>
      </c>
      <c r="C10" s="17" t="n">
        <f aca="false">SUMPRODUCT($D10:$AM10*($D$5:$AM$5&lt;=Projects!$C$2))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customFormat="false" ht="15" hidden="false" customHeight="false" outlineLevel="0" collapsed="false">
      <c r="A11" s="11" t="n">
        <v>6</v>
      </c>
      <c r="B11" s="21" t="str">
        <f aca="false">IF(Projects!B11="","",Projects!B11)</f>
        <v/>
      </c>
      <c r="C11" s="17" t="n">
        <f aca="false">SUMPRODUCT($D11:$AM11*($D$5:$AM$5&lt;=Projects!$C$2))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customFormat="false" ht="15" hidden="false" customHeight="false" outlineLevel="0" collapsed="false">
      <c r="A12" s="11" t="n">
        <v>7</v>
      </c>
      <c r="B12" s="21" t="str">
        <f aca="false">IF(Projects!B12="","",Projects!B12)</f>
        <v/>
      </c>
      <c r="C12" s="17" t="n">
        <f aca="false">SUMPRODUCT($D12:$AM12*($D$5:$AM$5&lt;=Projects!$C$2))</f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customFormat="false" ht="15" hidden="false" customHeight="false" outlineLevel="0" collapsed="false">
      <c r="A13" s="11" t="n">
        <v>8</v>
      </c>
      <c r="B13" s="21" t="str">
        <f aca="false">IF(Projects!B13="","",Projects!B13)</f>
        <v/>
      </c>
      <c r="C13" s="17" t="n">
        <f aca="false">SUMPRODUCT($D13:$AM13*($D$5:$AM$5&lt;=Projects!$C$2))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customFormat="false" ht="15" hidden="false" customHeight="false" outlineLevel="0" collapsed="false">
      <c r="A14" s="11" t="n">
        <v>9</v>
      </c>
      <c r="B14" s="21" t="str">
        <f aca="false">IF(Projects!B14="","",Projects!B14)</f>
        <v/>
      </c>
      <c r="C14" s="17" t="n">
        <f aca="false">SUMPRODUCT($D14:$AM14*($D$5:$AM$5&lt;=Projects!$C$2))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customFormat="false" ht="15" hidden="false" customHeight="false" outlineLevel="0" collapsed="false">
      <c r="A15" s="11" t="n">
        <v>10</v>
      </c>
      <c r="B15" s="21" t="str">
        <f aca="false">IF(Projects!B15="","",Projects!B15)</f>
        <v/>
      </c>
      <c r="C15" s="17" t="n">
        <f aca="false">SUMPRODUCT($D15:$AM15*($D$5:$AM$5&lt;=Projects!$C$2))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customFormat="false" ht="15" hidden="false" customHeight="false" outlineLevel="0" collapsed="false">
      <c r="A16" s="11" t="n">
        <v>11</v>
      </c>
      <c r="B16" s="21" t="str">
        <f aca="false">IF(Projects!B16="","",Projects!B16)</f>
        <v/>
      </c>
      <c r="C16" s="17" t="n">
        <f aca="false">SUMPRODUCT($D16:$AM16*($D$5:$AM$5&lt;=Projects!$C$2))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customFormat="false" ht="15" hidden="false" customHeight="false" outlineLevel="0" collapsed="false">
      <c r="A17" s="11" t="n">
        <v>12</v>
      </c>
      <c r="B17" s="21" t="str">
        <f aca="false">IF(Projects!B17="","",Projects!B17)</f>
        <v/>
      </c>
      <c r="C17" s="17" t="n">
        <f aca="false">SUMPRODUCT($D17:$AM17*($D$5:$AM$5&lt;=Projects!$C$2))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customFormat="false" ht="15" hidden="false" customHeight="false" outlineLevel="0" collapsed="false">
      <c r="A18" s="11" t="n">
        <v>13</v>
      </c>
      <c r="B18" s="21" t="str">
        <f aca="false">IF(Projects!B18="","",Projects!B18)</f>
        <v/>
      </c>
      <c r="C18" s="17" t="n">
        <f aca="false">SUMPRODUCT($D18:$AM18*($D$5:$AM$5&lt;=Projects!$C$2))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customFormat="false" ht="15" hidden="false" customHeight="false" outlineLevel="0" collapsed="false">
      <c r="A19" s="11" t="n">
        <v>14</v>
      </c>
      <c r="B19" s="21" t="str">
        <f aca="false">IF(Projects!B19="","",Projects!B19)</f>
        <v/>
      </c>
      <c r="C19" s="17" t="n">
        <f aca="false">SUMPRODUCT($D19:$AM19*($D$5:$AM$5&lt;=Projects!$C$2))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customFormat="false" ht="15" hidden="false" customHeight="false" outlineLevel="0" collapsed="false">
      <c r="A20" s="11" t="n">
        <v>15</v>
      </c>
      <c r="B20" s="21" t="str">
        <f aca="false">IF(Projects!B20="","",Projects!B20)</f>
        <v/>
      </c>
      <c r="C20" s="17" t="n">
        <f aca="false">SUMPRODUCT($D20:$AM20*($D$5:$AM$5&lt;=Projects!$C$2))</f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customFormat="false" ht="15" hidden="false" customHeight="false" outlineLevel="0" collapsed="false">
      <c r="A21" s="11" t="n">
        <v>16</v>
      </c>
      <c r="B21" s="21" t="str">
        <f aca="false">IF(Projects!B21="","",Projects!B21)</f>
        <v/>
      </c>
      <c r="C21" s="17" t="n">
        <f aca="false">SUMPRODUCT($D21:$AM21*($D$5:$AM$5&lt;=Projects!$C$2))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customFormat="false" ht="15" hidden="false" customHeight="false" outlineLevel="0" collapsed="false">
      <c r="A22" s="11" t="n">
        <v>17</v>
      </c>
      <c r="B22" s="21" t="str">
        <f aca="false">IF(Projects!B22="","",Projects!B22)</f>
        <v/>
      </c>
      <c r="C22" s="17" t="n">
        <f aca="false">SUMPRODUCT($D22:$AM22*($D$5:$AM$5&lt;=Projects!$C$2))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customFormat="false" ht="15" hidden="false" customHeight="false" outlineLevel="0" collapsed="false">
      <c r="A23" s="11" t="n">
        <v>18</v>
      </c>
      <c r="B23" s="21" t="str">
        <f aca="false">IF(Projects!B23="","",Projects!B23)</f>
        <v/>
      </c>
      <c r="C23" s="17" t="n">
        <f aca="false">SUMPRODUCT($D23:$AM23*($D$5:$AM$5&lt;=Projects!$C$2))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customFormat="false" ht="15" hidden="false" customHeight="false" outlineLevel="0" collapsed="false">
      <c r="A24" s="11" t="n">
        <v>19</v>
      </c>
      <c r="B24" s="21" t="str">
        <f aca="false">IF(Projects!B24="","",Projects!B24)</f>
        <v/>
      </c>
      <c r="C24" s="17" t="n">
        <f aca="false">SUMPRODUCT($D24:$AM24*($D$5:$AM$5&lt;=Projects!$C$2))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customFormat="false" ht="15" hidden="false" customHeight="false" outlineLevel="0" collapsed="false">
      <c r="A25" s="11" t="n">
        <v>20</v>
      </c>
      <c r="B25" s="21" t="str">
        <f aca="false">IF(Projects!B25="","",Projects!B25)</f>
        <v/>
      </c>
      <c r="C25" s="17" t="n">
        <f aca="false">SUMPRODUCT($D25:$AM25*($D$5:$AM$5&lt;=Projects!$C$2))</f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customFormat="false" ht="15" hidden="false" customHeight="false" outlineLevel="0" collapsed="false">
      <c r="A26" s="11" t="n">
        <v>21</v>
      </c>
      <c r="B26" s="21" t="str">
        <f aca="false">IF(Projects!B26="","",Projects!B26)</f>
        <v/>
      </c>
      <c r="C26" s="17" t="n">
        <f aca="false">SUMPRODUCT($D26:$AM26*($D$5:$AM$5&lt;=Projects!$C$2))</f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customFormat="false" ht="15" hidden="false" customHeight="false" outlineLevel="0" collapsed="false">
      <c r="A27" s="11" t="n">
        <v>22</v>
      </c>
      <c r="B27" s="21" t="str">
        <f aca="false">IF(Projects!B27="","",Projects!B27)</f>
        <v/>
      </c>
      <c r="C27" s="17" t="n">
        <f aca="false">SUMPRODUCT($D27:$AM27*($D$5:$AM$5&lt;=Projects!$C$2))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customFormat="false" ht="15" hidden="false" customHeight="false" outlineLevel="0" collapsed="false">
      <c r="A28" s="11" t="n">
        <v>23</v>
      </c>
      <c r="B28" s="21" t="str">
        <f aca="false">IF(Projects!B28="","",Projects!B28)</f>
        <v/>
      </c>
      <c r="C28" s="17" t="n">
        <f aca="false">SUMPRODUCT($D28:$AM28*($D$5:$AM$5&lt;=Projects!$C$2))</f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customFormat="false" ht="15" hidden="false" customHeight="false" outlineLevel="0" collapsed="false">
      <c r="A29" s="11" t="n">
        <v>24</v>
      </c>
      <c r="B29" s="21" t="str">
        <f aca="false">IF(Projects!B29="","",Projects!B29)</f>
        <v/>
      </c>
      <c r="C29" s="17" t="n">
        <f aca="false">SUMPRODUCT($D29:$AM29*($D$5:$AM$5&lt;=Projects!$C$2))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customFormat="false" ht="15" hidden="false" customHeight="false" outlineLevel="0" collapsed="false">
      <c r="A30" s="11" t="n">
        <v>25</v>
      </c>
      <c r="B30" s="21" t="str">
        <f aca="false">IF(Projects!B30="","",Projects!B30)</f>
        <v/>
      </c>
      <c r="C30" s="17" t="n">
        <f aca="false">SUMPRODUCT($D30:$AM30*($D$5:$AM$5&lt;=Projects!$C$2))</f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customFormat="false" ht="15" hidden="false" customHeight="false" outlineLevel="0" collapsed="false">
      <c r="A31" s="11" t="n">
        <v>26</v>
      </c>
      <c r="B31" s="21" t="str">
        <f aca="false">IF(Projects!B31="","",Projects!B31)</f>
        <v/>
      </c>
      <c r="C31" s="17" t="n">
        <f aca="false">SUMPRODUCT($D31:$AM31*($D$5:$AM$5&lt;=Projects!$C$2))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customFormat="false" ht="15" hidden="false" customHeight="false" outlineLevel="0" collapsed="false">
      <c r="A32" s="11" t="n">
        <v>27</v>
      </c>
      <c r="B32" s="21" t="str">
        <f aca="false">IF(Projects!B32="","",Projects!B32)</f>
        <v/>
      </c>
      <c r="C32" s="17" t="n">
        <f aca="false">SUMPRODUCT($D32:$AM32*($D$5:$AM$5&lt;=Projects!$C$2))</f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customFormat="false" ht="15" hidden="false" customHeight="false" outlineLevel="0" collapsed="false">
      <c r="A33" s="11" t="n">
        <v>28</v>
      </c>
      <c r="B33" s="21" t="str">
        <f aca="false">IF(Projects!B33="","",Projects!B33)</f>
        <v/>
      </c>
      <c r="C33" s="17" t="n">
        <f aca="false">SUMPRODUCT($D33:$AM33*($D$5:$AM$5&lt;=Projects!$C$2))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customFormat="false" ht="15" hidden="false" customHeight="false" outlineLevel="0" collapsed="false">
      <c r="A34" s="11" t="n">
        <v>29</v>
      </c>
      <c r="B34" s="21" t="str">
        <f aca="false">IF(Projects!B34="","",Projects!B34)</f>
        <v/>
      </c>
      <c r="C34" s="17" t="n">
        <f aca="false">SUMPRODUCT($D34:$AM34*($D$5:$AM$5&lt;=Projects!$C$2))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customFormat="false" ht="15" hidden="false" customHeight="false" outlineLevel="0" collapsed="false">
      <c r="A35" s="11" t="n">
        <v>30</v>
      </c>
      <c r="B35" s="21" t="str">
        <f aca="false">IF(Projects!B35="","",Projects!B35)</f>
        <v/>
      </c>
      <c r="C35" s="17" t="n">
        <f aca="false">SUMPRODUCT($D35:$AM35*($D$5:$AM$5&lt;=Projects!$C$2))</f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customFormat="false" ht="15" hidden="false" customHeight="false" outlineLevel="0" collapsed="false">
      <c r="A36" s="11" t="n">
        <v>31</v>
      </c>
      <c r="B36" s="21" t="str">
        <f aca="false">IF(Projects!B36="","",Projects!B36)</f>
        <v/>
      </c>
      <c r="C36" s="17" t="n">
        <f aca="false">SUMPRODUCT($D36:$AM36*($D$5:$AM$5&lt;=Projects!$C$2))</f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customFormat="false" ht="15" hidden="false" customHeight="false" outlineLevel="0" collapsed="false">
      <c r="A37" s="11" t="n">
        <v>32</v>
      </c>
      <c r="B37" s="21" t="str">
        <f aca="false">IF(Projects!B37="","",Projects!B37)</f>
        <v/>
      </c>
      <c r="C37" s="17" t="n">
        <f aca="false">SUMPRODUCT($D37:$AM37*($D$5:$AM$5&lt;=Projects!$C$2))</f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customFormat="false" ht="15" hidden="false" customHeight="false" outlineLevel="0" collapsed="false">
      <c r="A38" s="11" t="n">
        <v>33</v>
      </c>
      <c r="B38" s="21" t="str">
        <f aca="false">IF(Projects!B38="","",Projects!B38)</f>
        <v/>
      </c>
      <c r="C38" s="17" t="n">
        <f aca="false">SUMPRODUCT($D38:$AM38*($D$5:$AM$5&lt;=Projects!$C$2))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customFormat="false" ht="15" hidden="false" customHeight="false" outlineLevel="0" collapsed="false">
      <c r="A39" s="11" t="n">
        <v>34</v>
      </c>
      <c r="B39" s="21" t="str">
        <f aca="false">IF(Projects!B39="","",Projects!B39)</f>
        <v/>
      </c>
      <c r="C39" s="17" t="n">
        <f aca="false">SUMPRODUCT($D39:$AM39*($D$5:$AM$5&lt;=Projects!$C$2))</f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customFormat="false" ht="15" hidden="false" customHeight="false" outlineLevel="0" collapsed="false">
      <c r="A40" s="11" t="n">
        <v>35</v>
      </c>
      <c r="B40" s="21" t="str">
        <f aca="false">IF(Projects!B40="","",Projects!B40)</f>
        <v/>
      </c>
      <c r="C40" s="17" t="n">
        <f aca="false">SUMPRODUCT($D40:$AM40*($D$5:$AM$5&lt;=Projects!$C$2))</f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customFormat="false" ht="15" hidden="false" customHeight="false" outlineLevel="0" collapsed="false">
      <c r="A41" s="11" t="n">
        <v>36</v>
      </c>
      <c r="B41" s="21" t="str">
        <f aca="false">IF(Projects!B41="","",Projects!B41)</f>
        <v/>
      </c>
      <c r="C41" s="17" t="n">
        <f aca="false">SUMPRODUCT($D41:$AM41*($D$5:$AM$5&lt;=Projects!$C$2))</f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customFormat="false" ht="15" hidden="false" customHeight="false" outlineLevel="0" collapsed="false">
      <c r="A42" s="11" t="n">
        <v>37</v>
      </c>
      <c r="B42" s="21" t="str">
        <f aca="false">IF(Projects!B42="","",Projects!B42)</f>
        <v/>
      </c>
      <c r="C42" s="17" t="n">
        <f aca="false">SUMPRODUCT($D42:$AM42*($D$5:$AM$5&lt;=Projects!$C$2))</f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customFormat="false" ht="15" hidden="false" customHeight="false" outlineLevel="0" collapsed="false">
      <c r="A43" s="11" t="n">
        <v>38</v>
      </c>
      <c r="B43" s="21" t="str">
        <f aca="false">IF(Projects!B43="","",Projects!B43)</f>
        <v/>
      </c>
      <c r="C43" s="17" t="n">
        <f aca="false">SUMPRODUCT($D43:$AM43*($D$5:$AM$5&lt;=Projects!$C$2))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customFormat="false" ht="15" hidden="false" customHeight="false" outlineLevel="0" collapsed="false">
      <c r="A44" s="11" t="n">
        <v>39</v>
      </c>
      <c r="B44" s="21" t="str">
        <f aca="false">IF(Projects!B44="","",Projects!B44)</f>
        <v/>
      </c>
      <c r="C44" s="17" t="n">
        <f aca="false">SUMPRODUCT($D44:$AM44*($D$5:$AM$5&lt;=Projects!$C$2))</f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customFormat="false" ht="15" hidden="false" customHeight="false" outlineLevel="0" collapsed="false">
      <c r="A45" s="11" t="n">
        <v>40</v>
      </c>
      <c r="B45" s="21" t="str">
        <f aca="false">IF(Projects!B45="","",Projects!B45)</f>
        <v/>
      </c>
      <c r="C45" s="17" t="n">
        <f aca="false">SUMPRODUCT($D45:$AM45*($D$5:$AM$5&lt;=Projects!$C$2))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customFormat="false" ht="15" hidden="false" customHeight="false" outlineLevel="0" collapsed="false">
      <c r="A46" s="11" t="n">
        <v>41</v>
      </c>
      <c r="B46" s="21" t="str">
        <f aca="false">IF(Projects!B46="","",Projects!B46)</f>
        <v/>
      </c>
      <c r="C46" s="17" t="n">
        <f aca="false">SUMPRODUCT($D46:$AM46*($D$5:$AM$5&lt;=Projects!$C$2))</f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customFormat="false" ht="15" hidden="false" customHeight="false" outlineLevel="0" collapsed="false">
      <c r="A47" s="11" t="n">
        <v>42</v>
      </c>
      <c r="B47" s="21" t="str">
        <f aca="false">IF(Projects!B47="","",Projects!B47)</f>
        <v/>
      </c>
      <c r="C47" s="17" t="n">
        <f aca="false">SUMPRODUCT($D47:$AM47*($D$5:$AM$5&lt;=Projects!$C$2))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customFormat="false" ht="15" hidden="false" customHeight="false" outlineLevel="0" collapsed="false">
      <c r="A48" s="11" t="n">
        <v>43</v>
      </c>
      <c r="B48" s="21" t="str">
        <f aca="false">IF(Projects!B48="","",Projects!B48)</f>
        <v/>
      </c>
      <c r="C48" s="17" t="n">
        <f aca="false">SUMPRODUCT($D48:$AM48*($D$5:$AM$5&lt;=Projects!$C$2))</f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customFormat="false" ht="15" hidden="false" customHeight="false" outlineLevel="0" collapsed="false">
      <c r="A49" s="11" t="n">
        <v>44</v>
      </c>
      <c r="B49" s="21" t="str">
        <f aca="false">IF(Projects!B49="","",Projects!B49)</f>
        <v/>
      </c>
      <c r="C49" s="17" t="n">
        <f aca="false">SUMPRODUCT($D49:$AM49*($D$5:$AM$5&lt;=Projects!$C$2))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customFormat="false" ht="15" hidden="false" customHeight="false" outlineLevel="0" collapsed="false">
      <c r="A50" s="11" t="n">
        <v>45</v>
      </c>
      <c r="B50" s="21" t="str">
        <f aca="false">IF(Projects!B50="","",Projects!B50)</f>
        <v/>
      </c>
      <c r="C50" s="17" t="n">
        <f aca="false">SUMPRODUCT($D50:$AM50*($D$5:$AM$5&lt;=Projects!$C$2))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customFormat="false" ht="15" hidden="false" customHeight="false" outlineLevel="0" collapsed="false">
      <c r="A51" s="11" t="n">
        <v>46</v>
      </c>
      <c r="B51" s="21" t="str">
        <f aca="false">IF(Projects!B51="","",Projects!B51)</f>
        <v/>
      </c>
      <c r="C51" s="17" t="n">
        <f aca="false">SUMPRODUCT($D51:$AM51*($D$5:$AM$5&lt;=Projects!$C$2))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customFormat="false" ht="15" hidden="false" customHeight="false" outlineLevel="0" collapsed="false">
      <c r="A52" s="11" t="n">
        <v>47</v>
      </c>
      <c r="B52" s="21" t="str">
        <f aca="false">IF(Projects!B52="","",Projects!B52)</f>
        <v/>
      </c>
      <c r="C52" s="17" t="n">
        <f aca="false">SUMPRODUCT($D52:$AM52*($D$5:$AM$5&lt;=Projects!$C$2))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customFormat="false" ht="15" hidden="false" customHeight="false" outlineLevel="0" collapsed="false">
      <c r="A53" s="11" t="n">
        <v>48</v>
      </c>
      <c r="B53" s="21" t="str">
        <f aca="false">IF(Projects!B53="","",Projects!B53)</f>
        <v/>
      </c>
      <c r="C53" s="17" t="n">
        <f aca="false">SUMPRODUCT($D53:$AM53*($D$5:$AM$5&lt;=Projects!$C$2))</f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customFormat="false" ht="15" hidden="false" customHeight="false" outlineLevel="0" collapsed="false">
      <c r="A54" s="11" t="n">
        <v>49</v>
      </c>
      <c r="B54" s="21" t="str">
        <f aca="false">IF(Projects!B54="","",Projects!B54)</f>
        <v/>
      </c>
      <c r="C54" s="17" t="n">
        <f aca="false">SUMPRODUCT($D54:$AM54*($D$5:$AM$5&lt;=Projects!$C$2))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customFormat="false" ht="15" hidden="false" customHeight="false" outlineLevel="0" collapsed="false">
      <c r="A55" s="11" t="n">
        <v>50</v>
      </c>
      <c r="B55" s="21" t="str">
        <f aca="false">IF(Projects!B55="","",Projects!B55)</f>
        <v/>
      </c>
      <c r="C55" s="17" t="n">
        <f aca="false">SUMPRODUCT($D55:$AM55*($D$5:$AM$5&lt;=Projects!$C$2))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7" customFormat="false" ht="15" hidden="false" customHeight="false" outlineLevel="0" collapsed="false">
      <c r="B57" s="4" t="s">
        <v>75</v>
      </c>
      <c r="C57" s="28" t="n">
        <f aca="false">SUM(C6:C55)</f>
        <v>1000</v>
      </c>
      <c r="D57" s="28" t="n">
        <f aca="false">SUM(D6:D55)</f>
        <v>0</v>
      </c>
      <c r="E57" s="28" t="n">
        <f aca="false">SUM(E6:E55)</f>
        <v>0</v>
      </c>
      <c r="F57" s="28" t="n">
        <f aca="false">SUM(F6:F55)</f>
        <v>0</v>
      </c>
      <c r="G57" s="28" t="n">
        <f aca="false">SUM(G6:G55)</f>
        <v>0</v>
      </c>
      <c r="H57" s="28" t="n">
        <f aca="false">SUM(H6:H55)</f>
        <v>0</v>
      </c>
      <c r="I57" s="28" t="n">
        <f aca="false">SUM(I6:I55)</f>
        <v>0</v>
      </c>
      <c r="J57" s="28" t="n">
        <f aca="false">SUM(J6:J55)</f>
        <v>0</v>
      </c>
      <c r="K57" s="28" t="n">
        <f aca="false">SUM(K6:K55)</f>
        <v>0</v>
      </c>
      <c r="L57" s="28" t="n">
        <f aca="false">SUM(L6:L55)</f>
        <v>0</v>
      </c>
      <c r="M57" s="28" t="n">
        <f aca="false">SUM(M6:M55)</f>
        <v>1000</v>
      </c>
      <c r="N57" s="28" t="n">
        <f aca="false">SUM(N6:N55)</f>
        <v>0</v>
      </c>
      <c r="O57" s="28" t="n">
        <f aca="false">SUM(O6:O55)</f>
        <v>0</v>
      </c>
      <c r="P57" s="28" t="n">
        <f aca="false">SUM(P6:P55)</f>
        <v>0</v>
      </c>
      <c r="Q57" s="28" t="n">
        <f aca="false">SUM(Q6:Q55)</f>
        <v>0</v>
      </c>
      <c r="R57" s="28" t="n">
        <f aca="false">SUM(R6:R55)</f>
        <v>0</v>
      </c>
      <c r="S57" s="28" t="n">
        <f aca="false">SUM(S6:S55)</f>
        <v>0</v>
      </c>
      <c r="T57" s="28" t="n">
        <f aca="false">SUM(T6:T55)</f>
        <v>0</v>
      </c>
      <c r="U57" s="28" t="n">
        <f aca="false">SUM(U6:U55)</f>
        <v>0</v>
      </c>
      <c r="V57" s="28" t="n">
        <f aca="false">SUM(V6:V55)</f>
        <v>0</v>
      </c>
      <c r="W57" s="28" t="n">
        <f aca="false">SUM(W6:W55)</f>
        <v>0</v>
      </c>
      <c r="X57" s="28" t="n">
        <f aca="false">SUM(X6:X55)</f>
        <v>0</v>
      </c>
      <c r="Y57" s="28" t="n">
        <f aca="false">SUM(Y6:Y55)</f>
        <v>0</v>
      </c>
      <c r="Z57" s="28" t="n">
        <f aca="false">SUM(Z6:Z55)</f>
        <v>0</v>
      </c>
      <c r="AA57" s="28" t="n">
        <f aca="false">SUM(AA6:AA55)</f>
        <v>0</v>
      </c>
      <c r="AB57" s="28" t="n">
        <f aca="false">SUM(AB6:AB55)</f>
        <v>0</v>
      </c>
      <c r="AC57" s="28" t="n">
        <f aca="false">SUM(AC6:AC55)</f>
        <v>0</v>
      </c>
      <c r="AD57" s="28" t="n">
        <f aca="false">SUM(AD6:AD55)</f>
        <v>0</v>
      </c>
      <c r="AE57" s="28" t="n">
        <f aca="false">SUM(AE6:AE55)</f>
        <v>0</v>
      </c>
      <c r="AF57" s="28" t="n">
        <f aca="false">SUM(AF6:AF55)</f>
        <v>0</v>
      </c>
      <c r="AG57" s="28" t="n">
        <f aca="false">SUM(AG6:AG55)</f>
        <v>0</v>
      </c>
      <c r="AH57" s="28" t="n">
        <f aca="false">SUM(AH6:AH55)</f>
        <v>0</v>
      </c>
      <c r="AI57" s="28" t="n">
        <f aca="false">SUM(AI6:AI55)</f>
        <v>0</v>
      </c>
      <c r="AJ57" s="28" t="n">
        <f aca="false">SUM(AJ6:AJ55)</f>
        <v>0</v>
      </c>
      <c r="AK57" s="28" t="n">
        <f aca="false">SUM(AK6:AK55)</f>
        <v>0</v>
      </c>
      <c r="AL57" s="28" t="n">
        <f aca="false">SUM(AL6:AL55)</f>
        <v>0</v>
      </c>
      <c r="AM57" s="28" t="n">
        <f aca="false">SUM(AM6:AM55)</f>
        <v>0</v>
      </c>
    </row>
  </sheetData>
  <conditionalFormatting sqref="D6:AM55">
    <cfRule type="expression" priority="2" aboveAverage="0" equalAverage="0" bottom="0" percent="0" rank="0" text="" dxfId="9">
      <formula>AND(IF(OR(Projects!$D6="",Projects!$E6=""),0,AND(((YEAR(D$5)-YEAR(Projects!$D6))*12+MONTH(D$5)-MONTH(Projects!$D6)+1)&gt;=1,((YEAR(D$5)-YEAR(Projects!$D6))*12+MONTH(D$5)-MONTH(Projects!$D6)+1)&lt;=Projects!$E6)),D$5&lt;=Projects!$C$2)</formula>
    </cfRule>
    <cfRule type="expression" priority="3" aboveAverage="0" equalAverage="0" bottom="0" percent="0" rank="0" text="" dxfId="11">
      <formula>AND(D6&lt;&gt;0,D$5&gt;Projects!$C$2)</formula>
    </cfRule>
    <cfRule type="expression" priority="4" aboveAverage="0" equalAverage="0" bottom="0" percent="0" rank="0" text="" dxfId="12">
      <formula>AND($B6&lt;&gt;"",NOT(IF(OR(Projects!$D6="",Projects!$E6=""),0,AND(((YEAR(D$5)-YEAR(Projects!$D6))*12+MONTH(D$5)-MONTH(Projects!$D6)+1)&gt;=1,((YEAR(D$5)-YEAR(Projects!$D6))*12+MONTH(D$5)-MONTH(Projects!$D6)+1)&lt;=Projects!$E6))))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9" min="8" style="0" width="15"/>
  </cols>
  <sheetData>
    <row r="1" customFormat="false" ht="17.35" hidden="false" customHeight="false" outlineLevel="0" collapsed="false">
      <c r="A1" s="1" t="s">
        <v>21</v>
      </c>
      <c r="J1" s="20" t="s">
        <v>115</v>
      </c>
      <c r="K1" s="20" t="n">
        <f aca="false">IFERROR(MATCH(B3,Projects!$B$6:$B$55,0),0)</f>
        <v>1</v>
      </c>
    </row>
    <row r="3" customFormat="false" ht="15" hidden="false" customHeight="false" outlineLevel="0" collapsed="false">
      <c r="A3" s="4" t="s">
        <v>116</v>
      </c>
      <c r="B3" s="29" t="s">
        <v>73</v>
      </c>
      <c r="C3" s="29"/>
      <c r="D3" s="29"/>
      <c r="F3" s="30" t="str">
        <f aca="false">IF(ISNA(MATCH(B3,Projects!$B$6:$B$55,0)),"◂ Pick a project from the dropdown","")</f>
        <v/>
      </c>
    </row>
    <row r="5" customFormat="false" ht="15" hidden="false" customHeight="false" outlineLevel="0" collapsed="false">
      <c r="A5" s="4" t="s">
        <v>61</v>
      </c>
      <c r="B5" s="21" t="str">
        <f aca="false">IF($K$1=0,"",INDEX(Projects!$C$6:$C$55,$K$1)&amp;"")</f>
        <v>J. Doe</v>
      </c>
      <c r="C5" s="21"/>
    </row>
    <row r="6" customFormat="false" ht="15" hidden="false" customHeight="false" outlineLevel="0" collapsed="false">
      <c r="A6" s="4" t="s">
        <v>62</v>
      </c>
      <c r="B6" s="31" t="n">
        <f aca="false">IF($K$1=0,"",INDEX(Projects!$D$6:$D$55,$K$1))</f>
        <v>46296</v>
      </c>
      <c r="C6" s="31"/>
    </row>
    <row r="7" customFormat="false" ht="15" hidden="false" customHeight="false" outlineLevel="0" collapsed="false">
      <c r="A7" s="4" t="s">
        <v>63</v>
      </c>
      <c r="B7" s="32" t="n">
        <f aca="false">IF($K$1=0,"",INDEX(Projects!$E$6:$E$55,$K$1))</f>
        <v>5</v>
      </c>
      <c r="C7" s="32"/>
    </row>
    <row r="8" customFormat="false" ht="15" hidden="false" customHeight="false" outlineLevel="0" collapsed="false">
      <c r="A8" s="4" t="s">
        <v>64</v>
      </c>
      <c r="B8" s="31" t="n">
        <f aca="false">IF($K$1=0,"",INDEX(Projects!$F$6:$F$55,$K$1))</f>
        <v>46419</v>
      </c>
      <c r="C8" s="31"/>
    </row>
    <row r="9" customFormat="false" ht="15" hidden="false" customHeight="false" outlineLevel="0" collapsed="false">
      <c r="A9" s="4" t="s">
        <v>65</v>
      </c>
      <c r="B9" s="33" t="n">
        <f aca="false">IF($K$1=0,"",INDEX(Projects!$G$6:$G$55,$K$1))</f>
        <v>10000</v>
      </c>
      <c r="C9" s="33"/>
    </row>
    <row r="10" customFormat="false" ht="15" hidden="false" customHeight="false" outlineLevel="0" collapsed="false">
      <c r="A10" s="4" t="s">
        <v>66</v>
      </c>
      <c r="B10" s="33" t="n">
        <f aca="false">IF($K$1=0,"",INDEX(Projects!$H$6:$H$55,$K$1))</f>
        <v>1000</v>
      </c>
      <c r="C10" s="33"/>
    </row>
    <row r="11" customFormat="false" ht="15" hidden="false" customHeight="false" outlineLevel="0" collapsed="false">
      <c r="A11" s="4" t="s">
        <v>67</v>
      </c>
      <c r="B11" s="33" t="n">
        <f aca="false">IF($K$1=0,"",INDEX(Projects!$I$6:$I$55,$K$1))</f>
        <v>9000</v>
      </c>
      <c r="C11" s="33"/>
    </row>
    <row r="12" customFormat="false" ht="15" hidden="false" customHeight="false" outlineLevel="0" collapsed="false">
      <c r="A12" s="4" t="s">
        <v>68</v>
      </c>
      <c r="B12" s="32" t="n">
        <f aca="false">IF($K$1=0,"",INDEX(Projects!$J$6:$J$55,$K$1))</f>
        <v>4</v>
      </c>
      <c r="C12" s="32"/>
    </row>
    <row r="13" customFormat="false" ht="15" hidden="false" customHeight="false" outlineLevel="0" collapsed="false">
      <c r="A13" s="4" t="s">
        <v>72</v>
      </c>
      <c r="B13" s="21" t="str">
        <f aca="false">IF($K$1=0,"",INDEX(Projects!$N$6:$N$55,$K$1)&amp;"")</f>
        <v>OK</v>
      </c>
      <c r="C13" s="21"/>
    </row>
    <row r="16" customFormat="false" ht="42" hidden="false" customHeight="true" outlineLevel="0" collapsed="false">
      <c r="A16" s="10" t="s">
        <v>117</v>
      </c>
      <c r="B16" s="10" t="s">
        <v>118</v>
      </c>
      <c r="C16" s="10" t="s">
        <v>119</v>
      </c>
      <c r="D16" s="10" t="s">
        <v>120</v>
      </c>
      <c r="E16" s="10" t="s">
        <v>121</v>
      </c>
      <c r="F16" s="10" t="s">
        <v>122</v>
      </c>
      <c r="G16" s="10" t="s">
        <v>6</v>
      </c>
      <c r="H16" s="10" t="s">
        <v>123</v>
      </c>
      <c r="I16" s="10" t="s">
        <v>124</v>
      </c>
    </row>
    <row r="17" customFormat="false" ht="15" hidden="false" customHeight="false" outlineLevel="0" collapsed="false">
      <c r="A17" s="34" t="n">
        <f aca="false">IF(AND($K$1&gt;0,1&lt;=N($B$7)),1,"")</f>
        <v>1</v>
      </c>
      <c r="B17" s="35" t="n">
        <f aca="false">IF(A17="","",EDATE($B$6,A17-1))</f>
        <v>46296</v>
      </c>
      <c r="C17" s="36" t="n">
        <f aca="false">IF(A17="","",IF(INDEX(Phasing!$D$6:$D$55,$K$1)=0,1,N(INDEX(Phasing!$I$6:$AF$55,$K$1,A17))))</f>
        <v>1</v>
      </c>
      <c r="D17" s="37" t="n">
        <f aca="false">IF(A17="","",N(INDEX(Phasing!$AH$6:$BE$55,$K$1,A17)))</f>
        <v>0.111111111111111</v>
      </c>
      <c r="E17" s="38" t="n">
        <f aca="false">IF(A17="","",D17*N($B$9))</f>
        <v>1111.11111111111</v>
      </c>
      <c r="F17" s="38" t="n">
        <f aca="false">IF(A17="","",IF(AND(AND(((YEAR(B17)-YEAR(Projects!$C$3))*12+MONTH(B17)-MONTH(Projects!$C$3)+1)&gt;=1,((YEAR(B17)-YEAR(Projects!$C$3))*12+MONTH(B17)-MONTH(Projects!$C$3)+1)&lt;=36),B17&lt;=Projects!$C$2),INDEX('WIP Log'!$D$6:$AM$55,$K$1,((YEAR(B17)-YEAR(Projects!$C$3))*12+MONTH(B17)-MONTH(Projects!$C$3)+1)),0))</f>
        <v>1000</v>
      </c>
      <c r="G17" s="38" t="n">
        <f aca="false">IF(A17="","",IF(AND(((YEAR(B17)-YEAR(Projects!$C$3))*12+MONTH(B17)-MONTH(Projects!$C$3)+1)&gt;=1,((YEAR(B17)-YEAR(Projects!$C$3))*12+MONTH(B17)-MONTH(Projects!$C$3)+1)&lt;=36),INDEX('Phased Budget'!$H$6:$AQ$55,$K$1,((YEAR(B17)-YEAR(Projects!$C$3))*12+MONTH(B17)-MONTH(Projects!$C$3)+1)),0))</f>
        <v>0</v>
      </c>
      <c r="H17" s="38" t="n">
        <f aca="false">IF(A17="","",F17+G17)</f>
        <v>1000</v>
      </c>
      <c r="I17" s="34" t="str">
        <f aca="false">IF(A17="","",IF(B17&lt;=Projects!$C$2,"Actual","Forecast"))</f>
        <v>Actual</v>
      </c>
    </row>
    <row r="18" customFormat="false" ht="15" hidden="false" customHeight="false" outlineLevel="0" collapsed="false">
      <c r="A18" s="34" t="n">
        <f aca="false">IF(AND($K$1&gt;0,2&lt;=N($B$7)),2,"")</f>
        <v>2</v>
      </c>
      <c r="B18" s="35" t="n">
        <f aca="false">IF(A18="","",EDATE($B$6,A18-1))</f>
        <v>46327</v>
      </c>
      <c r="C18" s="36" t="n">
        <f aca="false">IF(A18="","",IF(INDEX(Phasing!$D$6:$D$55,$K$1)=0,1,N(INDEX(Phasing!$I$6:$AF$55,$K$1,A18))))</f>
        <v>2</v>
      </c>
      <c r="D18" s="37" t="n">
        <f aca="false">IF(A18="","",N(INDEX(Phasing!$AH$6:$BE$55,$K$1,A18)))</f>
        <v>0.222222222222222</v>
      </c>
      <c r="E18" s="38" t="n">
        <f aca="false">IF(A18="","",D18*N($B$9))</f>
        <v>2222.22222222222</v>
      </c>
      <c r="F18" s="38" t="n">
        <f aca="false">IF(A18="","",IF(AND(AND(((YEAR(B18)-YEAR(Projects!$C$3))*12+MONTH(B18)-MONTH(Projects!$C$3)+1)&gt;=1,((YEAR(B18)-YEAR(Projects!$C$3))*12+MONTH(B18)-MONTH(Projects!$C$3)+1)&lt;=36),B18&lt;=Projects!$C$2),INDEX('WIP Log'!$D$6:$AM$55,$K$1,((YEAR(B18)-YEAR(Projects!$C$3))*12+MONTH(B18)-MONTH(Projects!$C$3)+1)),0))</f>
        <v>0</v>
      </c>
      <c r="G18" s="38" t="n">
        <f aca="false">IF(A18="","",IF(AND(((YEAR(B18)-YEAR(Projects!$C$3))*12+MONTH(B18)-MONTH(Projects!$C$3)+1)&gt;=1,((YEAR(B18)-YEAR(Projects!$C$3))*12+MONTH(B18)-MONTH(Projects!$C$3)+1)&lt;=36),INDEX('Phased Budget'!$H$6:$AQ$55,$K$1,((YEAR(B18)-YEAR(Projects!$C$3))*12+MONTH(B18)-MONTH(Projects!$C$3)+1)),0))</f>
        <v>2250</v>
      </c>
      <c r="H18" s="38" t="n">
        <f aca="false">IF(A18="","",F18+G18)</f>
        <v>2250</v>
      </c>
      <c r="I18" s="34" t="str">
        <f aca="false">IF(A18="","",IF(B18&lt;=Projects!$C$2,"Actual","Forecast"))</f>
        <v>Forecast</v>
      </c>
    </row>
    <row r="19" customFormat="false" ht="15" hidden="false" customHeight="false" outlineLevel="0" collapsed="false">
      <c r="A19" s="34" t="n">
        <f aca="false">IF(AND($K$1&gt;0,3&lt;=N($B$7)),3,"")</f>
        <v>3</v>
      </c>
      <c r="B19" s="35" t="n">
        <f aca="false">IF(A19="","",EDATE($B$6,A19-1))</f>
        <v>46357</v>
      </c>
      <c r="C19" s="36" t="n">
        <f aca="false">IF(A19="","",IF(INDEX(Phasing!$D$6:$D$55,$K$1)=0,1,N(INDEX(Phasing!$I$6:$AF$55,$K$1,A19))))</f>
        <v>2</v>
      </c>
      <c r="D19" s="37" t="n">
        <f aca="false">IF(A19="","",N(INDEX(Phasing!$AH$6:$BE$55,$K$1,A19)))</f>
        <v>0.222222222222222</v>
      </c>
      <c r="E19" s="38" t="n">
        <f aca="false">IF(A19="","",D19*N($B$9))</f>
        <v>2222.22222222222</v>
      </c>
      <c r="F19" s="38" t="n">
        <f aca="false">IF(A19="","",IF(AND(AND(((YEAR(B19)-YEAR(Projects!$C$3))*12+MONTH(B19)-MONTH(Projects!$C$3)+1)&gt;=1,((YEAR(B19)-YEAR(Projects!$C$3))*12+MONTH(B19)-MONTH(Projects!$C$3)+1)&lt;=36),B19&lt;=Projects!$C$2),INDEX('WIP Log'!$D$6:$AM$55,$K$1,((YEAR(B19)-YEAR(Projects!$C$3))*12+MONTH(B19)-MONTH(Projects!$C$3)+1)),0))</f>
        <v>0</v>
      </c>
      <c r="G19" s="38" t="n">
        <f aca="false">IF(A19="","",IF(AND(((YEAR(B19)-YEAR(Projects!$C$3))*12+MONTH(B19)-MONTH(Projects!$C$3)+1)&gt;=1,((YEAR(B19)-YEAR(Projects!$C$3))*12+MONTH(B19)-MONTH(Projects!$C$3)+1)&lt;=36),INDEX('Phased Budget'!$H$6:$AQ$55,$K$1,((YEAR(B19)-YEAR(Projects!$C$3))*12+MONTH(B19)-MONTH(Projects!$C$3)+1)),0))</f>
        <v>2250</v>
      </c>
      <c r="H19" s="38" t="n">
        <f aca="false">IF(A19="","",F19+G19)</f>
        <v>2250</v>
      </c>
      <c r="I19" s="34" t="str">
        <f aca="false">IF(A19="","",IF(B19&lt;=Projects!$C$2,"Actual","Forecast"))</f>
        <v>Forecast</v>
      </c>
    </row>
    <row r="20" customFormat="false" ht="15" hidden="false" customHeight="false" outlineLevel="0" collapsed="false">
      <c r="A20" s="34" t="n">
        <f aca="false">IF(AND($K$1&gt;0,4&lt;=N($B$7)),4,"")</f>
        <v>4</v>
      </c>
      <c r="B20" s="35" t="n">
        <f aca="false">IF(A20="","",EDATE($B$6,A20-1))</f>
        <v>46388</v>
      </c>
      <c r="C20" s="36" t="n">
        <f aca="false">IF(A20="","",IF(INDEX(Phasing!$D$6:$D$55,$K$1)=0,1,N(INDEX(Phasing!$I$6:$AF$55,$K$1,A20))))</f>
        <v>2</v>
      </c>
      <c r="D20" s="37" t="n">
        <f aca="false">IF(A20="","",N(INDEX(Phasing!$AH$6:$BE$55,$K$1,A20)))</f>
        <v>0.222222222222222</v>
      </c>
      <c r="E20" s="38" t="n">
        <f aca="false">IF(A20="","",D20*N($B$9))</f>
        <v>2222.22222222222</v>
      </c>
      <c r="F20" s="38" t="n">
        <f aca="false">IF(A20="","",IF(AND(AND(((YEAR(B20)-YEAR(Projects!$C$3))*12+MONTH(B20)-MONTH(Projects!$C$3)+1)&gt;=1,((YEAR(B20)-YEAR(Projects!$C$3))*12+MONTH(B20)-MONTH(Projects!$C$3)+1)&lt;=36),B20&lt;=Projects!$C$2),INDEX('WIP Log'!$D$6:$AM$55,$K$1,((YEAR(B20)-YEAR(Projects!$C$3))*12+MONTH(B20)-MONTH(Projects!$C$3)+1)),0))</f>
        <v>0</v>
      </c>
      <c r="G20" s="38" t="n">
        <f aca="false">IF(A20="","",IF(AND(((YEAR(B20)-YEAR(Projects!$C$3))*12+MONTH(B20)-MONTH(Projects!$C$3)+1)&gt;=1,((YEAR(B20)-YEAR(Projects!$C$3))*12+MONTH(B20)-MONTH(Projects!$C$3)+1)&lt;=36),INDEX('Phased Budget'!$H$6:$AQ$55,$K$1,((YEAR(B20)-YEAR(Projects!$C$3))*12+MONTH(B20)-MONTH(Projects!$C$3)+1)),0))</f>
        <v>2250</v>
      </c>
      <c r="H20" s="38" t="n">
        <f aca="false">IF(A20="","",F20+G20)</f>
        <v>2250</v>
      </c>
      <c r="I20" s="34" t="str">
        <f aca="false">IF(A20="","",IF(B20&lt;=Projects!$C$2,"Actual","Forecast"))</f>
        <v>Forecast</v>
      </c>
    </row>
    <row r="21" customFormat="false" ht="15" hidden="false" customHeight="false" outlineLevel="0" collapsed="false">
      <c r="A21" s="34" t="n">
        <f aca="false">IF(AND($K$1&gt;0,5&lt;=N($B$7)),5,"")</f>
        <v>5</v>
      </c>
      <c r="B21" s="35" t="n">
        <f aca="false">IF(A21="","",EDATE($B$6,A21-1))</f>
        <v>46419</v>
      </c>
      <c r="C21" s="36" t="n">
        <f aca="false">IF(A21="","",IF(INDEX(Phasing!$D$6:$D$55,$K$1)=0,1,N(INDEX(Phasing!$I$6:$AF$55,$K$1,A21))))</f>
        <v>2</v>
      </c>
      <c r="D21" s="37" t="n">
        <f aca="false">IF(A21="","",N(INDEX(Phasing!$AH$6:$BE$55,$K$1,A21)))</f>
        <v>0.222222222222222</v>
      </c>
      <c r="E21" s="38" t="n">
        <f aca="false">IF(A21="","",D21*N($B$9))</f>
        <v>2222.22222222222</v>
      </c>
      <c r="F21" s="38" t="n">
        <f aca="false">IF(A21="","",IF(AND(AND(((YEAR(B21)-YEAR(Projects!$C$3))*12+MONTH(B21)-MONTH(Projects!$C$3)+1)&gt;=1,((YEAR(B21)-YEAR(Projects!$C$3))*12+MONTH(B21)-MONTH(Projects!$C$3)+1)&lt;=36),B21&lt;=Projects!$C$2),INDEX('WIP Log'!$D$6:$AM$55,$K$1,((YEAR(B21)-YEAR(Projects!$C$3))*12+MONTH(B21)-MONTH(Projects!$C$3)+1)),0))</f>
        <v>0</v>
      </c>
      <c r="G21" s="38" t="n">
        <f aca="false">IF(A21="","",IF(AND(((YEAR(B21)-YEAR(Projects!$C$3))*12+MONTH(B21)-MONTH(Projects!$C$3)+1)&gt;=1,((YEAR(B21)-YEAR(Projects!$C$3))*12+MONTH(B21)-MONTH(Projects!$C$3)+1)&lt;=36),INDEX('Phased Budget'!$H$6:$AQ$55,$K$1,((YEAR(B21)-YEAR(Projects!$C$3))*12+MONTH(B21)-MONTH(Projects!$C$3)+1)),0))</f>
        <v>2250</v>
      </c>
      <c r="H21" s="38" t="n">
        <f aca="false">IF(A21="","",F21+G21)</f>
        <v>2250</v>
      </c>
      <c r="I21" s="34" t="str">
        <f aca="false">IF(A21="","",IF(B21&lt;=Projects!$C$2,"Actual","Forecast"))</f>
        <v>Forecast</v>
      </c>
    </row>
    <row r="22" customFormat="false" ht="15" hidden="false" customHeight="false" outlineLevel="0" collapsed="false">
      <c r="A22" s="34" t="str">
        <f aca="false">IF(AND($K$1&gt;0,6&lt;=N($B$7)),6,"")</f>
        <v/>
      </c>
      <c r="B22" s="35" t="str">
        <f aca="false">IF(A22="","",EDATE($B$6,A22-1))</f>
        <v/>
      </c>
      <c r="C22" s="36" t="str">
        <f aca="false">IF(A22="","",IF(INDEX(Phasing!$D$6:$D$55,$K$1)=0,1,N(INDEX(Phasing!$I$6:$AF$55,$K$1,A22))))</f>
        <v/>
      </c>
      <c r="D22" s="37" t="str">
        <f aca="false">IF(A22="","",N(INDEX(Phasing!$AH$6:$BE$55,$K$1,A22)))</f>
        <v/>
      </c>
      <c r="E22" s="38" t="str">
        <f aca="false">IF(A22="","",D22*N($B$9))</f>
        <v/>
      </c>
      <c r="F22" s="38" t="str">
        <f aca="false">IF(A22="","",IF(AND(AND(((YEAR(B22)-YEAR(Projects!$C$3))*12+MONTH(B22)-MONTH(Projects!$C$3)+1)&gt;=1,((YEAR(B22)-YEAR(Projects!$C$3))*12+MONTH(B22)-MONTH(Projects!$C$3)+1)&lt;=36),B22&lt;=Projects!$C$2),INDEX('WIP Log'!$D$6:$AM$55,$K$1,((YEAR(B22)-YEAR(Projects!$C$3))*12+MONTH(B22)-MONTH(Projects!$C$3)+1)),0))</f>
        <v/>
      </c>
      <c r="G22" s="38" t="str">
        <f aca="false">IF(A22="","",IF(AND(((YEAR(B22)-YEAR(Projects!$C$3))*12+MONTH(B22)-MONTH(Projects!$C$3)+1)&gt;=1,((YEAR(B22)-YEAR(Projects!$C$3))*12+MONTH(B22)-MONTH(Projects!$C$3)+1)&lt;=36),INDEX('Phased Budget'!$H$6:$AQ$55,$K$1,((YEAR(B22)-YEAR(Projects!$C$3))*12+MONTH(B22)-MONTH(Projects!$C$3)+1)),0))</f>
        <v/>
      </c>
      <c r="H22" s="38" t="str">
        <f aca="false">IF(A22="","",F22+G22)</f>
        <v/>
      </c>
      <c r="I22" s="34" t="str">
        <f aca="false">IF(A22="","",IF(B22&lt;=Projects!$C$2,"Actual","Forecast"))</f>
        <v/>
      </c>
    </row>
    <row r="23" customFormat="false" ht="15" hidden="false" customHeight="false" outlineLevel="0" collapsed="false">
      <c r="A23" s="34" t="str">
        <f aca="false">IF(AND($K$1&gt;0,7&lt;=N($B$7)),7,"")</f>
        <v/>
      </c>
      <c r="B23" s="35" t="str">
        <f aca="false">IF(A23="","",EDATE($B$6,A23-1))</f>
        <v/>
      </c>
      <c r="C23" s="36" t="str">
        <f aca="false">IF(A23="","",IF(INDEX(Phasing!$D$6:$D$55,$K$1)=0,1,N(INDEX(Phasing!$I$6:$AF$55,$K$1,A23))))</f>
        <v/>
      </c>
      <c r="D23" s="37" t="str">
        <f aca="false">IF(A23="","",N(INDEX(Phasing!$AH$6:$BE$55,$K$1,A23)))</f>
        <v/>
      </c>
      <c r="E23" s="38" t="str">
        <f aca="false">IF(A23="","",D23*N($B$9))</f>
        <v/>
      </c>
      <c r="F23" s="38" t="str">
        <f aca="false">IF(A23="","",IF(AND(AND(((YEAR(B23)-YEAR(Projects!$C$3))*12+MONTH(B23)-MONTH(Projects!$C$3)+1)&gt;=1,((YEAR(B23)-YEAR(Projects!$C$3))*12+MONTH(B23)-MONTH(Projects!$C$3)+1)&lt;=36),B23&lt;=Projects!$C$2),INDEX('WIP Log'!$D$6:$AM$55,$K$1,((YEAR(B23)-YEAR(Projects!$C$3))*12+MONTH(B23)-MONTH(Projects!$C$3)+1)),0))</f>
        <v/>
      </c>
      <c r="G23" s="38" t="str">
        <f aca="false">IF(A23="","",IF(AND(((YEAR(B23)-YEAR(Projects!$C$3))*12+MONTH(B23)-MONTH(Projects!$C$3)+1)&gt;=1,((YEAR(B23)-YEAR(Projects!$C$3))*12+MONTH(B23)-MONTH(Projects!$C$3)+1)&lt;=36),INDEX('Phased Budget'!$H$6:$AQ$55,$K$1,((YEAR(B23)-YEAR(Projects!$C$3))*12+MONTH(B23)-MONTH(Projects!$C$3)+1)),0))</f>
        <v/>
      </c>
      <c r="H23" s="38" t="str">
        <f aca="false">IF(A23="","",F23+G23)</f>
        <v/>
      </c>
      <c r="I23" s="34" t="str">
        <f aca="false">IF(A23="","",IF(B23&lt;=Projects!$C$2,"Actual","Forecast"))</f>
        <v/>
      </c>
    </row>
    <row r="24" customFormat="false" ht="15" hidden="false" customHeight="false" outlineLevel="0" collapsed="false">
      <c r="A24" s="34" t="str">
        <f aca="false">IF(AND($K$1&gt;0,8&lt;=N($B$7)),8,"")</f>
        <v/>
      </c>
      <c r="B24" s="35" t="str">
        <f aca="false">IF(A24="","",EDATE($B$6,A24-1))</f>
        <v/>
      </c>
      <c r="C24" s="36" t="str">
        <f aca="false">IF(A24="","",IF(INDEX(Phasing!$D$6:$D$55,$K$1)=0,1,N(INDEX(Phasing!$I$6:$AF$55,$K$1,A24))))</f>
        <v/>
      </c>
      <c r="D24" s="37" t="str">
        <f aca="false">IF(A24="","",N(INDEX(Phasing!$AH$6:$BE$55,$K$1,A24)))</f>
        <v/>
      </c>
      <c r="E24" s="38" t="str">
        <f aca="false">IF(A24="","",D24*N($B$9))</f>
        <v/>
      </c>
      <c r="F24" s="38" t="str">
        <f aca="false">IF(A24="","",IF(AND(AND(((YEAR(B24)-YEAR(Projects!$C$3))*12+MONTH(B24)-MONTH(Projects!$C$3)+1)&gt;=1,((YEAR(B24)-YEAR(Projects!$C$3))*12+MONTH(B24)-MONTH(Projects!$C$3)+1)&lt;=36),B24&lt;=Projects!$C$2),INDEX('WIP Log'!$D$6:$AM$55,$K$1,((YEAR(B24)-YEAR(Projects!$C$3))*12+MONTH(B24)-MONTH(Projects!$C$3)+1)),0))</f>
        <v/>
      </c>
      <c r="G24" s="38" t="str">
        <f aca="false">IF(A24="","",IF(AND(((YEAR(B24)-YEAR(Projects!$C$3))*12+MONTH(B24)-MONTH(Projects!$C$3)+1)&gt;=1,((YEAR(B24)-YEAR(Projects!$C$3))*12+MONTH(B24)-MONTH(Projects!$C$3)+1)&lt;=36),INDEX('Phased Budget'!$H$6:$AQ$55,$K$1,((YEAR(B24)-YEAR(Projects!$C$3))*12+MONTH(B24)-MONTH(Projects!$C$3)+1)),0))</f>
        <v/>
      </c>
      <c r="H24" s="38" t="str">
        <f aca="false">IF(A24="","",F24+G24)</f>
        <v/>
      </c>
      <c r="I24" s="34" t="str">
        <f aca="false">IF(A24="","",IF(B24&lt;=Projects!$C$2,"Actual","Forecast"))</f>
        <v/>
      </c>
    </row>
    <row r="25" customFormat="false" ht="15" hidden="false" customHeight="false" outlineLevel="0" collapsed="false">
      <c r="A25" s="34" t="str">
        <f aca="false">IF(AND($K$1&gt;0,9&lt;=N($B$7)),9,"")</f>
        <v/>
      </c>
      <c r="B25" s="35" t="str">
        <f aca="false">IF(A25="","",EDATE($B$6,A25-1))</f>
        <v/>
      </c>
      <c r="C25" s="36" t="str">
        <f aca="false">IF(A25="","",IF(INDEX(Phasing!$D$6:$D$55,$K$1)=0,1,N(INDEX(Phasing!$I$6:$AF$55,$K$1,A25))))</f>
        <v/>
      </c>
      <c r="D25" s="37" t="str">
        <f aca="false">IF(A25="","",N(INDEX(Phasing!$AH$6:$BE$55,$K$1,A25)))</f>
        <v/>
      </c>
      <c r="E25" s="38" t="str">
        <f aca="false">IF(A25="","",D25*N($B$9))</f>
        <v/>
      </c>
      <c r="F25" s="38" t="str">
        <f aca="false">IF(A25="","",IF(AND(AND(((YEAR(B25)-YEAR(Projects!$C$3))*12+MONTH(B25)-MONTH(Projects!$C$3)+1)&gt;=1,((YEAR(B25)-YEAR(Projects!$C$3))*12+MONTH(B25)-MONTH(Projects!$C$3)+1)&lt;=36),B25&lt;=Projects!$C$2),INDEX('WIP Log'!$D$6:$AM$55,$K$1,((YEAR(B25)-YEAR(Projects!$C$3))*12+MONTH(B25)-MONTH(Projects!$C$3)+1)),0))</f>
        <v/>
      </c>
      <c r="G25" s="38" t="str">
        <f aca="false">IF(A25="","",IF(AND(((YEAR(B25)-YEAR(Projects!$C$3))*12+MONTH(B25)-MONTH(Projects!$C$3)+1)&gt;=1,((YEAR(B25)-YEAR(Projects!$C$3))*12+MONTH(B25)-MONTH(Projects!$C$3)+1)&lt;=36),INDEX('Phased Budget'!$H$6:$AQ$55,$K$1,((YEAR(B25)-YEAR(Projects!$C$3))*12+MONTH(B25)-MONTH(Projects!$C$3)+1)),0))</f>
        <v/>
      </c>
      <c r="H25" s="38" t="str">
        <f aca="false">IF(A25="","",F25+G25)</f>
        <v/>
      </c>
      <c r="I25" s="34" t="str">
        <f aca="false">IF(A25="","",IF(B25&lt;=Projects!$C$2,"Actual","Forecast"))</f>
        <v/>
      </c>
    </row>
    <row r="26" customFormat="false" ht="15" hidden="false" customHeight="false" outlineLevel="0" collapsed="false">
      <c r="A26" s="34" t="str">
        <f aca="false">IF(AND($K$1&gt;0,10&lt;=N($B$7)),10,"")</f>
        <v/>
      </c>
      <c r="B26" s="35" t="str">
        <f aca="false">IF(A26="","",EDATE($B$6,A26-1))</f>
        <v/>
      </c>
      <c r="C26" s="36" t="str">
        <f aca="false">IF(A26="","",IF(INDEX(Phasing!$D$6:$D$55,$K$1)=0,1,N(INDEX(Phasing!$I$6:$AF$55,$K$1,A26))))</f>
        <v/>
      </c>
      <c r="D26" s="37" t="str">
        <f aca="false">IF(A26="","",N(INDEX(Phasing!$AH$6:$BE$55,$K$1,A26)))</f>
        <v/>
      </c>
      <c r="E26" s="38" t="str">
        <f aca="false">IF(A26="","",D26*N($B$9))</f>
        <v/>
      </c>
      <c r="F26" s="38" t="str">
        <f aca="false">IF(A26="","",IF(AND(AND(((YEAR(B26)-YEAR(Projects!$C$3))*12+MONTH(B26)-MONTH(Projects!$C$3)+1)&gt;=1,((YEAR(B26)-YEAR(Projects!$C$3))*12+MONTH(B26)-MONTH(Projects!$C$3)+1)&lt;=36),B26&lt;=Projects!$C$2),INDEX('WIP Log'!$D$6:$AM$55,$K$1,((YEAR(B26)-YEAR(Projects!$C$3))*12+MONTH(B26)-MONTH(Projects!$C$3)+1)),0))</f>
        <v/>
      </c>
      <c r="G26" s="38" t="str">
        <f aca="false">IF(A26="","",IF(AND(((YEAR(B26)-YEAR(Projects!$C$3))*12+MONTH(B26)-MONTH(Projects!$C$3)+1)&gt;=1,((YEAR(B26)-YEAR(Projects!$C$3))*12+MONTH(B26)-MONTH(Projects!$C$3)+1)&lt;=36),INDEX('Phased Budget'!$H$6:$AQ$55,$K$1,((YEAR(B26)-YEAR(Projects!$C$3))*12+MONTH(B26)-MONTH(Projects!$C$3)+1)),0))</f>
        <v/>
      </c>
      <c r="H26" s="38" t="str">
        <f aca="false">IF(A26="","",F26+G26)</f>
        <v/>
      </c>
      <c r="I26" s="34" t="str">
        <f aca="false">IF(A26="","",IF(B26&lt;=Projects!$C$2,"Actual","Forecast"))</f>
        <v/>
      </c>
    </row>
    <row r="27" customFormat="false" ht="15" hidden="false" customHeight="false" outlineLevel="0" collapsed="false">
      <c r="A27" s="34" t="str">
        <f aca="false">IF(AND($K$1&gt;0,11&lt;=N($B$7)),11,"")</f>
        <v/>
      </c>
      <c r="B27" s="35" t="str">
        <f aca="false">IF(A27="","",EDATE($B$6,A27-1))</f>
        <v/>
      </c>
      <c r="C27" s="36" t="str">
        <f aca="false">IF(A27="","",IF(INDEX(Phasing!$D$6:$D$55,$K$1)=0,1,N(INDEX(Phasing!$I$6:$AF$55,$K$1,A27))))</f>
        <v/>
      </c>
      <c r="D27" s="37" t="str">
        <f aca="false">IF(A27="","",N(INDEX(Phasing!$AH$6:$BE$55,$K$1,A27)))</f>
        <v/>
      </c>
      <c r="E27" s="38" t="str">
        <f aca="false">IF(A27="","",D27*N($B$9))</f>
        <v/>
      </c>
      <c r="F27" s="38" t="str">
        <f aca="false">IF(A27="","",IF(AND(AND(((YEAR(B27)-YEAR(Projects!$C$3))*12+MONTH(B27)-MONTH(Projects!$C$3)+1)&gt;=1,((YEAR(B27)-YEAR(Projects!$C$3))*12+MONTH(B27)-MONTH(Projects!$C$3)+1)&lt;=36),B27&lt;=Projects!$C$2),INDEX('WIP Log'!$D$6:$AM$55,$K$1,((YEAR(B27)-YEAR(Projects!$C$3))*12+MONTH(B27)-MONTH(Projects!$C$3)+1)),0))</f>
        <v/>
      </c>
      <c r="G27" s="38" t="str">
        <f aca="false">IF(A27="","",IF(AND(((YEAR(B27)-YEAR(Projects!$C$3))*12+MONTH(B27)-MONTH(Projects!$C$3)+1)&gt;=1,((YEAR(B27)-YEAR(Projects!$C$3))*12+MONTH(B27)-MONTH(Projects!$C$3)+1)&lt;=36),INDEX('Phased Budget'!$H$6:$AQ$55,$K$1,((YEAR(B27)-YEAR(Projects!$C$3))*12+MONTH(B27)-MONTH(Projects!$C$3)+1)),0))</f>
        <v/>
      </c>
      <c r="H27" s="38" t="str">
        <f aca="false">IF(A27="","",F27+G27)</f>
        <v/>
      </c>
      <c r="I27" s="34" t="str">
        <f aca="false">IF(A27="","",IF(B27&lt;=Projects!$C$2,"Actual","Forecast"))</f>
        <v/>
      </c>
    </row>
    <row r="28" customFormat="false" ht="15" hidden="false" customHeight="false" outlineLevel="0" collapsed="false">
      <c r="A28" s="34" t="str">
        <f aca="false">IF(AND($K$1&gt;0,12&lt;=N($B$7)),12,"")</f>
        <v/>
      </c>
      <c r="B28" s="35" t="str">
        <f aca="false">IF(A28="","",EDATE($B$6,A28-1))</f>
        <v/>
      </c>
      <c r="C28" s="36" t="str">
        <f aca="false">IF(A28="","",IF(INDEX(Phasing!$D$6:$D$55,$K$1)=0,1,N(INDEX(Phasing!$I$6:$AF$55,$K$1,A28))))</f>
        <v/>
      </c>
      <c r="D28" s="37" t="str">
        <f aca="false">IF(A28="","",N(INDEX(Phasing!$AH$6:$BE$55,$K$1,A28)))</f>
        <v/>
      </c>
      <c r="E28" s="38" t="str">
        <f aca="false">IF(A28="","",D28*N($B$9))</f>
        <v/>
      </c>
      <c r="F28" s="38" t="str">
        <f aca="false">IF(A28="","",IF(AND(AND(((YEAR(B28)-YEAR(Projects!$C$3))*12+MONTH(B28)-MONTH(Projects!$C$3)+1)&gt;=1,((YEAR(B28)-YEAR(Projects!$C$3))*12+MONTH(B28)-MONTH(Projects!$C$3)+1)&lt;=36),B28&lt;=Projects!$C$2),INDEX('WIP Log'!$D$6:$AM$55,$K$1,((YEAR(B28)-YEAR(Projects!$C$3))*12+MONTH(B28)-MONTH(Projects!$C$3)+1)),0))</f>
        <v/>
      </c>
      <c r="G28" s="38" t="str">
        <f aca="false">IF(A28="","",IF(AND(((YEAR(B28)-YEAR(Projects!$C$3))*12+MONTH(B28)-MONTH(Projects!$C$3)+1)&gt;=1,((YEAR(B28)-YEAR(Projects!$C$3))*12+MONTH(B28)-MONTH(Projects!$C$3)+1)&lt;=36),INDEX('Phased Budget'!$H$6:$AQ$55,$K$1,((YEAR(B28)-YEAR(Projects!$C$3))*12+MONTH(B28)-MONTH(Projects!$C$3)+1)),0))</f>
        <v/>
      </c>
      <c r="H28" s="38" t="str">
        <f aca="false">IF(A28="","",F28+G28)</f>
        <v/>
      </c>
      <c r="I28" s="34" t="str">
        <f aca="false">IF(A28="","",IF(B28&lt;=Projects!$C$2,"Actual","Forecast"))</f>
        <v/>
      </c>
    </row>
    <row r="29" customFormat="false" ht="15" hidden="false" customHeight="false" outlineLevel="0" collapsed="false">
      <c r="A29" s="34" t="str">
        <f aca="false">IF(AND($K$1&gt;0,13&lt;=N($B$7)),13,"")</f>
        <v/>
      </c>
      <c r="B29" s="35" t="str">
        <f aca="false">IF(A29="","",EDATE($B$6,A29-1))</f>
        <v/>
      </c>
      <c r="C29" s="36" t="str">
        <f aca="false">IF(A29="","",IF(INDEX(Phasing!$D$6:$D$55,$K$1)=0,1,N(INDEX(Phasing!$I$6:$AF$55,$K$1,A29))))</f>
        <v/>
      </c>
      <c r="D29" s="37" t="str">
        <f aca="false">IF(A29="","",N(INDEX(Phasing!$AH$6:$BE$55,$K$1,A29)))</f>
        <v/>
      </c>
      <c r="E29" s="38" t="str">
        <f aca="false">IF(A29="","",D29*N($B$9))</f>
        <v/>
      </c>
      <c r="F29" s="38" t="str">
        <f aca="false">IF(A29="","",IF(AND(AND(((YEAR(B29)-YEAR(Projects!$C$3))*12+MONTH(B29)-MONTH(Projects!$C$3)+1)&gt;=1,((YEAR(B29)-YEAR(Projects!$C$3))*12+MONTH(B29)-MONTH(Projects!$C$3)+1)&lt;=36),B29&lt;=Projects!$C$2),INDEX('WIP Log'!$D$6:$AM$55,$K$1,((YEAR(B29)-YEAR(Projects!$C$3))*12+MONTH(B29)-MONTH(Projects!$C$3)+1)),0))</f>
        <v/>
      </c>
      <c r="G29" s="38" t="str">
        <f aca="false">IF(A29="","",IF(AND(((YEAR(B29)-YEAR(Projects!$C$3))*12+MONTH(B29)-MONTH(Projects!$C$3)+1)&gt;=1,((YEAR(B29)-YEAR(Projects!$C$3))*12+MONTH(B29)-MONTH(Projects!$C$3)+1)&lt;=36),INDEX('Phased Budget'!$H$6:$AQ$55,$K$1,((YEAR(B29)-YEAR(Projects!$C$3))*12+MONTH(B29)-MONTH(Projects!$C$3)+1)),0))</f>
        <v/>
      </c>
      <c r="H29" s="38" t="str">
        <f aca="false">IF(A29="","",F29+G29)</f>
        <v/>
      </c>
      <c r="I29" s="34" t="str">
        <f aca="false">IF(A29="","",IF(B29&lt;=Projects!$C$2,"Actual","Forecast"))</f>
        <v/>
      </c>
    </row>
    <row r="30" customFormat="false" ht="15" hidden="false" customHeight="false" outlineLevel="0" collapsed="false">
      <c r="A30" s="34" t="str">
        <f aca="false">IF(AND($K$1&gt;0,14&lt;=N($B$7)),14,"")</f>
        <v/>
      </c>
      <c r="B30" s="35" t="str">
        <f aca="false">IF(A30="","",EDATE($B$6,A30-1))</f>
        <v/>
      </c>
      <c r="C30" s="36" t="str">
        <f aca="false">IF(A30="","",IF(INDEX(Phasing!$D$6:$D$55,$K$1)=0,1,N(INDEX(Phasing!$I$6:$AF$55,$K$1,A30))))</f>
        <v/>
      </c>
      <c r="D30" s="37" t="str">
        <f aca="false">IF(A30="","",N(INDEX(Phasing!$AH$6:$BE$55,$K$1,A30)))</f>
        <v/>
      </c>
      <c r="E30" s="38" t="str">
        <f aca="false">IF(A30="","",D30*N($B$9))</f>
        <v/>
      </c>
      <c r="F30" s="38" t="str">
        <f aca="false">IF(A30="","",IF(AND(AND(((YEAR(B30)-YEAR(Projects!$C$3))*12+MONTH(B30)-MONTH(Projects!$C$3)+1)&gt;=1,((YEAR(B30)-YEAR(Projects!$C$3))*12+MONTH(B30)-MONTH(Projects!$C$3)+1)&lt;=36),B30&lt;=Projects!$C$2),INDEX('WIP Log'!$D$6:$AM$55,$K$1,((YEAR(B30)-YEAR(Projects!$C$3))*12+MONTH(B30)-MONTH(Projects!$C$3)+1)),0))</f>
        <v/>
      </c>
      <c r="G30" s="38" t="str">
        <f aca="false">IF(A30="","",IF(AND(((YEAR(B30)-YEAR(Projects!$C$3))*12+MONTH(B30)-MONTH(Projects!$C$3)+1)&gt;=1,((YEAR(B30)-YEAR(Projects!$C$3))*12+MONTH(B30)-MONTH(Projects!$C$3)+1)&lt;=36),INDEX('Phased Budget'!$H$6:$AQ$55,$K$1,((YEAR(B30)-YEAR(Projects!$C$3))*12+MONTH(B30)-MONTH(Projects!$C$3)+1)),0))</f>
        <v/>
      </c>
      <c r="H30" s="38" t="str">
        <f aca="false">IF(A30="","",F30+G30)</f>
        <v/>
      </c>
      <c r="I30" s="34" t="str">
        <f aca="false">IF(A30="","",IF(B30&lt;=Projects!$C$2,"Actual","Forecast"))</f>
        <v/>
      </c>
    </row>
    <row r="31" customFormat="false" ht="15" hidden="false" customHeight="false" outlineLevel="0" collapsed="false">
      <c r="A31" s="34" t="str">
        <f aca="false">IF(AND($K$1&gt;0,15&lt;=N($B$7)),15,"")</f>
        <v/>
      </c>
      <c r="B31" s="35" t="str">
        <f aca="false">IF(A31="","",EDATE($B$6,A31-1))</f>
        <v/>
      </c>
      <c r="C31" s="36" t="str">
        <f aca="false">IF(A31="","",IF(INDEX(Phasing!$D$6:$D$55,$K$1)=0,1,N(INDEX(Phasing!$I$6:$AF$55,$K$1,A31))))</f>
        <v/>
      </c>
      <c r="D31" s="37" t="str">
        <f aca="false">IF(A31="","",N(INDEX(Phasing!$AH$6:$BE$55,$K$1,A31)))</f>
        <v/>
      </c>
      <c r="E31" s="38" t="str">
        <f aca="false">IF(A31="","",D31*N($B$9))</f>
        <v/>
      </c>
      <c r="F31" s="38" t="str">
        <f aca="false">IF(A31="","",IF(AND(AND(((YEAR(B31)-YEAR(Projects!$C$3))*12+MONTH(B31)-MONTH(Projects!$C$3)+1)&gt;=1,((YEAR(B31)-YEAR(Projects!$C$3))*12+MONTH(B31)-MONTH(Projects!$C$3)+1)&lt;=36),B31&lt;=Projects!$C$2),INDEX('WIP Log'!$D$6:$AM$55,$K$1,((YEAR(B31)-YEAR(Projects!$C$3))*12+MONTH(B31)-MONTH(Projects!$C$3)+1)),0))</f>
        <v/>
      </c>
      <c r="G31" s="38" t="str">
        <f aca="false">IF(A31="","",IF(AND(((YEAR(B31)-YEAR(Projects!$C$3))*12+MONTH(B31)-MONTH(Projects!$C$3)+1)&gt;=1,((YEAR(B31)-YEAR(Projects!$C$3))*12+MONTH(B31)-MONTH(Projects!$C$3)+1)&lt;=36),INDEX('Phased Budget'!$H$6:$AQ$55,$K$1,((YEAR(B31)-YEAR(Projects!$C$3))*12+MONTH(B31)-MONTH(Projects!$C$3)+1)),0))</f>
        <v/>
      </c>
      <c r="H31" s="38" t="str">
        <f aca="false">IF(A31="","",F31+G31)</f>
        <v/>
      </c>
      <c r="I31" s="34" t="str">
        <f aca="false">IF(A31="","",IF(B31&lt;=Projects!$C$2,"Actual","Forecast"))</f>
        <v/>
      </c>
    </row>
    <row r="32" customFormat="false" ht="15" hidden="false" customHeight="false" outlineLevel="0" collapsed="false">
      <c r="A32" s="34" t="str">
        <f aca="false">IF(AND($K$1&gt;0,16&lt;=N($B$7)),16,"")</f>
        <v/>
      </c>
      <c r="B32" s="35" t="str">
        <f aca="false">IF(A32="","",EDATE($B$6,A32-1))</f>
        <v/>
      </c>
      <c r="C32" s="36" t="str">
        <f aca="false">IF(A32="","",IF(INDEX(Phasing!$D$6:$D$55,$K$1)=0,1,N(INDEX(Phasing!$I$6:$AF$55,$K$1,A32))))</f>
        <v/>
      </c>
      <c r="D32" s="37" t="str">
        <f aca="false">IF(A32="","",N(INDEX(Phasing!$AH$6:$BE$55,$K$1,A32)))</f>
        <v/>
      </c>
      <c r="E32" s="38" t="str">
        <f aca="false">IF(A32="","",D32*N($B$9))</f>
        <v/>
      </c>
      <c r="F32" s="38" t="str">
        <f aca="false">IF(A32="","",IF(AND(AND(((YEAR(B32)-YEAR(Projects!$C$3))*12+MONTH(B32)-MONTH(Projects!$C$3)+1)&gt;=1,((YEAR(B32)-YEAR(Projects!$C$3))*12+MONTH(B32)-MONTH(Projects!$C$3)+1)&lt;=36),B32&lt;=Projects!$C$2),INDEX('WIP Log'!$D$6:$AM$55,$K$1,((YEAR(B32)-YEAR(Projects!$C$3))*12+MONTH(B32)-MONTH(Projects!$C$3)+1)),0))</f>
        <v/>
      </c>
      <c r="G32" s="38" t="str">
        <f aca="false">IF(A32="","",IF(AND(((YEAR(B32)-YEAR(Projects!$C$3))*12+MONTH(B32)-MONTH(Projects!$C$3)+1)&gt;=1,((YEAR(B32)-YEAR(Projects!$C$3))*12+MONTH(B32)-MONTH(Projects!$C$3)+1)&lt;=36),INDEX('Phased Budget'!$H$6:$AQ$55,$K$1,((YEAR(B32)-YEAR(Projects!$C$3))*12+MONTH(B32)-MONTH(Projects!$C$3)+1)),0))</f>
        <v/>
      </c>
      <c r="H32" s="38" t="str">
        <f aca="false">IF(A32="","",F32+G32)</f>
        <v/>
      </c>
      <c r="I32" s="34" t="str">
        <f aca="false">IF(A32="","",IF(B32&lt;=Projects!$C$2,"Actual","Forecast"))</f>
        <v/>
      </c>
    </row>
    <row r="33" customFormat="false" ht="15" hidden="false" customHeight="false" outlineLevel="0" collapsed="false">
      <c r="A33" s="34" t="str">
        <f aca="false">IF(AND($K$1&gt;0,17&lt;=N($B$7)),17,"")</f>
        <v/>
      </c>
      <c r="B33" s="35" t="str">
        <f aca="false">IF(A33="","",EDATE($B$6,A33-1))</f>
        <v/>
      </c>
      <c r="C33" s="36" t="str">
        <f aca="false">IF(A33="","",IF(INDEX(Phasing!$D$6:$D$55,$K$1)=0,1,N(INDEX(Phasing!$I$6:$AF$55,$K$1,A33))))</f>
        <v/>
      </c>
      <c r="D33" s="37" t="str">
        <f aca="false">IF(A33="","",N(INDEX(Phasing!$AH$6:$BE$55,$K$1,A33)))</f>
        <v/>
      </c>
      <c r="E33" s="38" t="str">
        <f aca="false">IF(A33="","",D33*N($B$9))</f>
        <v/>
      </c>
      <c r="F33" s="38" t="str">
        <f aca="false">IF(A33="","",IF(AND(AND(((YEAR(B33)-YEAR(Projects!$C$3))*12+MONTH(B33)-MONTH(Projects!$C$3)+1)&gt;=1,((YEAR(B33)-YEAR(Projects!$C$3))*12+MONTH(B33)-MONTH(Projects!$C$3)+1)&lt;=36),B33&lt;=Projects!$C$2),INDEX('WIP Log'!$D$6:$AM$55,$K$1,((YEAR(B33)-YEAR(Projects!$C$3))*12+MONTH(B33)-MONTH(Projects!$C$3)+1)),0))</f>
        <v/>
      </c>
      <c r="G33" s="38" t="str">
        <f aca="false">IF(A33="","",IF(AND(((YEAR(B33)-YEAR(Projects!$C$3))*12+MONTH(B33)-MONTH(Projects!$C$3)+1)&gt;=1,((YEAR(B33)-YEAR(Projects!$C$3))*12+MONTH(B33)-MONTH(Projects!$C$3)+1)&lt;=36),INDEX('Phased Budget'!$H$6:$AQ$55,$K$1,((YEAR(B33)-YEAR(Projects!$C$3))*12+MONTH(B33)-MONTH(Projects!$C$3)+1)),0))</f>
        <v/>
      </c>
      <c r="H33" s="38" t="str">
        <f aca="false">IF(A33="","",F33+G33)</f>
        <v/>
      </c>
      <c r="I33" s="34" t="str">
        <f aca="false">IF(A33="","",IF(B33&lt;=Projects!$C$2,"Actual","Forecast"))</f>
        <v/>
      </c>
    </row>
    <row r="34" customFormat="false" ht="15" hidden="false" customHeight="false" outlineLevel="0" collapsed="false">
      <c r="A34" s="34" t="str">
        <f aca="false">IF(AND($K$1&gt;0,18&lt;=N($B$7)),18,"")</f>
        <v/>
      </c>
      <c r="B34" s="35" t="str">
        <f aca="false">IF(A34="","",EDATE($B$6,A34-1))</f>
        <v/>
      </c>
      <c r="C34" s="36" t="str">
        <f aca="false">IF(A34="","",IF(INDEX(Phasing!$D$6:$D$55,$K$1)=0,1,N(INDEX(Phasing!$I$6:$AF$55,$K$1,A34))))</f>
        <v/>
      </c>
      <c r="D34" s="37" t="str">
        <f aca="false">IF(A34="","",N(INDEX(Phasing!$AH$6:$BE$55,$K$1,A34)))</f>
        <v/>
      </c>
      <c r="E34" s="38" t="str">
        <f aca="false">IF(A34="","",D34*N($B$9))</f>
        <v/>
      </c>
      <c r="F34" s="38" t="str">
        <f aca="false">IF(A34="","",IF(AND(AND(((YEAR(B34)-YEAR(Projects!$C$3))*12+MONTH(B34)-MONTH(Projects!$C$3)+1)&gt;=1,((YEAR(B34)-YEAR(Projects!$C$3))*12+MONTH(B34)-MONTH(Projects!$C$3)+1)&lt;=36),B34&lt;=Projects!$C$2),INDEX('WIP Log'!$D$6:$AM$55,$K$1,((YEAR(B34)-YEAR(Projects!$C$3))*12+MONTH(B34)-MONTH(Projects!$C$3)+1)),0))</f>
        <v/>
      </c>
      <c r="G34" s="38" t="str">
        <f aca="false">IF(A34="","",IF(AND(((YEAR(B34)-YEAR(Projects!$C$3))*12+MONTH(B34)-MONTH(Projects!$C$3)+1)&gt;=1,((YEAR(B34)-YEAR(Projects!$C$3))*12+MONTH(B34)-MONTH(Projects!$C$3)+1)&lt;=36),INDEX('Phased Budget'!$H$6:$AQ$55,$K$1,((YEAR(B34)-YEAR(Projects!$C$3))*12+MONTH(B34)-MONTH(Projects!$C$3)+1)),0))</f>
        <v/>
      </c>
      <c r="H34" s="38" t="str">
        <f aca="false">IF(A34="","",F34+G34)</f>
        <v/>
      </c>
      <c r="I34" s="34" t="str">
        <f aca="false">IF(A34="","",IF(B34&lt;=Projects!$C$2,"Actual","Forecast"))</f>
        <v/>
      </c>
    </row>
    <row r="35" customFormat="false" ht="15" hidden="false" customHeight="false" outlineLevel="0" collapsed="false">
      <c r="A35" s="34" t="str">
        <f aca="false">IF(AND($K$1&gt;0,19&lt;=N($B$7)),19,"")</f>
        <v/>
      </c>
      <c r="B35" s="35" t="str">
        <f aca="false">IF(A35="","",EDATE($B$6,A35-1))</f>
        <v/>
      </c>
      <c r="C35" s="36" t="str">
        <f aca="false">IF(A35="","",IF(INDEX(Phasing!$D$6:$D$55,$K$1)=0,1,N(INDEX(Phasing!$I$6:$AF$55,$K$1,A35))))</f>
        <v/>
      </c>
      <c r="D35" s="37" t="str">
        <f aca="false">IF(A35="","",N(INDEX(Phasing!$AH$6:$BE$55,$K$1,A35)))</f>
        <v/>
      </c>
      <c r="E35" s="38" t="str">
        <f aca="false">IF(A35="","",D35*N($B$9))</f>
        <v/>
      </c>
      <c r="F35" s="38" t="str">
        <f aca="false">IF(A35="","",IF(AND(AND(((YEAR(B35)-YEAR(Projects!$C$3))*12+MONTH(B35)-MONTH(Projects!$C$3)+1)&gt;=1,((YEAR(B35)-YEAR(Projects!$C$3))*12+MONTH(B35)-MONTH(Projects!$C$3)+1)&lt;=36),B35&lt;=Projects!$C$2),INDEX('WIP Log'!$D$6:$AM$55,$K$1,((YEAR(B35)-YEAR(Projects!$C$3))*12+MONTH(B35)-MONTH(Projects!$C$3)+1)),0))</f>
        <v/>
      </c>
      <c r="G35" s="38" t="str">
        <f aca="false">IF(A35="","",IF(AND(((YEAR(B35)-YEAR(Projects!$C$3))*12+MONTH(B35)-MONTH(Projects!$C$3)+1)&gt;=1,((YEAR(B35)-YEAR(Projects!$C$3))*12+MONTH(B35)-MONTH(Projects!$C$3)+1)&lt;=36),INDEX('Phased Budget'!$H$6:$AQ$55,$K$1,((YEAR(B35)-YEAR(Projects!$C$3))*12+MONTH(B35)-MONTH(Projects!$C$3)+1)),0))</f>
        <v/>
      </c>
      <c r="H35" s="38" t="str">
        <f aca="false">IF(A35="","",F35+G35)</f>
        <v/>
      </c>
      <c r="I35" s="34" t="str">
        <f aca="false">IF(A35="","",IF(B35&lt;=Projects!$C$2,"Actual","Forecast"))</f>
        <v/>
      </c>
    </row>
    <row r="36" customFormat="false" ht="15" hidden="false" customHeight="false" outlineLevel="0" collapsed="false">
      <c r="A36" s="34" t="str">
        <f aca="false">IF(AND($K$1&gt;0,20&lt;=N($B$7)),20,"")</f>
        <v/>
      </c>
      <c r="B36" s="35" t="str">
        <f aca="false">IF(A36="","",EDATE($B$6,A36-1))</f>
        <v/>
      </c>
      <c r="C36" s="36" t="str">
        <f aca="false">IF(A36="","",IF(INDEX(Phasing!$D$6:$D$55,$K$1)=0,1,N(INDEX(Phasing!$I$6:$AF$55,$K$1,A36))))</f>
        <v/>
      </c>
      <c r="D36" s="37" t="str">
        <f aca="false">IF(A36="","",N(INDEX(Phasing!$AH$6:$BE$55,$K$1,A36)))</f>
        <v/>
      </c>
      <c r="E36" s="38" t="str">
        <f aca="false">IF(A36="","",D36*N($B$9))</f>
        <v/>
      </c>
      <c r="F36" s="38" t="str">
        <f aca="false">IF(A36="","",IF(AND(AND(((YEAR(B36)-YEAR(Projects!$C$3))*12+MONTH(B36)-MONTH(Projects!$C$3)+1)&gt;=1,((YEAR(B36)-YEAR(Projects!$C$3))*12+MONTH(B36)-MONTH(Projects!$C$3)+1)&lt;=36),B36&lt;=Projects!$C$2),INDEX('WIP Log'!$D$6:$AM$55,$K$1,((YEAR(B36)-YEAR(Projects!$C$3))*12+MONTH(B36)-MONTH(Projects!$C$3)+1)),0))</f>
        <v/>
      </c>
      <c r="G36" s="38" t="str">
        <f aca="false">IF(A36="","",IF(AND(((YEAR(B36)-YEAR(Projects!$C$3))*12+MONTH(B36)-MONTH(Projects!$C$3)+1)&gt;=1,((YEAR(B36)-YEAR(Projects!$C$3))*12+MONTH(B36)-MONTH(Projects!$C$3)+1)&lt;=36),INDEX('Phased Budget'!$H$6:$AQ$55,$K$1,((YEAR(B36)-YEAR(Projects!$C$3))*12+MONTH(B36)-MONTH(Projects!$C$3)+1)),0))</f>
        <v/>
      </c>
      <c r="H36" s="38" t="str">
        <f aca="false">IF(A36="","",F36+G36)</f>
        <v/>
      </c>
      <c r="I36" s="34" t="str">
        <f aca="false">IF(A36="","",IF(B36&lt;=Projects!$C$2,"Actual","Forecast"))</f>
        <v/>
      </c>
    </row>
    <row r="37" customFormat="false" ht="15" hidden="false" customHeight="false" outlineLevel="0" collapsed="false">
      <c r="A37" s="34" t="str">
        <f aca="false">IF(AND($K$1&gt;0,21&lt;=N($B$7)),21,"")</f>
        <v/>
      </c>
      <c r="B37" s="35" t="str">
        <f aca="false">IF(A37="","",EDATE($B$6,A37-1))</f>
        <v/>
      </c>
      <c r="C37" s="36" t="str">
        <f aca="false">IF(A37="","",IF(INDEX(Phasing!$D$6:$D$55,$K$1)=0,1,N(INDEX(Phasing!$I$6:$AF$55,$K$1,A37))))</f>
        <v/>
      </c>
      <c r="D37" s="37" t="str">
        <f aca="false">IF(A37="","",N(INDEX(Phasing!$AH$6:$BE$55,$K$1,A37)))</f>
        <v/>
      </c>
      <c r="E37" s="38" t="str">
        <f aca="false">IF(A37="","",D37*N($B$9))</f>
        <v/>
      </c>
      <c r="F37" s="38" t="str">
        <f aca="false">IF(A37="","",IF(AND(AND(((YEAR(B37)-YEAR(Projects!$C$3))*12+MONTH(B37)-MONTH(Projects!$C$3)+1)&gt;=1,((YEAR(B37)-YEAR(Projects!$C$3))*12+MONTH(B37)-MONTH(Projects!$C$3)+1)&lt;=36),B37&lt;=Projects!$C$2),INDEX('WIP Log'!$D$6:$AM$55,$K$1,((YEAR(B37)-YEAR(Projects!$C$3))*12+MONTH(B37)-MONTH(Projects!$C$3)+1)),0))</f>
        <v/>
      </c>
      <c r="G37" s="38" t="str">
        <f aca="false">IF(A37="","",IF(AND(((YEAR(B37)-YEAR(Projects!$C$3))*12+MONTH(B37)-MONTH(Projects!$C$3)+1)&gt;=1,((YEAR(B37)-YEAR(Projects!$C$3))*12+MONTH(B37)-MONTH(Projects!$C$3)+1)&lt;=36),INDEX('Phased Budget'!$H$6:$AQ$55,$K$1,((YEAR(B37)-YEAR(Projects!$C$3))*12+MONTH(B37)-MONTH(Projects!$C$3)+1)),0))</f>
        <v/>
      </c>
      <c r="H37" s="38" t="str">
        <f aca="false">IF(A37="","",F37+G37)</f>
        <v/>
      </c>
      <c r="I37" s="34" t="str">
        <f aca="false">IF(A37="","",IF(B37&lt;=Projects!$C$2,"Actual","Forecast"))</f>
        <v/>
      </c>
    </row>
    <row r="38" customFormat="false" ht="15" hidden="false" customHeight="false" outlineLevel="0" collapsed="false">
      <c r="A38" s="34" t="str">
        <f aca="false">IF(AND($K$1&gt;0,22&lt;=N($B$7)),22,"")</f>
        <v/>
      </c>
      <c r="B38" s="35" t="str">
        <f aca="false">IF(A38="","",EDATE($B$6,A38-1))</f>
        <v/>
      </c>
      <c r="C38" s="36" t="str">
        <f aca="false">IF(A38="","",IF(INDEX(Phasing!$D$6:$D$55,$K$1)=0,1,N(INDEX(Phasing!$I$6:$AF$55,$K$1,A38))))</f>
        <v/>
      </c>
      <c r="D38" s="37" t="str">
        <f aca="false">IF(A38="","",N(INDEX(Phasing!$AH$6:$BE$55,$K$1,A38)))</f>
        <v/>
      </c>
      <c r="E38" s="38" t="str">
        <f aca="false">IF(A38="","",D38*N($B$9))</f>
        <v/>
      </c>
      <c r="F38" s="38" t="str">
        <f aca="false">IF(A38="","",IF(AND(AND(((YEAR(B38)-YEAR(Projects!$C$3))*12+MONTH(B38)-MONTH(Projects!$C$3)+1)&gt;=1,((YEAR(B38)-YEAR(Projects!$C$3))*12+MONTH(B38)-MONTH(Projects!$C$3)+1)&lt;=36),B38&lt;=Projects!$C$2),INDEX('WIP Log'!$D$6:$AM$55,$K$1,((YEAR(B38)-YEAR(Projects!$C$3))*12+MONTH(B38)-MONTH(Projects!$C$3)+1)),0))</f>
        <v/>
      </c>
      <c r="G38" s="38" t="str">
        <f aca="false">IF(A38="","",IF(AND(((YEAR(B38)-YEAR(Projects!$C$3))*12+MONTH(B38)-MONTH(Projects!$C$3)+1)&gt;=1,((YEAR(B38)-YEAR(Projects!$C$3))*12+MONTH(B38)-MONTH(Projects!$C$3)+1)&lt;=36),INDEX('Phased Budget'!$H$6:$AQ$55,$K$1,((YEAR(B38)-YEAR(Projects!$C$3))*12+MONTH(B38)-MONTH(Projects!$C$3)+1)),0))</f>
        <v/>
      </c>
      <c r="H38" s="38" t="str">
        <f aca="false">IF(A38="","",F38+G38)</f>
        <v/>
      </c>
      <c r="I38" s="34" t="str">
        <f aca="false">IF(A38="","",IF(B38&lt;=Projects!$C$2,"Actual","Forecast"))</f>
        <v/>
      </c>
    </row>
    <row r="39" customFormat="false" ht="15" hidden="false" customHeight="false" outlineLevel="0" collapsed="false">
      <c r="A39" s="34" t="str">
        <f aca="false">IF(AND($K$1&gt;0,23&lt;=N($B$7)),23,"")</f>
        <v/>
      </c>
      <c r="B39" s="35" t="str">
        <f aca="false">IF(A39="","",EDATE($B$6,A39-1))</f>
        <v/>
      </c>
      <c r="C39" s="36" t="str">
        <f aca="false">IF(A39="","",IF(INDEX(Phasing!$D$6:$D$55,$K$1)=0,1,N(INDEX(Phasing!$I$6:$AF$55,$K$1,A39))))</f>
        <v/>
      </c>
      <c r="D39" s="37" t="str">
        <f aca="false">IF(A39="","",N(INDEX(Phasing!$AH$6:$BE$55,$K$1,A39)))</f>
        <v/>
      </c>
      <c r="E39" s="38" t="str">
        <f aca="false">IF(A39="","",D39*N($B$9))</f>
        <v/>
      </c>
      <c r="F39" s="38" t="str">
        <f aca="false">IF(A39="","",IF(AND(AND(((YEAR(B39)-YEAR(Projects!$C$3))*12+MONTH(B39)-MONTH(Projects!$C$3)+1)&gt;=1,((YEAR(B39)-YEAR(Projects!$C$3))*12+MONTH(B39)-MONTH(Projects!$C$3)+1)&lt;=36),B39&lt;=Projects!$C$2),INDEX('WIP Log'!$D$6:$AM$55,$K$1,((YEAR(B39)-YEAR(Projects!$C$3))*12+MONTH(B39)-MONTH(Projects!$C$3)+1)),0))</f>
        <v/>
      </c>
      <c r="G39" s="38" t="str">
        <f aca="false">IF(A39="","",IF(AND(((YEAR(B39)-YEAR(Projects!$C$3))*12+MONTH(B39)-MONTH(Projects!$C$3)+1)&gt;=1,((YEAR(B39)-YEAR(Projects!$C$3))*12+MONTH(B39)-MONTH(Projects!$C$3)+1)&lt;=36),INDEX('Phased Budget'!$H$6:$AQ$55,$K$1,((YEAR(B39)-YEAR(Projects!$C$3))*12+MONTH(B39)-MONTH(Projects!$C$3)+1)),0))</f>
        <v/>
      </c>
      <c r="H39" s="38" t="str">
        <f aca="false">IF(A39="","",F39+G39)</f>
        <v/>
      </c>
      <c r="I39" s="34" t="str">
        <f aca="false">IF(A39="","",IF(B39&lt;=Projects!$C$2,"Actual","Forecast"))</f>
        <v/>
      </c>
    </row>
    <row r="40" customFormat="false" ht="15" hidden="false" customHeight="false" outlineLevel="0" collapsed="false">
      <c r="A40" s="34" t="str">
        <f aca="false">IF(AND($K$1&gt;0,24&lt;=N($B$7)),24,"")</f>
        <v/>
      </c>
      <c r="B40" s="35" t="str">
        <f aca="false">IF(A40="","",EDATE($B$6,A40-1))</f>
        <v/>
      </c>
      <c r="C40" s="36" t="str">
        <f aca="false">IF(A40="","",IF(INDEX(Phasing!$D$6:$D$55,$K$1)=0,1,N(INDEX(Phasing!$I$6:$AF$55,$K$1,A40))))</f>
        <v/>
      </c>
      <c r="D40" s="37" t="str">
        <f aca="false">IF(A40="","",N(INDEX(Phasing!$AH$6:$BE$55,$K$1,A40)))</f>
        <v/>
      </c>
      <c r="E40" s="38" t="str">
        <f aca="false">IF(A40="","",D40*N($B$9))</f>
        <v/>
      </c>
      <c r="F40" s="38" t="str">
        <f aca="false">IF(A40="","",IF(AND(AND(((YEAR(B40)-YEAR(Projects!$C$3))*12+MONTH(B40)-MONTH(Projects!$C$3)+1)&gt;=1,((YEAR(B40)-YEAR(Projects!$C$3))*12+MONTH(B40)-MONTH(Projects!$C$3)+1)&lt;=36),B40&lt;=Projects!$C$2),INDEX('WIP Log'!$D$6:$AM$55,$K$1,((YEAR(B40)-YEAR(Projects!$C$3))*12+MONTH(B40)-MONTH(Projects!$C$3)+1)),0))</f>
        <v/>
      </c>
      <c r="G40" s="38" t="str">
        <f aca="false">IF(A40="","",IF(AND(((YEAR(B40)-YEAR(Projects!$C$3))*12+MONTH(B40)-MONTH(Projects!$C$3)+1)&gt;=1,((YEAR(B40)-YEAR(Projects!$C$3))*12+MONTH(B40)-MONTH(Projects!$C$3)+1)&lt;=36),INDEX('Phased Budget'!$H$6:$AQ$55,$K$1,((YEAR(B40)-YEAR(Projects!$C$3))*12+MONTH(B40)-MONTH(Projects!$C$3)+1)),0))</f>
        <v/>
      </c>
      <c r="H40" s="38" t="str">
        <f aca="false">IF(A40="","",F40+G40)</f>
        <v/>
      </c>
      <c r="I40" s="34" t="str">
        <f aca="false">IF(A40="","",IF(B40&lt;=Projects!$C$2,"Actual","Forecast"))</f>
        <v/>
      </c>
    </row>
    <row r="41" customFormat="false" ht="15" hidden="false" customHeight="false" outlineLevel="0" collapsed="false">
      <c r="A41" s="4" t="s">
        <v>75</v>
      </c>
      <c r="D41" s="39" t="n">
        <f aca="false">SUM(D17:D40)</f>
        <v>1</v>
      </c>
      <c r="E41" s="19" t="n">
        <f aca="false">SUM(E17:E40)</f>
        <v>10000</v>
      </c>
      <c r="F41" s="19" t="n">
        <f aca="false">SUM(F17:F40)</f>
        <v>1000</v>
      </c>
      <c r="G41" s="19" t="n">
        <f aca="false">SUM(G17:G40)</f>
        <v>9000</v>
      </c>
      <c r="H41" s="19" t="n">
        <f aca="false">SUM(H17:H40)</f>
        <v>10000</v>
      </c>
    </row>
    <row r="42" customFormat="false" ht="15" hidden="false" customHeight="false" outlineLevel="0" collapsed="false">
      <c r="A42" s="20" t="s">
        <v>125</v>
      </c>
      <c r="H42" s="20" t="str">
        <f aca="false">IF($K$1=0,"",IF(ABS(H41-N(B9))&lt;0.005,"✓ ties","✗ diff "&amp;TEXT(H41-N(B9),"#,##0")))</f>
        <v>✓ ties</v>
      </c>
    </row>
  </sheetData>
  <mergeCells count="10">
    <mergeCell ref="B3:D3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dataValidations count="1">
    <dataValidation allowBlank="true" errorStyle="stop" operator="between" showDropDown="false" showErrorMessage="false" showInputMessage="false" sqref="B3" type="list">
      <formula1>Projects!$B$6:$B$55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A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41" min="6" style="0" width="8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9" t="s">
        <v>127</v>
      </c>
    </row>
    <row r="5" customFormat="false" ht="43.5" hidden="false" customHeight="true" outlineLevel="0" collapsed="false">
      <c r="A5" s="10" t="s">
        <v>59</v>
      </c>
      <c r="B5" s="10" t="s">
        <v>60</v>
      </c>
      <c r="C5" s="10" t="s">
        <v>61</v>
      </c>
      <c r="D5" s="10" t="s">
        <v>128</v>
      </c>
      <c r="E5" s="10" t="s">
        <v>129</v>
      </c>
      <c r="F5" s="27" t="n">
        <f aca="false">'WIP Log'!D5</f>
        <v>46023</v>
      </c>
      <c r="G5" s="27" t="n">
        <f aca="false">'WIP Log'!E5</f>
        <v>46054</v>
      </c>
      <c r="H5" s="27" t="n">
        <f aca="false">'WIP Log'!F5</f>
        <v>46082</v>
      </c>
      <c r="I5" s="27" t="n">
        <f aca="false">'WIP Log'!G5</f>
        <v>46113</v>
      </c>
      <c r="J5" s="27" t="n">
        <f aca="false">'WIP Log'!H5</f>
        <v>46143</v>
      </c>
      <c r="K5" s="27" t="n">
        <f aca="false">'WIP Log'!I5</f>
        <v>46174</v>
      </c>
      <c r="L5" s="27" t="n">
        <f aca="false">'WIP Log'!J5</f>
        <v>46204</v>
      </c>
      <c r="M5" s="27" t="n">
        <f aca="false">'WIP Log'!K5</f>
        <v>46235</v>
      </c>
      <c r="N5" s="27" t="n">
        <f aca="false">'WIP Log'!L5</f>
        <v>46266</v>
      </c>
      <c r="O5" s="27" t="n">
        <f aca="false">'WIP Log'!M5</f>
        <v>46296</v>
      </c>
      <c r="P5" s="27" t="n">
        <f aca="false">'WIP Log'!N5</f>
        <v>46327</v>
      </c>
      <c r="Q5" s="27" t="n">
        <f aca="false">'WIP Log'!O5</f>
        <v>46357</v>
      </c>
      <c r="R5" s="27" t="n">
        <f aca="false">'WIP Log'!P5</f>
        <v>46388</v>
      </c>
      <c r="S5" s="27" t="n">
        <f aca="false">'WIP Log'!Q5</f>
        <v>46419</v>
      </c>
      <c r="T5" s="27" t="n">
        <f aca="false">'WIP Log'!R5</f>
        <v>46447</v>
      </c>
      <c r="U5" s="27" t="n">
        <f aca="false">'WIP Log'!S5</f>
        <v>46478</v>
      </c>
      <c r="V5" s="27" t="n">
        <f aca="false">'WIP Log'!T5</f>
        <v>46508</v>
      </c>
      <c r="W5" s="27" t="n">
        <f aca="false">'WIP Log'!U5</f>
        <v>46539</v>
      </c>
      <c r="X5" s="27" t="n">
        <f aca="false">'WIP Log'!V5</f>
        <v>46569</v>
      </c>
      <c r="Y5" s="27" t="n">
        <f aca="false">'WIP Log'!W5</f>
        <v>46600</v>
      </c>
      <c r="Z5" s="27" t="n">
        <f aca="false">'WIP Log'!X5</f>
        <v>46631</v>
      </c>
      <c r="AA5" s="27" t="n">
        <f aca="false">'WIP Log'!Y5</f>
        <v>46661</v>
      </c>
      <c r="AB5" s="27" t="n">
        <f aca="false">'WIP Log'!Z5</f>
        <v>46692</v>
      </c>
      <c r="AC5" s="27" t="n">
        <f aca="false">'WIP Log'!AA5</f>
        <v>46722</v>
      </c>
      <c r="AD5" s="27" t="n">
        <f aca="false">'WIP Log'!AB5</f>
        <v>46753</v>
      </c>
      <c r="AE5" s="27" t="n">
        <f aca="false">'WIP Log'!AC5</f>
        <v>46784</v>
      </c>
      <c r="AF5" s="27" t="n">
        <f aca="false">'WIP Log'!AD5</f>
        <v>46813</v>
      </c>
      <c r="AG5" s="27" t="n">
        <f aca="false">'WIP Log'!AE5</f>
        <v>46844</v>
      </c>
      <c r="AH5" s="27" t="n">
        <f aca="false">'WIP Log'!AF5</f>
        <v>46874</v>
      </c>
      <c r="AI5" s="27" t="n">
        <f aca="false">'WIP Log'!AG5</f>
        <v>46905</v>
      </c>
      <c r="AJ5" s="27" t="n">
        <f aca="false">'WIP Log'!AH5</f>
        <v>46935</v>
      </c>
      <c r="AK5" s="27" t="n">
        <f aca="false">'WIP Log'!AI5</f>
        <v>46966</v>
      </c>
      <c r="AL5" s="27" t="n">
        <f aca="false">'WIP Log'!AJ5</f>
        <v>46997</v>
      </c>
      <c r="AM5" s="27" t="n">
        <f aca="false">'WIP Log'!AK5</f>
        <v>47027</v>
      </c>
      <c r="AN5" s="27" t="n">
        <f aca="false">'WIP Log'!AL5</f>
        <v>47058</v>
      </c>
      <c r="AO5" s="27" t="n">
        <f aca="false">'WIP Log'!AM5</f>
        <v>47088</v>
      </c>
    </row>
    <row r="6" customFormat="false" ht="15" hidden="false" customHeight="false" outlineLevel="0" collapsed="false">
      <c r="A6" s="20" t="n">
        <v>1</v>
      </c>
      <c r="B6" s="40" t="str">
        <f aca="false">IF(Projects!B6="","",Projects!B6)</f>
        <v>Example Project (slide)</v>
      </c>
      <c r="C6" s="40" t="str">
        <f aca="false">IF(Projects!C6="","",Projects!C6)</f>
        <v>J. Doe</v>
      </c>
      <c r="D6" s="41" t="n">
        <f aca="false">IF(Projects!D6="","",Projects!D6)</f>
        <v>46296</v>
      </c>
      <c r="E6" s="41" t="n">
        <f aca="false">IF(Projects!F6="","",Projects!F6)</f>
        <v>46419</v>
      </c>
      <c r="F6" s="42" t="str">
        <f aca="false">IF($B6="","",IF(F$5&lt;=Projects!$C$2,IF(OR(IF($D6="",FALSE(),AND(F$5&gt;=DATE(YEAR($D6),MONTH($D6),1),F$5&lt;=$E6)),N('WIP Log'!D6)&lt;&gt;0),N('WIP Log'!D6),""),IF(IF($D6="",FALSE(),AND(F$5&gt;=DATE(YEAR($D6),MONTH($D6),1),F$5&lt;=$E6)),'Phased Budget'!H6,"")))</f>
        <v/>
      </c>
      <c r="G6" s="42" t="str">
        <f aca="false">IF($B6="","",IF(G$5&lt;=Projects!$C$2,IF(OR(IF($D6="",FALSE(),AND(G$5&gt;=DATE(YEAR($D6),MONTH($D6),1),G$5&lt;=$E6)),N('WIP Log'!E6)&lt;&gt;0),N('WIP Log'!E6),""),IF(IF($D6="",FALSE(),AND(G$5&gt;=DATE(YEAR($D6),MONTH($D6),1),G$5&lt;=$E6)),'Phased Budget'!I6,"")))</f>
        <v/>
      </c>
      <c r="H6" s="42" t="str">
        <f aca="false">IF($B6="","",IF(H$5&lt;=Projects!$C$2,IF(OR(IF($D6="",FALSE(),AND(H$5&gt;=DATE(YEAR($D6),MONTH($D6),1),H$5&lt;=$E6)),N('WIP Log'!F6)&lt;&gt;0),N('WIP Log'!F6),""),IF(IF($D6="",FALSE(),AND(H$5&gt;=DATE(YEAR($D6),MONTH($D6),1),H$5&lt;=$E6)),'Phased Budget'!J6,"")))</f>
        <v/>
      </c>
      <c r="I6" s="42" t="str">
        <f aca="false">IF($B6="","",IF(I$5&lt;=Projects!$C$2,IF(OR(IF($D6="",FALSE(),AND(I$5&gt;=DATE(YEAR($D6),MONTH($D6),1),I$5&lt;=$E6)),N('WIP Log'!G6)&lt;&gt;0),N('WIP Log'!G6),""),IF(IF($D6="",FALSE(),AND(I$5&gt;=DATE(YEAR($D6),MONTH($D6),1),I$5&lt;=$E6)),'Phased Budget'!K6,"")))</f>
        <v/>
      </c>
      <c r="J6" s="42" t="str">
        <f aca="false">IF($B6="","",IF(J$5&lt;=Projects!$C$2,IF(OR(IF($D6="",FALSE(),AND(J$5&gt;=DATE(YEAR($D6),MONTH($D6),1),J$5&lt;=$E6)),N('WIP Log'!H6)&lt;&gt;0),N('WIP Log'!H6),""),IF(IF($D6="",FALSE(),AND(J$5&gt;=DATE(YEAR($D6),MONTH($D6),1),J$5&lt;=$E6)),'Phased Budget'!L6,"")))</f>
        <v/>
      </c>
      <c r="K6" s="42" t="str">
        <f aca="false">IF($B6="","",IF(K$5&lt;=Projects!$C$2,IF(OR(IF($D6="",FALSE(),AND(K$5&gt;=DATE(YEAR($D6),MONTH($D6),1),K$5&lt;=$E6)),N('WIP Log'!I6)&lt;&gt;0),N('WIP Log'!I6),""),IF(IF($D6="",FALSE(),AND(K$5&gt;=DATE(YEAR($D6),MONTH($D6),1),K$5&lt;=$E6)),'Phased Budget'!M6,"")))</f>
        <v/>
      </c>
      <c r="L6" s="42" t="str">
        <f aca="false">IF($B6="","",IF(L$5&lt;=Projects!$C$2,IF(OR(IF($D6="",FALSE(),AND(L$5&gt;=DATE(YEAR($D6),MONTH($D6),1),L$5&lt;=$E6)),N('WIP Log'!J6)&lt;&gt;0),N('WIP Log'!J6),""),IF(IF($D6="",FALSE(),AND(L$5&gt;=DATE(YEAR($D6),MONTH($D6),1),L$5&lt;=$E6)),'Phased Budget'!N6,"")))</f>
        <v/>
      </c>
      <c r="M6" s="42" t="str">
        <f aca="false">IF($B6="","",IF(M$5&lt;=Projects!$C$2,IF(OR(IF($D6="",FALSE(),AND(M$5&gt;=DATE(YEAR($D6),MONTH($D6),1),M$5&lt;=$E6)),N('WIP Log'!K6)&lt;&gt;0),N('WIP Log'!K6),""),IF(IF($D6="",FALSE(),AND(M$5&gt;=DATE(YEAR($D6),MONTH($D6),1),M$5&lt;=$E6)),'Phased Budget'!O6,"")))</f>
        <v/>
      </c>
      <c r="N6" s="42" t="str">
        <f aca="false">IF($B6="","",IF(N$5&lt;=Projects!$C$2,IF(OR(IF($D6="",FALSE(),AND(N$5&gt;=DATE(YEAR($D6),MONTH($D6),1),N$5&lt;=$E6)),N('WIP Log'!L6)&lt;&gt;0),N('WIP Log'!L6),""),IF(IF($D6="",FALSE(),AND(N$5&gt;=DATE(YEAR($D6),MONTH($D6),1),N$5&lt;=$E6)),'Phased Budget'!P6,"")))</f>
        <v/>
      </c>
      <c r="O6" s="42" t="n">
        <f aca="false">IF($B6="","",IF(O$5&lt;=Projects!$C$2,IF(OR(IF($D6="",FALSE(),AND(O$5&gt;=DATE(YEAR($D6),MONTH($D6),1),O$5&lt;=$E6)),N('WIP Log'!M6)&lt;&gt;0),N('WIP Log'!M6),""),IF(IF($D6="",FALSE(),AND(O$5&gt;=DATE(YEAR($D6),MONTH($D6),1),O$5&lt;=$E6)),'Phased Budget'!Q6,"")))</f>
        <v>1000</v>
      </c>
      <c r="P6" s="42" t="n">
        <f aca="false">IF($B6="","",IF(P$5&lt;=Projects!$C$2,IF(OR(IF($D6="",FALSE(),AND(P$5&gt;=DATE(YEAR($D6),MONTH($D6),1),P$5&lt;=$E6)),N('WIP Log'!N6)&lt;&gt;0),N('WIP Log'!N6),""),IF(IF($D6="",FALSE(),AND(P$5&gt;=DATE(YEAR($D6),MONTH($D6),1),P$5&lt;=$E6)),'Phased Budget'!R6,"")))</f>
        <v>2250</v>
      </c>
      <c r="Q6" s="42" t="n">
        <f aca="false">IF($B6="","",IF(Q$5&lt;=Projects!$C$2,IF(OR(IF($D6="",FALSE(),AND(Q$5&gt;=DATE(YEAR($D6),MONTH($D6),1),Q$5&lt;=$E6)),N('WIP Log'!O6)&lt;&gt;0),N('WIP Log'!O6),""),IF(IF($D6="",FALSE(),AND(Q$5&gt;=DATE(YEAR($D6),MONTH($D6),1),Q$5&lt;=$E6)),'Phased Budget'!S6,"")))</f>
        <v>2250</v>
      </c>
      <c r="R6" s="42" t="n">
        <f aca="false">IF($B6="","",IF(R$5&lt;=Projects!$C$2,IF(OR(IF($D6="",FALSE(),AND(R$5&gt;=DATE(YEAR($D6),MONTH($D6),1),R$5&lt;=$E6)),N('WIP Log'!P6)&lt;&gt;0),N('WIP Log'!P6),""),IF(IF($D6="",FALSE(),AND(R$5&gt;=DATE(YEAR($D6),MONTH($D6),1),R$5&lt;=$E6)),'Phased Budget'!T6,"")))</f>
        <v>2250</v>
      </c>
      <c r="S6" s="42" t="n">
        <f aca="false">IF($B6="","",IF(S$5&lt;=Projects!$C$2,IF(OR(IF($D6="",FALSE(),AND(S$5&gt;=DATE(YEAR($D6),MONTH($D6),1),S$5&lt;=$E6)),N('WIP Log'!Q6)&lt;&gt;0),N('WIP Log'!Q6),""),IF(IF($D6="",FALSE(),AND(S$5&gt;=DATE(YEAR($D6),MONTH($D6),1),S$5&lt;=$E6)),'Phased Budget'!U6,"")))</f>
        <v>2250</v>
      </c>
      <c r="T6" s="42" t="str">
        <f aca="false">IF($B6="","",IF(T$5&lt;=Projects!$C$2,IF(OR(IF($D6="",FALSE(),AND(T$5&gt;=DATE(YEAR($D6),MONTH($D6),1),T$5&lt;=$E6)),N('WIP Log'!R6)&lt;&gt;0),N('WIP Log'!R6),""),IF(IF($D6="",FALSE(),AND(T$5&gt;=DATE(YEAR($D6),MONTH($D6),1),T$5&lt;=$E6)),'Phased Budget'!V6,"")))</f>
        <v/>
      </c>
      <c r="U6" s="42" t="str">
        <f aca="false">IF($B6="","",IF(U$5&lt;=Projects!$C$2,IF(OR(IF($D6="",FALSE(),AND(U$5&gt;=DATE(YEAR($D6),MONTH($D6),1),U$5&lt;=$E6)),N('WIP Log'!S6)&lt;&gt;0),N('WIP Log'!S6),""),IF(IF($D6="",FALSE(),AND(U$5&gt;=DATE(YEAR($D6),MONTH($D6),1),U$5&lt;=$E6)),'Phased Budget'!W6,"")))</f>
        <v/>
      </c>
      <c r="V6" s="42" t="str">
        <f aca="false">IF($B6="","",IF(V$5&lt;=Projects!$C$2,IF(OR(IF($D6="",FALSE(),AND(V$5&gt;=DATE(YEAR($D6),MONTH($D6),1),V$5&lt;=$E6)),N('WIP Log'!T6)&lt;&gt;0),N('WIP Log'!T6),""),IF(IF($D6="",FALSE(),AND(V$5&gt;=DATE(YEAR($D6),MONTH($D6),1),V$5&lt;=$E6)),'Phased Budget'!X6,"")))</f>
        <v/>
      </c>
      <c r="W6" s="42" t="str">
        <f aca="false">IF($B6="","",IF(W$5&lt;=Projects!$C$2,IF(OR(IF($D6="",FALSE(),AND(W$5&gt;=DATE(YEAR($D6),MONTH($D6),1),W$5&lt;=$E6)),N('WIP Log'!U6)&lt;&gt;0),N('WIP Log'!U6),""),IF(IF($D6="",FALSE(),AND(W$5&gt;=DATE(YEAR($D6),MONTH($D6),1),W$5&lt;=$E6)),'Phased Budget'!Y6,"")))</f>
        <v/>
      </c>
      <c r="X6" s="42" t="str">
        <f aca="false">IF($B6="","",IF(X$5&lt;=Projects!$C$2,IF(OR(IF($D6="",FALSE(),AND(X$5&gt;=DATE(YEAR($D6),MONTH($D6),1),X$5&lt;=$E6)),N('WIP Log'!V6)&lt;&gt;0),N('WIP Log'!V6),""),IF(IF($D6="",FALSE(),AND(X$5&gt;=DATE(YEAR($D6),MONTH($D6),1),X$5&lt;=$E6)),'Phased Budget'!Z6,"")))</f>
        <v/>
      </c>
      <c r="Y6" s="42" t="str">
        <f aca="false">IF($B6="","",IF(Y$5&lt;=Projects!$C$2,IF(OR(IF($D6="",FALSE(),AND(Y$5&gt;=DATE(YEAR($D6),MONTH($D6),1),Y$5&lt;=$E6)),N('WIP Log'!W6)&lt;&gt;0),N('WIP Log'!W6),""),IF(IF($D6="",FALSE(),AND(Y$5&gt;=DATE(YEAR($D6),MONTH($D6),1),Y$5&lt;=$E6)),'Phased Budget'!AA6,"")))</f>
        <v/>
      </c>
      <c r="Z6" s="42" t="str">
        <f aca="false">IF($B6="","",IF(Z$5&lt;=Projects!$C$2,IF(OR(IF($D6="",FALSE(),AND(Z$5&gt;=DATE(YEAR($D6),MONTH($D6),1),Z$5&lt;=$E6)),N('WIP Log'!X6)&lt;&gt;0),N('WIP Log'!X6),""),IF(IF($D6="",FALSE(),AND(Z$5&gt;=DATE(YEAR($D6),MONTH($D6),1),Z$5&lt;=$E6)),'Phased Budget'!AB6,"")))</f>
        <v/>
      </c>
      <c r="AA6" s="42" t="str">
        <f aca="false">IF($B6="","",IF(AA$5&lt;=Projects!$C$2,IF(OR(IF($D6="",FALSE(),AND(AA$5&gt;=DATE(YEAR($D6),MONTH($D6),1),AA$5&lt;=$E6)),N('WIP Log'!Y6)&lt;&gt;0),N('WIP Log'!Y6),""),IF(IF($D6="",FALSE(),AND(AA$5&gt;=DATE(YEAR($D6),MONTH($D6),1),AA$5&lt;=$E6)),'Phased Budget'!AC6,"")))</f>
        <v/>
      </c>
      <c r="AB6" s="42" t="str">
        <f aca="false">IF($B6="","",IF(AB$5&lt;=Projects!$C$2,IF(OR(IF($D6="",FALSE(),AND(AB$5&gt;=DATE(YEAR($D6),MONTH($D6),1),AB$5&lt;=$E6)),N('WIP Log'!Z6)&lt;&gt;0),N('WIP Log'!Z6),""),IF(IF($D6="",FALSE(),AND(AB$5&gt;=DATE(YEAR($D6),MONTH($D6),1),AB$5&lt;=$E6)),'Phased Budget'!AD6,"")))</f>
        <v/>
      </c>
      <c r="AC6" s="42" t="str">
        <f aca="false">IF($B6="","",IF(AC$5&lt;=Projects!$C$2,IF(OR(IF($D6="",FALSE(),AND(AC$5&gt;=DATE(YEAR($D6),MONTH($D6),1),AC$5&lt;=$E6)),N('WIP Log'!AA6)&lt;&gt;0),N('WIP Log'!AA6),""),IF(IF($D6="",FALSE(),AND(AC$5&gt;=DATE(YEAR($D6),MONTH($D6),1),AC$5&lt;=$E6)),'Phased Budget'!AE6,"")))</f>
        <v/>
      </c>
      <c r="AD6" s="42" t="str">
        <f aca="false">IF($B6="","",IF(AD$5&lt;=Projects!$C$2,IF(OR(IF($D6="",FALSE(),AND(AD$5&gt;=DATE(YEAR($D6),MONTH($D6),1),AD$5&lt;=$E6)),N('WIP Log'!AB6)&lt;&gt;0),N('WIP Log'!AB6),""),IF(IF($D6="",FALSE(),AND(AD$5&gt;=DATE(YEAR($D6),MONTH($D6),1),AD$5&lt;=$E6)),'Phased Budget'!AF6,"")))</f>
        <v/>
      </c>
      <c r="AE6" s="42" t="str">
        <f aca="false">IF($B6="","",IF(AE$5&lt;=Projects!$C$2,IF(OR(IF($D6="",FALSE(),AND(AE$5&gt;=DATE(YEAR($D6),MONTH($D6),1),AE$5&lt;=$E6)),N('WIP Log'!AC6)&lt;&gt;0),N('WIP Log'!AC6),""),IF(IF($D6="",FALSE(),AND(AE$5&gt;=DATE(YEAR($D6),MONTH($D6),1),AE$5&lt;=$E6)),'Phased Budget'!AG6,"")))</f>
        <v/>
      </c>
      <c r="AF6" s="42" t="str">
        <f aca="false">IF($B6="","",IF(AF$5&lt;=Projects!$C$2,IF(OR(IF($D6="",FALSE(),AND(AF$5&gt;=DATE(YEAR($D6),MONTH($D6),1),AF$5&lt;=$E6)),N('WIP Log'!AD6)&lt;&gt;0),N('WIP Log'!AD6),""),IF(IF($D6="",FALSE(),AND(AF$5&gt;=DATE(YEAR($D6),MONTH($D6),1),AF$5&lt;=$E6)),'Phased Budget'!AH6,"")))</f>
        <v/>
      </c>
      <c r="AG6" s="42" t="str">
        <f aca="false">IF($B6="","",IF(AG$5&lt;=Projects!$C$2,IF(OR(IF($D6="",FALSE(),AND(AG$5&gt;=DATE(YEAR($D6),MONTH($D6),1),AG$5&lt;=$E6)),N('WIP Log'!AE6)&lt;&gt;0),N('WIP Log'!AE6),""),IF(IF($D6="",FALSE(),AND(AG$5&gt;=DATE(YEAR($D6),MONTH($D6),1),AG$5&lt;=$E6)),'Phased Budget'!AI6,"")))</f>
        <v/>
      </c>
      <c r="AH6" s="42" t="str">
        <f aca="false">IF($B6="","",IF(AH$5&lt;=Projects!$C$2,IF(OR(IF($D6="",FALSE(),AND(AH$5&gt;=DATE(YEAR($D6),MONTH($D6),1),AH$5&lt;=$E6)),N('WIP Log'!AF6)&lt;&gt;0),N('WIP Log'!AF6),""),IF(IF($D6="",FALSE(),AND(AH$5&gt;=DATE(YEAR($D6),MONTH($D6),1),AH$5&lt;=$E6)),'Phased Budget'!AJ6,"")))</f>
        <v/>
      </c>
      <c r="AI6" s="42" t="str">
        <f aca="false">IF($B6="","",IF(AI$5&lt;=Projects!$C$2,IF(OR(IF($D6="",FALSE(),AND(AI$5&gt;=DATE(YEAR($D6),MONTH($D6),1),AI$5&lt;=$E6)),N('WIP Log'!AG6)&lt;&gt;0),N('WIP Log'!AG6),""),IF(IF($D6="",FALSE(),AND(AI$5&gt;=DATE(YEAR($D6),MONTH($D6),1),AI$5&lt;=$E6)),'Phased Budget'!AK6,"")))</f>
        <v/>
      </c>
      <c r="AJ6" s="42" t="str">
        <f aca="false">IF($B6="","",IF(AJ$5&lt;=Projects!$C$2,IF(OR(IF($D6="",FALSE(),AND(AJ$5&gt;=DATE(YEAR($D6),MONTH($D6),1),AJ$5&lt;=$E6)),N('WIP Log'!AH6)&lt;&gt;0),N('WIP Log'!AH6),""),IF(IF($D6="",FALSE(),AND(AJ$5&gt;=DATE(YEAR($D6),MONTH($D6),1),AJ$5&lt;=$E6)),'Phased Budget'!AL6,"")))</f>
        <v/>
      </c>
      <c r="AK6" s="42" t="str">
        <f aca="false">IF($B6="","",IF(AK$5&lt;=Projects!$C$2,IF(OR(IF($D6="",FALSE(),AND(AK$5&gt;=DATE(YEAR($D6),MONTH($D6),1),AK$5&lt;=$E6)),N('WIP Log'!AI6)&lt;&gt;0),N('WIP Log'!AI6),""),IF(IF($D6="",FALSE(),AND(AK$5&gt;=DATE(YEAR($D6),MONTH($D6),1),AK$5&lt;=$E6)),'Phased Budget'!AM6,"")))</f>
        <v/>
      </c>
      <c r="AL6" s="42" t="str">
        <f aca="false">IF($B6="","",IF(AL$5&lt;=Projects!$C$2,IF(OR(IF($D6="",FALSE(),AND(AL$5&gt;=DATE(YEAR($D6),MONTH($D6),1),AL$5&lt;=$E6)),N('WIP Log'!AJ6)&lt;&gt;0),N('WIP Log'!AJ6),""),IF(IF($D6="",FALSE(),AND(AL$5&gt;=DATE(YEAR($D6),MONTH($D6),1),AL$5&lt;=$E6)),'Phased Budget'!AN6,"")))</f>
        <v/>
      </c>
      <c r="AM6" s="42" t="str">
        <f aca="false">IF($B6="","",IF(AM$5&lt;=Projects!$C$2,IF(OR(IF($D6="",FALSE(),AND(AM$5&gt;=DATE(YEAR($D6),MONTH($D6),1),AM$5&lt;=$E6)),N('WIP Log'!AK6)&lt;&gt;0),N('WIP Log'!AK6),""),IF(IF($D6="",FALSE(),AND(AM$5&gt;=DATE(YEAR($D6),MONTH($D6),1),AM$5&lt;=$E6)),'Phased Budget'!AO6,"")))</f>
        <v/>
      </c>
      <c r="AN6" s="42" t="str">
        <f aca="false">IF($B6="","",IF(AN$5&lt;=Projects!$C$2,IF(OR(IF($D6="",FALSE(),AND(AN$5&gt;=DATE(YEAR($D6),MONTH($D6),1),AN$5&lt;=$E6)),N('WIP Log'!AL6)&lt;&gt;0),N('WIP Log'!AL6),""),IF(IF($D6="",FALSE(),AND(AN$5&gt;=DATE(YEAR($D6),MONTH($D6),1),AN$5&lt;=$E6)),'Phased Budget'!AP6,"")))</f>
        <v/>
      </c>
      <c r="AO6" s="42" t="str">
        <f aca="false">IF($B6="","",IF(AO$5&lt;=Projects!$C$2,IF(OR(IF($D6="",FALSE(),AND(AO$5&gt;=DATE(YEAR($D6),MONTH($D6),1),AO$5&lt;=$E6)),N('WIP Log'!AM6)&lt;&gt;0),N('WIP Log'!AM6),""),IF(IF($D6="",FALSE(),AND(AO$5&gt;=DATE(YEAR($D6),MONTH($D6),1),AO$5&lt;=$E6)),'Phased Budget'!AQ6,"")))</f>
        <v/>
      </c>
    </row>
    <row r="7" customFormat="false" ht="15" hidden="false" customHeight="false" outlineLevel="0" collapsed="false">
      <c r="A7" s="20" t="n">
        <v>2</v>
      </c>
      <c r="B7" s="40" t="str">
        <f aca="false">IF(Projects!B7="","",Projects!B7)</f>
        <v/>
      </c>
      <c r="C7" s="40" t="str">
        <f aca="false">IF(Projects!C7="","",Projects!C7)</f>
        <v/>
      </c>
      <c r="D7" s="41" t="str">
        <f aca="false">IF(Projects!D7="","",Projects!D7)</f>
        <v/>
      </c>
      <c r="E7" s="41" t="str">
        <f aca="false">IF(Projects!F7="","",Projects!F7)</f>
        <v/>
      </c>
      <c r="F7" s="42" t="str">
        <f aca="false">IF($B7="","",IF(F$5&lt;=Projects!$C$2,IF(OR(IF($D7="",FALSE(),AND(F$5&gt;=DATE(YEAR($D7),MONTH($D7),1),F$5&lt;=$E7)),N('WIP Log'!D7)&lt;&gt;0),N('WIP Log'!D7),""),IF(IF($D7="",FALSE(),AND(F$5&gt;=DATE(YEAR($D7),MONTH($D7),1),F$5&lt;=$E7)),'Phased Budget'!H7,"")))</f>
        <v/>
      </c>
      <c r="G7" s="42" t="str">
        <f aca="false">IF($B7="","",IF(G$5&lt;=Projects!$C$2,IF(OR(IF($D7="",FALSE(),AND(G$5&gt;=DATE(YEAR($D7),MONTH($D7),1),G$5&lt;=$E7)),N('WIP Log'!E7)&lt;&gt;0),N('WIP Log'!E7),""),IF(IF($D7="",FALSE(),AND(G$5&gt;=DATE(YEAR($D7),MONTH($D7),1),G$5&lt;=$E7)),'Phased Budget'!I7,"")))</f>
        <v/>
      </c>
      <c r="H7" s="42" t="str">
        <f aca="false">IF($B7="","",IF(H$5&lt;=Projects!$C$2,IF(OR(IF($D7="",FALSE(),AND(H$5&gt;=DATE(YEAR($D7),MONTH($D7),1),H$5&lt;=$E7)),N('WIP Log'!F7)&lt;&gt;0),N('WIP Log'!F7),""),IF(IF($D7="",FALSE(),AND(H$5&gt;=DATE(YEAR($D7),MONTH($D7),1),H$5&lt;=$E7)),'Phased Budget'!J7,"")))</f>
        <v/>
      </c>
      <c r="I7" s="42" t="str">
        <f aca="false">IF($B7="","",IF(I$5&lt;=Projects!$C$2,IF(OR(IF($D7="",FALSE(),AND(I$5&gt;=DATE(YEAR($D7),MONTH($D7),1),I$5&lt;=$E7)),N('WIP Log'!G7)&lt;&gt;0),N('WIP Log'!G7),""),IF(IF($D7="",FALSE(),AND(I$5&gt;=DATE(YEAR($D7),MONTH($D7),1),I$5&lt;=$E7)),'Phased Budget'!K7,"")))</f>
        <v/>
      </c>
      <c r="J7" s="42" t="str">
        <f aca="false">IF($B7="","",IF(J$5&lt;=Projects!$C$2,IF(OR(IF($D7="",FALSE(),AND(J$5&gt;=DATE(YEAR($D7),MONTH($D7),1),J$5&lt;=$E7)),N('WIP Log'!H7)&lt;&gt;0),N('WIP Log'!H7),""),IF(IF($D7="",FALSE(),AND(J$5&gt;=DATE(YEAR($D7),MONTH($D7),1),J$5&lt;=$E7)),'Phased Budget'!L7,"")))</f>
        <v/>
      </c>
      <c r="K7" s="42" t="str">
        <f aca="false">IF($B7="","",IF(K$5&lt;=Projects!$C$2,IF(OR(IF($D7="",FALSE(),AND(K$5&gt;=DATE(YEAR($D7),MONTH($D7),1),K$5&lt;=$E7)),N('WIP Log'!I7)&lt;&gt;0),N('WIP Log'!I7),""),IF(IF($D7="",FALSE(),AND(K$5&gt;=DATE(YEAR($D7),MONTH($D7),1),K$5&lt;=$E7)),'Phased Budget'!M7,"")))</f>
        <v/>
      </c>
      <c r="L7" s="42" t="str">
        <f aca="false">IF($B7="","",IF(L$5&lt;=Projects!$C$2,IF(OR(IF($D7="",FALSE(),AND(L$5&gt;=DATE(YEAR($D7),MONTH($D7),1),L$5&lt;=$E7)),N('WIP Log'!J7)&lt;&gt;0),N('WIP Log'!J7),""),IF(IF($D7="",FALSE(),AND(L$5&gt;=DATE(YEAR($D7),MONTH($D7),1),L$5&lt;=$E7)),'Phased Budget'!N7,"")))</f>
        <v/>
      </c>
      <c r="M7" s="42" t="str">
        <f aca="false">IF($B7="","",IF(M$5&lt;=Projects!$C$2,IF(OR(IF($D7="",FALSE(),AND(M$5&gt;=DATE(YEAR($D7),MONTH($D7),1),M$5&lt;=$E7)),N('WIP Log'!K7)&lt;&gt;0),N('WIP Log'!K7),""),IF(IF($D7="",FALSE(),AND(M$5&gt;=DATE(YEAR($D7),MONTH($D7),1),M$5&lt;=$E7)),'Phased Budget'!O7,"")))</f>
        <v/>
      </c>
      <c r="N7" s="42" t="str">
        <f aca="false">IF($B7="","",IF(N$5&lt;=Projects!$C$2,IF(OR(IF($D7="",FALSE(),AND(N$5&gt;=DATE(YEAR($D7),MONTH($D7),1),N$5&lt;=$E7)),N('WIP Log'!L7)&lt;&gt;0),N('WIP Log'!L7),""),IF(IF($D7="",FALSE(),AND(N$5&gt;=DATE(YEAR($D7),MONTH($D7),1),N$5&lt;=$E7)),'Phased Budget'!P7,"")))</f>
        <v/>
      </c>
      <c r="O7" s="42" t="str">
        <f aca="false">IF($B7="","",IF(O$5&lt;=Projects!$C$2,IF(OR(IF($D7="",FALSE(),AND(O$5&gt;=DATE(YEAR($D7),MONTH($D7),1),O$5&lt;=$E7)),N('WIP Log'!M7)&lt;&gt;0),N('WIP Log'!M7),""),IF(IF($D7="",FALSE(),AND(O$5&gt;=DATE(YEAR($D7),MONTH($D7),1),O$5&lt;=$E7)),'Phased Budget'!Q7,"")))</f>
        <v/>
      </c>
      <c r="P7" s="42" t="str">
        <f aca="false">IF($B7="","",IF(P$5&lt;=Projects!$C$2,IF(OR(IF($D7="",FALSE(),AND(P$5&gt;=DATE(YEAR($D7),MONTH($D7),1),P$5&lt;=$E7)),N('WIP Log'!N7)&lt;&gt;0),N('WIP Log'!N7),""),IF(IF($D7="",FALSE(),AND(P$5&gt;=DATE(YEAR($D7),MONTH($D7),1),P$5&lt;=$E7)),'Phased Budget'!R7,"")))</f>
        <v/>
      </c>
      <c r="Q7" s="42" t="str">
        <f aca="false">IF($B7="","",IF(Q$5&lt;=Projects!$C$2,IF(OR(IF($D7="",FALSE(),AND(Q$5&gt;=DATE(YEAR($D7),MONTH($D7),1),Q$5&lt;=$E7)),N('WIP Log'!O7)&lt;&gt;0),N('WIP Log'!O7),""),IF(IF($D7="",FALSE(),AND(Q$5&gt;=DATE(YEAR($D7),MONTH($D7),1),Q$5&lt;=$E7)),'Phased Budget'!S7,"")))</f>
        <v/>
      </c>
      <c r="R7" s="42" t="str">
        <f aca="false">IF($B7="","",IF(R$5&lt;=Projects!$C$2,IF(OR(IF($D7="",FALSE(),AND(R$5&gt;=DATE(YEAR($D7),MONTH($D7),1),R$5&lt;=$E7)),N('WIP Log'!P7)&lt;&gt;0),N('WIP Log'!P7),""),IF(IF($D7="",FALSE(),AND(R$5&gt;=DATE(YEAR($D7),MONTH($D7),1),R$5&lt;=$E7)),'Phased Budget'!T7,"")))</f>
        <v/>
      </c>
      <c r="S7" s="42" t="str">
        <f aca="false">IF($B7="","",IF(S$5&lt;=Projects!$C$2,IF(OR(IF($D7="",FALSE(),AND(S$5&gt;=DATE(YEAR($D7),MONTH($D7),1),S$5&lt;=$E7)),N('WIP Log'!Q7)&lt;&gt;0),N('WIP Log'!Q7),""),IF(IF($D7="",FALSE(),AND(S$5&gt;=DATE(YEAR($D7),MONTH($D7),1),S$5&lt;=$E7)),'Phased Budget'!U7,"")))</f>
        <v/>
      </c>
      <c r="T7" s="42" t="str">
        <f aca="false">IF($B7="","",IF(T$5&lt;=Projects!$C$2,IF(OR(IF($D7="",FALSE(),AND(T$5&gt;=DATE(YEAR($D7),MONTH($D7),1),T$5&lt;=$E7)),N('WIP Log'!R7)&lt;&gt;0),N('WIP Log'!R7),""),IF(IF($D7="",FALSE(),AND(T$5&gt;=DATE(YEAR($D7),MONTH($D7),1),T$5&lt;=$E7)),'Phased Budget'!V7,"")))</f>
        <v/>
      </c>
      <c r="U7" s="42" t="str">
        <f aca="false">IF($B7="","",IF(U$5&lt;=Projects!$C$2,IF(OR(IF($D7="",FALSE(),AND(U$5&gt;=DATE(YEAR($D7),MONTH($D7),1),U$5&lt;=$E7)),N('WIP Log'!S7)&lt;&gt;0),N('WIP Log'!S7),""),IF(IF($D7="",FALSE(),AND(U$5&gt;=DATE(YEAR($D7),MONTH($D7),1),U$5&lt;=$E7)),'Phased Budget'!W7,"")))</f>
        <v/>
      </c>
      <c r="V7" s="42" t="str">
        <f aca="false">IF($B7="","",IF(V$5&lt;=Projects!$C$2,IF(OR(IF($D7="",FALSE(),AND(V$5&gt;=DATE(YEAR($D7),MONTH($D7),1),V$5&lt;=$E7)),N('WIP Log'!T7)&lt;&gt;0),N('WIP Log'!T7),""),IF(IF($D7="",FALSE(),AND(V$5&gt;=DATE(YEAR($D7),MONTH($D7),1),V$5&lt;=$E7)),'Phased Budget'!X7,"")))</f>
        <v/>
      </c>
      <c r="W7" s="42" t="str">
        <f aca="false">IF($B7="","",IF(W$5&lt;=Projects!$C$2,IF(OR(IF($D7="",FALSE(),AND(W$5&gt;=DATE(YEAR($D7),MONTH($D7),1),W$5&lt;=$E7)),N('WIP Log'!U7)&lt;&gt;0),N('WIP Log'!U7),""),IF(IF($D7="",FALSE(),AND(W$5&gt;=DATE(YEAR($D7),MONTH($D7),1),W$5&lt;=$E7)),'Phased Budget'!Y7,"")))</f>
        <v/>
      </c>
      <c r="X7" s="42" t="str">
        <f aca="false">IF($B7="","",IF(X$5&lt;=Projects!$C$2,IF(OR(IF($D7="",FALSE(),AND(X$5&gt;=DATE(YEAR($D7),MONTH($D7),1),X$5&lt;=$E7)),N('WIP Log'!V7)&lt;&gt;0),N('WIP Log'!V7),""),IF(IF($D7="",FALSE(),AND(X$5&gt;=DATE(YEAR($D7),MONTH($D7),1),X$5&lt;=$E7)),'Phased Budget'!Z7,"")))</f>
        <v/>
      </c>
      <c r="Y7" s="42" t="str">
        <f aca="false">IF($B7="","",IF(Y$5&lt;=Projects!$C$2,IF(OR(IF($D7="",FALSE(),AND(Y$5&gt;=DATE(YEAR($D7),MONTH($D7),1),Y$5&lt;=$E7)),N('WIP Log'!W7)&lt;&gt;0),N('WIP Log'!W7),""),IF(IF($D7="",FALSE(),AND(Y$5&gt;=DATE(YEAR($D7),MONTH($D7),1),Y$5&lt;=$E7)),'Phased Budget'!AA7,"")))</f>
        <v/>
      </c>
      <c r="Z7" s="42" t="str">
        <f aca="false">IF($B7="","",IF(Z$5&lt;=Projects!$C$2,IF(OR(IF($D7="",FALSE(),AND(Z$5&gt;=DATE(YEAR($D7),MONTH($D7),1),Z$5&lt;=$E7)),N('WIP Log'!X7)&lt;&gt;0),N('WIP Log'!X7),""),IF(IF($D7="",FALSE(),AND(Z$5&gt;=DATE(YEAR($D7),MONTH($D7),1),Z$5&lt;=$E7)),'Phased Budget'!AB7,"")))</f>
        <v/>
      </c>
      <c r="AA7" s="42" t="str">
        <f aca="false">IF($B7="","",IF(AA$5&lt;=Projects!$C$2,IF(OR(IF($D7="",FALSE(),AND(AA$5&gt;=DATE(YEAR($D7),MONTH($D7),1),AA$5&lt;=$E7)),N('WIP Log'!Y7)&lt;&gt;0),N('WIP Log'!Y7),""),IF(IF($D7="",FALSE(),AND(AA$5&gt;=DATE(YEAR($D7),MONTH($D7),1),AA$5&lt;=$E7)),'Phased Budget'!AC7,"")))</f>
        <v/>
      </c>
      <c r="AB7" s="42" t="str">
        <f aca="false">IF($B7="","",IF(AB$5&lt;=Projects!$C$2,IF(OR(IF($D7="",FALSE(),AND(AB$5&gt;=DATE(YEAR($D7),MONTH($D7),1),AB$5&lt;=$E7)),N('WIP Log'!Z7)&lt;&gt;0),N('WIP Log'!Z7),""),IF(IF($D7="",FALSE(),AND(AB$5&gt;=DATE(YEAR($D7),MONTH($D7),1),AB$5&lt;=$E7)),'Phased Budget'!AD7,"")))</f>
        <v/>
      </c>
      <c r="AC7" s="42" t="str">
        <f aca="false">IF($B7="","",IF(AC$5&lt;=Projects!$C$2,IF(OR(IF($D7="",FALSE(),AND(AC$5&gt;=DATE(YEAR($D7),MONTH($D7),1),AC$5&lt;=$E7)),N('WIP Log'!AA7)&lt;&gt;0),N('WIP Log'!AA7),""),IF(IF($D7="",FALSE(),AND(AC$5&gt;=DATE(YEAR($D7),MONTH($D7),1),AC$5&lt;=$E7)),'Phased Budget'!AE7,"")))</f>
        <v/>
      </c>
      <c r="AD7" s="42" t="str">
        <f aca="false">IF($B7="","",IF(AD$5&lt;=Projects!$C$2,IF(OR(IF($D7="",FALSE(),AND(AD$5&gt;=DATE(YEAR($D7),MONTH($D7),1),AD$5&lt;=$E7)),N('WIP Log'!AB7)&lt;&gt;0),N('WIP Log'!AB7),""),IF(IF($D7="",FALSE(),AND(AD$5&gt;=DATE(YEAR($D7),MONTH($D7),1),AD$5&lt;=$E7)),'Phased Budget'!AF7,"")))</f>
        <v/>
      </c>
      <c r="AE7" s="42" t="str">
        <f aca="false">IF($B7="","",IF(AE$5&lt;=Projects!$C$2,IF(OR(IF($D7="",FALSE(),AND(AE$5&gt;=DATE(YEAR($D7),MONTH($D7),1),AE$5&lt;=$E7)),N('WIP Log'!AC7)&lt;&gt;0),N('WIP Log'!AC7),""),IF(IF($D7="",FALSE(),AND(AE$5&gt;=DATE(YEAR($D7),MONTH($D7),1),AE$5&lt;=$E7)),'Phased Budget'!AG7,"")))</f>
        <v/>
      </c>
      <c r="AF7" s="42" t="str">
        <f aca="false">IF($B7="","",IF(AF$5&lt;=Projects!$C$2,IF(OR(IF($D7="",FALSE(),AND(AF$5&gt;=DATE(YEAR($D7),MONTH($D7),1),AF$5&lt;=$E7)),N('WIP Log'!AD7)&lt;&gt;0),N('WIP Log'!AD7),""),IF(IF($D7="",FALSE(),AND(AF$5&gt;=DATE(YEAR($D7),MONTH($D7),1),AF$5&lt;=$E7)),'Phased Budget'!AH7,"")))</f>
        <v/>
      </c>
      <c r="AG7" s="42" t="str">
        <f aca="false">IF($B7="","",IF(AG$5&lt;=Projects!$C$2,IF(OR(IF($D7="",FALSE(),AND(AG$5&gt;=DATE(YEAR($D7),MONTH($D7),1),AG$5&lt;=$E7)),N('WIP Log'!AE7)&lt;&gt;0),N('WIP Log'!AE7),""),IF(IF($D7="",FALSE(),AND(AG$5&gt;=DATE(YEAR($D7),MONTH($D7),1),AG$5&lt;=$E7)),'Phased Budget'!AI7,"")))</f>
        <v/>
      </c>
      <c r="AH7" s="42" t="str">
        <f aca="false">IF($B7="","",IF(AH$5&lt;=Projects!$C$2,IF(OR(IF($D7="",FALSE(),AND(AH$5&gt;=DATE(YEAR($D7),MONTH($D7),1),AH$5&lt;=$E7)),N('WIP Log'!AF7)&lt;&gt;0),N('WIP Log'!AF7),""),IF(IF($D7="",FALSE(),AND(AH$5&gt;=DATE(YEAR($D7),MONTH($D7),1),AH$5&lt;=$E7)),'Phased Budget'!AJ7,"")))</f>
        <v/>
      </c>
      <c r="AI7" s="42" t="str">
        <f aca="false">IF($B7="","",IF(AI$5&lt;=Projects!$C$2,IF(OR(IF($D7="",FALSE(),AND(AI$5&gt;=DATE(YEAR($D7),MONTH($D7),1),AI$5&lt;=$E7)),N('WIP Log'!AG7)&lt;&gt;0),N('WIP Log'!AG7),""),IF(IF($D7="",FALSE(),AND(AI$5&gt;=DATE(YEAR($D7),MONTH($D7),1),AI$5&lt;=$E7)),'Phased Budget'!AK7,"")))</f>
        <v/>
      </c>
      <c r="AJ7" s="42" t="str">
        <f aca="false">IF($B7="","",IF(AJ$5&lt;=Projects!$C$2,IF(OR(IF($D7="",FALSE(),AND(AJ$5&gt;=DATE(YEAR($D7),MONTH($D7),1),AJ$5&lt;=$E7)),N('WIP Log'!AH7)&lt;&gt;0),N('WIP Log'!AH7),""),IF(IF($D7="",FALSE(),AND(AJ$5&gt;=DATE(YEAR($D7),MONTH($D7),1),AJ$5&lt;=$E7)),'Phased Budget'!AL7,"")))</f>
        <v/>
      </c>
      <c r="AK7" s="42" t="str">
        <f aca="false">IF($B7="","",IF(AK$5&lt;=Projects!$C$2,IF(OR(IF($D7="",FALSE(),AND(AK$5&gt;=DATE(YEAR($D7),MONTH($D7),1),AK$5&lt;=$E7)),N('WIP Log'!AI7)&lt;&gt;0),N('WIP Log'!AI7),""),IF(IF($D7="",FALSE(),AND(AK$5&gt;=DATE(YEAR($D7),MONTH($D7),1),AK$5&lt;=$E7)),'Phased Budget'!AM7,"")))</f>
        <v/>
      </c>
      <c r="AL7" s="42" t="str">
        <f aca="false">IF($B7="","",IF(AL$5&lt;=Projects!$C$2,IF(OR(IF($D7="",FALSE(),AND(AL$5&gt;=DATE(YEAR($D7),MONTH($D7),1),AL$5&lt;=$E7)),N('WIP Log'!AJ7)&lt;&gt;0),N('WIP Log'!AJ7),""),IF(IF($D7="",FALSE(),AND(AL$5&gt;=DATE(YEAR($D7),MONTH($D7),1),AL$5&lt;=$E7)),'Phased Budget'!AN7,"")))</f>
        <v/>
      </c>
      <c r="AM7" s="42" t="str">
        <f aca="false">IF($B7="","",IF(AM$5&lt;=Projects!$C$2,IF(OR(IF($D7="",FALSE(),AND(AM$5&gt;=DATE(YEAR($D7),MONTH($D7),1),AM$5&lt;=$E7)),N('WIP Log'!AK7)&lt;&gt;0),N('WIP Log'!AK7),""),IF(IF($D7="",FALSE(),AND(AM$5&gt;=DATE(YEAR($D7),MONTH($D7),1),AM$5&lt;=$E7)),'Phased Budget'!AO7,"")))</f>
        <v/>
      </c>
      <c r="AN7" s="42" t="str">
        <f aca="false">IF($B7="","",IF(AN$5&lt;=Projects!$C$2,IF(OR(IF($D7="",FALSE(),AND(AN$5&gt;=DATE(YEAR($D7),MONTH($D7),1),AN$5&lt;=$E7)),N('WIP Log'!AL7)&lt;&gt;0),N('WIP Log'!AL7),""),IF(IF($D7="",FALSE(),AND(AN$5&gt;=DATE(YEAR($D7),MONTH($D7),1),AN$5&lt;=$E7)),'Phased Budget'!AP7,"")))</f>
        <v/>
      </c>
      <c r="AO7" s="42" t="str">
        <f aca="false">IF($B7="","",IF(AO$5&lt;=Projects!$C$2,IF(OR(IF($D7="",FALSE(),AND(AO$5&gt;=DATE(YEAR($D7),MONTH($D7),1),AO$5&lt;=$E7)),N('WIP Log'!AM7)&lt;&gt;0),N('WIP Log'!AM7),""),IF(IF($D7="",FALSE(),AND(AO$5&gt;=DATE(YEAR($D7),MONTH($D7),1),AO$5&lt;=$E7)),'Phased Budget'!AQ7,"")))</f>
        <v/>
      </c>
    </row>
    <row r="8" customFormat="false" ht="15" hidden="false" customHeight="false" outlineLevel="0" collapsed="false">
      <c r="A8" s="20" t="n">
        <v>3</v>
      </c>
      <c r="B8" s="40" t="str">
        <f aca="false">IF(Projects!B8="","",Projects!B8)</f>
        <v/>
      </c>
      <c r="C8" s="40" t="str">
        <f aca="false">IF(Projects!C8="","",Projects!C8)</f>
        <v/>
      </c>
      <c r="D8" s="41" t="str">
        <f aca="false">IF(Projects!D8="","",Projects!D8)</f>
        <v/>
      </c>
      <c r="E8" s="41" t="str">
        <f aca="false">IF(Projects!F8="","",Projects!F8)</f>
        <v/>
      </c>
      <c r="F8" s="42" t="str">
        <f aca="false">IF($B8="","",IF(F$5&lt;=Projects!$C$2,IF(OR(IF($D8="",FALSE(),AND(F$5&gt;=DATE(YEAR($D8),MONTH($D8),1),F$5&lt;=$E8)),N('WIP Log'!D8)&lt;&gt;0),N('WIP Log'!D8),""),IF(IF($D8="",FALSE(),AND(F$5&gt;=DATE(YEAR($D8),MONTH($D8),1),F$5&lt;=$E8)),'Phased Budget'!H8,"")))</f>
        <v/>
      </c>
      <c r="G8" s="42" t="str">
        <f aca="false">IF($B8="","",IF(G$5&lt;=Projects!$C$2,IF(OR(IF($D8="",FALSE(),AND(G$5&gt;=DATE(YEAR($D8),MONTH($D8),1),G$5&lt;=$E8)),N('WIP Log'!E8)&lt;&gt;0),N('WIP Log'!E8),""),IF(IF($D8="",FALSE(),AND(G$5&gt;=DATE(YEAR($D8),MONTH($D8),1),G$5&lt;=$E8)),'Phased Budget'!I8,"")))</f>
        <v/>
      </c>
      <c r="H8" s="42" t="str">
        <f aca="false">IF($B8="","",IF(H$5&lt;=Projects!$C$2,IF(OR(IF($D8="",FALSE(),AND(H$5&gt;=DATE(YEAR($D8),MONTH($D8),1),H$5&lt;=$E8)),N('WIP Log'!F8)&lt;&gt;0),N('WIP Log'!F8),""),IF(IF($D8="",FALSE(),AND(H$5&gt;=DATE(YEAR($D8),MONTH($D8),1),H$5&lt;=$E8)),'Phased Budget'!J8,"")))</f>
        <v/>
      </c>
      <c r="I8" s="42" t="str">
        <f aca="false">IF($B8="","",IF(I$5&lt;=Projects!$C$2,IF(OR(IF($D8="",FALSE(),AND(I$5&gt;=DATE(YEAR($D8),MONTH($D8),1),I$5&lt;=$E8)),N('WIP Log'!G8)&lt;&gt;0),N('WIP Log'!G8),""),IF(IF($D8="",FALSE(),AND(I$5&gt;=DATE(YEAR($D8),MONTH($D8),1),I$5&lt;=$E8)),'Phased Budget'!K8,"")))</f>
        <v/>
      </c>
      <c r="J8" s="42" t="str">
        <f aca="false">IF($B8="","",IF(J$5&lt;=Projects!$C$2,IF(OR(IF($D8="",FALSE(),AND(J$5&gt;=DATE(YEAR($D8),MONTH($D8),1),J$5&lt;=$E8)),N('WIP Log'!H8)&lt;&gt;0),N('WIP Log'!H8),""),IF(IF($D8="",FALSE(),AND(J$5&gt;=DATE(YEAR($D8),MONTH($D8),1),J$5&lt;=$E8)),'Phased Budget'!L8,"")))</f>
        <v/>
      </c>
      <c r="K8" s="42" t="str">
        <f aca="false">IF($B8="","",IF(K$5&lt;=Projects!$C$2,IF(OR(IF($D8="",FALSE(),AND(K$5&gt;=DATE(YEAR($D8),MONTH($D8),1),K$5&lt;=$E8)),N('WIP Log'!I8)&lt;&gt;0),N('WIP Log'!I8),""),IF(IF($D8="",FALSE(),AND(K$5&gt;=DATE(YEAR($D8),MONTH($D8),1),K$5&lt;=$E8)),'Phased Budget'!M8,"")))</f>
        <v/>
      </c>
      <c r="L8" s="42" t="str">
        <f aca="false">IF($B8="","",IF(L$5&lt;=Projects!$C$2,IF(OR(IF($D8="",FALSE(),AND(L$5&gt;=DATE(YEAR($D8),MONTH($D8),1),L$5&lt;=$E8)),N('WIP Log'!J8)&lt;&gt;0),N('WIP Log'!J8),""),IF(IF($D8="",FALSE(),AND(L$5&gt;=DATE(YEAR($D8),MONTH($D8),1),L$5&lt;=$E8)),'Phased Budget'!N8,"")))</f>
        <v/>
      </c>
      <c r="M8" s="42" t="str">
        <f aca="false">IF($B8="","",IF(M$5&lt;=Projects!$C$2,IF(OR(IF($D8="",FALSE(),AND(M$5&gt;=DATE(YEAR($D8),MONTH($D8),1),M$5&lt;=$E8)),N('WIP Log'!K8)&lt;&gt;0),N('WIP Log'!K8),""),IF(IF($D8="",FALSE(),AND(M$5&gt;=DATE(YEAR($D8),MONTH($D8),1),M$5&lt;=$E8)),'Phased Budget'!O8,"")))</f>
        <v/>
      </c>
      <c r="N8" s="42" t="str">
        <f aca="false">IF($B8="","",IF(N$5&lt;=Projects!$C$2,IF(OR(IF($D8="",FALSE(),AND(N$5&gt;=DATE(YEAR($D8),MONTH($D8),1),N$5&lt;=$E8)),N('WIP Log'!L8)&lt;&gt;0),N('WIP Log'!L8),""),IF(IF($D8="",FALSE(),AND(N$5&gt;=DATE(YEAR($D8),MONTH($D8),1),N$5&lt;=$E8)),'Phased Budget'!P8,"")))</f>
        <v/>
      </c>
      <c r="O8" s="42" t="str">
        <f aca="false">IF($B8="","",IF(O$5&lt;=Projects!$C$2,IF(OR(IF($D8="",FALSE(),AND(O$5&gt;=DATE(YEAR($D8),MONTH($D8),1),O$5&lt;=$E8)),N('WIP Log'!M8)&lt;&gt;0),N('WIP Log'!M8),""),IF(IF($D8="",FALSE(),AND(O$5&gt;=DATE(YEAR($D8),MONTH($D8),1),O$5&lt;=$E8)),'Phased Budget'!Q8,"")))</f>
        <v/>
      </c>
      <c r="P8" s="42" t="str">
        <f aca="false">IF($B8="","",IF(P$5&lt;=Projects!$C$2,IF(OR(IF($D8="",FALSE(),AND(P$5&gt;=DATE(YEAR($D8),MONTH($D8),1),P$5&lt;=$E8)),N('WIP Log'!N8)&lt;&gt;0),N('WIP Log'!N8),""),IF(IF($D8="",FALSE(),AND(P$5&gt;=DATE(YEAR($D8),MONTH($D8),1),P$5&lt;=$E8)),'Phased Budget'!R8,"")))</f>
        <v/>
      </c>
      <c r="Q8" s="42" t="str">
        <f aca="false">IF($B8="","",IF(Q$5&lt;=Projects!$C$2,IF(OR(IF($D8="",FALSE(),AND(Q$5&gt;=DATE(YEAR($D8),MONTH($D8),1),Q$5&lt;=$E8)),N('WIP Log'!O8)&lt;&gt;0),N('WIP Log'!O8),""),IF(IF($D8="",FALSE(),AND(Q$5&gt;=DATE(YEAR($D8),MONTH($D8),1),Q$5&lt;=$E8)),'Phased Budget'!S8,"")))</f>
        <v/>
      </c>
      <c r="R8" s="42" t="str">
        <f aca="false">IF($B8="","",IF(R$5&lt;=Projects!$C$2,IF(OR(IF($D8="",FALSE(),AND(R$5&gt;=DATE(YEAR($D8),MONTH($D8),1),R$5&lt;=$E8)),N('WIP Log'!P8)&lt;&gt;0),N('WIP Log'!P8),""),IF(IF($D8="",FALSE(),AND(R$5&gt;=DATE(YEAR($D8),MONTH($D8),1),R$5&lt;=$E8)),'Phased Budget'!T8,"")))</f>
        <v/>
      </c>
      <c r="S8" s="42" t="str">
        <f aca="false">IF($B8="","",IF(S$5&lt;=Projects!$C$2,IF(OR(IF($D8="",FALSE(),AND(S$5&gt;=DATE(YEAR($D8),MONTH($D8),1),S$5&lt;=$E8)),N('WIP Log'!Q8)&lt;&gt;0),N('WIP Log'!Q8),""),IF(IF($D8="",FALSE(),AND(S$5&gt;=DATE(YEAR($D8),MONTH($D8),1),S$5&lt;=$E8)),'Phased Budget'!U8,"")))</f>
        <v/>
      </c>
      <c r="T8" s="42" t="str">
        <f aca="false">IF($B8="","",IF(T$5&lt;=Projects!$C$2,IF(OR(IF($D8="",FALSE(),AND(T$5&gt;=DATE(YEAR($D8),MONTH($D8),1),T$5&lt;=$E8)),N('WIP Log'!R8)&lt;&gt;0),N('WIP Log'!R8),""),IF(IF($D8="",FALSE(),AND(T$5&gt;=DATE(YEAR($D8),MONTH($D8),1),T$5&lt;=$E8)),'Phased Budget'!V8,"")))</f>
        <v/>
      </c>
      <c r="U8" s="42" t="str">
        <f aca="false">IF($B8="","",IF(U$5&lt;=Projects!$C$2,IF(OR(IF($D8="",FALSE(),AND(U$5&gt;=DATE(YEAR($D8),MONTH($D8),1),U$5&lt;=$E8)),N('WIP Log'!S8)&lt;&gt;0),N('WIP Log'!S8),""),IF(IF($D8="",FALSE(),AND(U$5&gt;=DATE(YEAR($D8),MONTH($D8),1),U$5&lt;=$E8)),'Phased Budget'!W8,"")))</f>
        <v/>
      </c>
      <c r="V8" s="42" t="str">
        <f aca="false">IF($B8="","",IF(V$5&lt;=Projects!$C$2,IF(OR(IF($D8="",FALSE(),AND(V$5&gt;=DATE(YEAR($D8),MONTH($D8),1),V$5&lt;=$E8)),N('WIP Log'!T8)&lt;&gt;0),N('WIP Log'!T8),""),IF(IF($D8="",FALSE(),AND(V$5&gt;=DATE(YEAR($D8),MONTH($D8),1),V$5&lt;=$E8)),'Phased Budget'!X8,"")))</f>
        <v/>
      </c>
      <c r="W8" s="42" t="str">
        <f aca="false">IF($B8="","",IF(W$5&lt;=Projects!$C$2,IF(OR(IF($D8="",FALSE(),AND(W$5&gt;=DATE(YEAR($D8),MONTH($D8),1),W$5&lt;=$E8)),N('WIP Log'!U8)&lt;&gt;0),N('WIP Log'!U8),""),IF(IF($D8="",FALSE(),AND(W$5&gt;=DATE(YEAR($D8),MONTH($D8),1),W$5&lt;=$E8)),'Phased Budget'!Y8,"")))</f>
        <v/>
      </c>
      <c r="X8" s="42" t="str">
        <f aca="false">IF($B8="","",IF(X$5&lt;=Projects!$C$2,IF(OR(IF($D8="",FALSE(),AND(X$5&gt;=DATE(YEAR($D8),MONTH($D8),1),X$5&lt;=$E8)),N('WIP Log'!V8)&lt;&gt;0),N('WIP Log'!V8),""),IF(IF($D8="",FALSE(),AND(X$5&gt;=DATE(YEAR($D8),MONTH($D8),1),X$5&lt;=$E8)),'Phased Budget'!Z8,"")))</f>
        <v/>
      </c>
      <c r="Y8" s="42" t="str">
        <f aca="false">IF($B8="","",IF(Y$5&lt;=Projects!$C$2,IF(OR(IF($D8="",FALSE(),AND(Y$5&gt;=DATE(YEAR($D8),MONTH($D8),1),Y$5&lt;=$E8)),N('WIP Log'!W8)&lt;&gt;0),N('WIP Log'!W8),""),IF(IF($D8="",FALSE(),AND(Y$5&gt;=DATE(YEAR($D8),MONTH($D8),1),Y$5&lt;=$E8)),'Phased Budget'!AA8,"")))</f>
        <v/>
      </c>
      <c r="Z8" s="42" t="str">
        <f aca="false">IF($B8="","",IF(Z$5&lt;=Projects!$C$2,IF(OR(IF($D8="",FALSE(),AND(Z$5&gt;=DATE(YEAR($D8),MONTH($D8),1),Z$5&lt;=$E8)),N('WIP Log'!X8)&lt;&gt;0),N('WIP Log'!X8),""),IF(IF($D8="",FALSE(),AND(Z$5&gt;=DATE(YEAR($D8),MONTH($D8),1),Z$5&lt;=$E8)),'Phased Budget'!AB8,"")))</f>
        <v/>
      </c>
      <c r="AA8" s="42" t="str">
        <f aca="false">IF($B8="","",IF(AA$5&lt;=Projects!$C$2,IF(OR(IF($D8="",FALSE(),AND(AA$5&gt;=DATE(YEAR($D8),MONTH($D8),1),AA$5&lt;=$E8)),N('WIP Log'!Y8)&lt;&gt;0),N('WIP Log'!Y8),""),IF(IF($D8="",FALSE(),AND(AA$5&gt;=DATE(YEAR($D8),MONTH($D8),1),AA$5&lt;=$E8)),'Phased Budget'!AC8,"")))</f>
        <v/>
      </c>
      <c r="AB8" s="42" t="str">
        <f aca="false">IF($B8="","",IF(AB$5&lt;=Projects!$C$2,IF(OR(IF($D8="",FALSE(),AND(AB$5&gt;=DATE(YEAR($D8),MONTH($D8),1),AB$5&lt;=$E8)),N('WIP Log'!Z8)&lt;&gt;0),N('WIP Log'!Z8),""),IF(IF($D8="",FALSE(),AND(AB$5&gt;=DATE(YEAR($D8),MONTH($D8),1),AB$5&lt;=$E8)),'Phased Budget'!AD8,"")))</f>
        <v/>
      </c>
      <c r="AC8" s="42" t="str">
        <f aca="false">IF($B8="","",IF(AC$5&lt;=Projects!$C$2,IF(OR(IF($D8="",FALSE(),AND(AC$5&gt;=DATE(YEAR($D8),MONTH($D8),1),AC$5&lt;=$E8)),N('WIP Log'!AA8)&lt;&gt;0),N('WIP Log'!AA8),""),IF(IF($D8="",FALSE(),AND(AC$5&gt;=DATE(YEAR($D8),MONTH($D8),1),AC$5&lt;=$E8)),'Phased Budget'!AE8,"")))</f>
        <v/>
      </c>
      <c r="AD8" s="42" t="str">
        <f aca="false">IF($B8="","",IF(AD$5&lt;=Projects!$C$2,IF(OR(IF($D8="",FALSE(),AND(AD$5&gt;=DATE(YEAR($D8),MONTH($D8),1),AD$5&lt;=$E8)),N('WIP Log'!AB8)&lt;&gt;0),N('WIP Log'!AB8),""),IF(IF($D8="",FALSE(),AND(AD$5&gt;=DATE(YEAR($D8),MONTH($D8),1),AD$5&lt;=$E8)),'Phased Budget'!AF8,"")))</f>
        <v/>
      </c>
      <c r="AE8" s="42" t="str">
        <f aca="false">IF($B8="","",IF(AE$5&lt;=Projects!$C$2,IF(OR(IF($D8="",FALSE(),AND(AE$5&gt;=DATE(YEAR($D8),MONTH($D8),1),AE$5&lt;=$E8)),N('WIP Log'!AC8)&lt;&gt;0),N('WIP Log'!AC8),""),IF(IF($D8="",FALSE(),AND(AE$5&gt;=DATE(YEAR($D8),MONTH($D8),1),AE$5&lt;=$E8)),'Phased Budget'!AG8,"")))</f>
        <v/>
      </c>
      <c r="AF8" s="42" t="str">
        <f aca="false">IF($B8="","",IF(AF$5&lt;=Projects!$C$2,IF(OR(IF($D8="",FALSE(),AND(AF$5&gt;=DATE(YEAR($D8),MONTH($D8),1),AF$5&lt;=$E8)),N('WIP Log'!AD8)&lt;&gt;0),N('WIP Log'!AD8),""),IF(IF($D8="",FALSE(),AND(AF$5&gt;=DATE(YEAR($D8),MONTH($D8),1),AF$5&lt;=$E8)),'Phased Budget'!AH8,"")))</f>
        <v/>
      </c>
      <c r="AG8" s="42" t="str">
        <f aca="false">IF($B8="","",IF(AG$5&lt;=Projects!$C$2,IF(OR(IF($D8="",FALSE(),AND(AG$5&gt;=DATE(YEAR($D8),MONTH($D8),1),AG$5&lt;=$E8)),N('WIP Log'!AE8)&lt;&gt;0),N('WIP Log'!AE8),""),IF(IF($D8="",FALSE(),AND(AG$5&gt;=DATE(YEAR($D8),MONTH($D8),1),AG$5&lt;=$E8)),'Phased Budget'!AI8,"")))</f>
        <v/>
      </c>
      <c r="AH8" s="42" t="str">
        <f aca="false">IF($B8="","",IF(AH$5&lt;=Projects!$C$2,IF(OR(IF($D8="",FALSE(),AND(AH$5&gt;=DATE(YEAR($D8),MONTH($D8),1),AH$5&lt;=$E8)),N('WIP Log'!AF8)&lt;&gt;0),N('WIP Log'!AF8),""),IF(IF($D8="",FALSE(),AND(AH$5&gt;=DATE(YEAR($D8),MONTH($D8),1),AH$5&lt;=$E8)),'Phased Budget'!AJ8,"")))</f>
        <v/>
      </c>
      <c r="AI8" s="42" t="str">
        <f aca="false">IF($B8="","",IF(AI$5&lt;=Projects!$C$2,IF(OR(IF($D8="",FALSE(),AND(AI$5&gt;=DATE(YEAR($D8),MONTH($D8),1),AI$5&lt;=$E8)),N('WIP Log'!AG8)&lt;&gt;0),N('WIP Log'!AG8),""),IF(IF($D8="",FALSE(),AND(AI$5&gt;=DATE(YEAR($D8),MONTH($D8),1),AI$5&lt;=$E8)),'Phased Budget'!AK8,"")))</f>
        <v/>
      </c>
      <c r="AJ8" s="42" t="str">
        <f aca="false">IF($B8="","",IF(AJ$5&lt;=Projects!$C$2,IF(OR(IF($D8="",FALSE(),AND(AJ$5&gt;=DATE(YEAR($D8),MONTH($D8),1),AJ$5&lt;=$E8)),N('WIP Log'!AH8)&lt;&gt;0),N('WIP Log'!AH8),""),IF(IF($D8="",FALSE(),AND(AJ$5&gt;=DATE(YEAR($D8),MONTH($D8),1),AJ$5&lt;=$E8)),'Phased Budget'!AL8,"")))</f>
        <v/>
      </c>
      <c r="AK8" s="42" t="str">
        <f aca="false">IF($B8="","",IF(AK$5&lt;=Projects!$C$2,IF(OR(IF($D8="",FALSE(),AND(AK$5&gt;=DATE(YEAR($D8),MONTH($D8),1),AK$5&lt;=$E8)),N('WIP Log'!AI8)&lt;&gt;0),N('WIP Log'!AI8),""),IF(IF($D8="",FALSE(),AND(AK$5&gt;=DATE(YEAR($D8),MONTH($D8),1),AK$5&lt;=$E8)),'Phased Budget'!AM8,"")))</f>
        <v/>
      </c>
      <c r="AL8" s="42" t="str">
        <f aca="false">IF($B8="","",IF(AL$5&lt;=Projects!$C$2,IF(OR(IF($D8="",FALSE(),AND(AL$5&gt;=DATE(YEAR($D8),MONTH($D8),1),AL$5&lt;=$E8)),N('WIP Log'!AJ8)&lt;&gt;0),N('WIP Log'!AJ8),""),IF(IF($D8="",FALSE(),AND(AL$5&gt;=DATE(YEAR($D8),MONTH($D8),1),AL$5&lt;=$E8)),'Phased Budget'!AN8,"")))</f>
        <v/>
      </c>
      <c r="AM8" s="42" t="str">
        <f aca="false">IF($B8="","",IF(AM$5&lt;=Projects!$C$2,IF(OR(IF($D8="",FALSE(),AND(AM$5&gt;=DATE(YEAR($D8),MONTH($D8),1),AM$5&lt;=$E8)),N('WIP Log'!AK8)&lt;&gt;0),N('WIP Log'!AK8),""),IF(IF($D8="",FALSE(),AND(AM$5&gt;=DATE(YEAR($D8),MONTH($D8),1),AM$5&lt;=$E8)),'Phased Budget'!AO8,"")))</f>
        <v/>
      </c>
      <c r="AN8" s="42" t="str">
        <f aca="false">IF($B8="","",IF(AN$5&lt;=Projects!$C$2,IF(OR(IF($D8="",FALSE(),AND(AN$5&gt;=DATE(YEAR($D8),MONTH($D8),1),AN$5&lt;=$E8)),N('WIP Log'!AL8)&lt;&gt;0),N('WIP Log'!AL8),""),IF(IF($D8="",FALSE(),AND(AN$5&gt;=DATE(YEAR($D8),MONTH($D8),1),AN$5&lt;=$E8)),'Phased Budget'!AP8,"")))</f>
        <v/>
      </c>
      <c r="AO8" s="42" t="str">
        <f aca="false">IF($B8="","",IF(AO$5&lt;=Projects!$C$2,IF(OR(IF($D8="",FALSE(),AND(AO$5&gt;=DATE(YEAR($D8),MONTH($D8),1),AO$5&lt;=$E8)),N('WIP Log'!AM8)&lt;&gt;0),N('WIP Log'!AM8),""),IF(IF($D8="",FALSE(),AND(AO$5&gt;=DATE(YEAR($D8),MONTH($D8),1),AO$5&lt;=$E8)),'Phased Budget'!AQ8,"")))</f>
        <v/>
      </c>
    </row>
    <row r="9" customFormat="false" ht="15" hidden="false" customHeight="false" outlineLevel="0" collapsed="false">
      <c r="A9" s="20" t="n">
        <v>4</v>
      </c>
      <c r="B9" s="40" t="str">
        <f aca="false">IF(Projects!B9="","",Projects!B9)</f>
        <v/>
      </c>
      <c r="C9" s="40" t="str">
        <f aca="false">IF(Projects!C9="","",Projects!C9)</f>
        <v/>
      </c>
      <c r="D9" s="41" t="str">
        <f aca="false">IF(Projects!D9="","",Projects!D9)</f>
        <v/>
      </c>
      <c r="E9" s="41" t="str">
        <f aca="false">IF(Projects!F9="","",Projects!F9)</f>
        <v/>
      </c>
      <c r="F9" s="42" t="str">
        <f aca="false">IF($B9="","",IF(F$5&lt;=Projects!$C$2,IF(OR(IF($D9="",FALSE(),AND(F$5&gt;=DATE(YEAR($D9),MONTH($D9),1),F$5&lt;=$E9)),N('WIP Log'!D9)&lt;&gt;0),N('WIP Log'!D9),""),IF(IF($D9="",FALSE(),AND(F$5&gt;=DATE(YEAR($D9),MONTH($D9),1),F$5&lt;=$E9)),'Phased Budget'!H9,"")))</f>
        <v/>
      </c>
      <c r="G9" s="42" t="str">
        <f aca="false">IF($B9="","",IF(G$5&lt;=Projects!$C$2,IF(OR(IF($D9="",FALSE(),AND(G$5&gt;=DATE(YEAR($D9),MONTH($D9),1),G$5&lt;=$E9)),N('WIP Log'!E9)&lt;&gt;0),N('WIP Log'!E9),""),IF(IF($D9="",FALSE(),AND(G$5&gt;=DATE(YEAR($D9),MONTH($D9),1),G$5&lt;=$E9)),'Phased Budget'!I9,"")))</f>
        <v/>
      </c>
      <c r="H9" s="42" t="str">
        <f aca="false">IF($B9="","",IF(H$5&lt;=Projects!$C$2,IF(OR(IF($D9="",FALSE(),AND(H$5&gt;=DATE(YEAR($D9),MONTH($D9),1),H$5&lt;=$E9)),N('WIP Log'!F9)&lt;&gt;0),N('WIP Log'!F9),""),IF(IF($D9="",FALSE(),AND(H$5&gt;=DATE(YEAR($D9),MONTH($D9),1),H$5&lt;=$E9)),'Phased Budget'!J9,"")))</f>
        <v/>
      </c>
      <c r="I9" s="42" t="str">
        <f aca="false">IF($B9="","",IF(I$5&lt;=Projects!$C$2,IF(OR(IF($D9="",FALSE(),AND(I$5&gt;=DATE(YEAR($D9),MONTH($D9),1),I$5&lt;=$E9)),N('WIP Log'!G9)&lt;&gt;0),N('WIP Log'!G9),""),IF(IF($D9="",FALSE(),AND(I$5&gt;=DATE(YEAR($D9),MONTH($D9),1),I$5&lt;=$E9)),'Phased Budget'!K9,"")))</f>
        <v/>
      </c>
      <c r="J9" s="42" t="str">
        <f aca="false">IF($B9="","",IF(J$5&lt;=Projects!$C$2,IF(OR(IF($D9="",FALSE(),AND(J$5&gt;=DATE(YEAR($D9),MONTH($D9),1),J$5&lt;=$E9)),N('WIP Log'!H9)&lt;&gt;0),N('WIP Log'!H9),""),IF(IF($D9="",FALSE(),AND(J$5&gt;=DATE(YEAR($D9),MONTH($D9),1),J$5&lt;=$E9)),'Phased Budget'!L9,"")))</f>
        <v/>
      </c>
      <c r="K9" s="42" t="str">
        <f aca="false">IF($B9="","",IF(K$5&lt;=Projects!$C$2,IF(OR(IF($D9="",FALSE(),AND(K$5&gt;=DATE(YEAR($D9),MONTH($D9),1),K$5&lt;=$E9)),N('WIP Log'!I9)&lt;&gt;0),N('WIP Log'!I9),""),IF(IF($D9="",FALSE(),AND(K$5&gt;=DATE(YEAR($D9),MONTH($D9),1),K$5&lt;=$E9)),'Phased Budget'!M9,"")))</f>
        <v/>
      </c>
      <c r="L9" s="42" t="str">
        <f aca="false">IF($B9="","",IF(L$5&lt;=Projects!$C$2,IF(OR(IF($D9="",FALSE(),AND(L$5&gt;=DATE(YEAR($D9),MONTH($D9),1),L$5&lt;=$E9)),N('WIP Log'!J9)&lt;&gt;0),N('WIP Log'!J9),""),IF(IF($D9="",FALSE(),AND(L$5&gt;=DATE(YEAR($D9),MONTH($D9),1),L$5&lt;=$E9)),'Phased Budget'!N9,"")))</f>
        <v/>
      </c>
      <c r="M9" s="42" t="str">
        <f aca="false">IF($B9="","",IF(M$5&lt;=Projects!$C$2,IF(OR(IF($D9="",FALSE(),AND(M$5&gt;=DATE(YEAR($D9),MONTH($D9),1),M$5&lt;=$E9)),N('WIP Log'!K9)&lt;&gt;0),N('WIP Log'!K9),""),IF(IF($D9="",FALSE(),AND(M$5&gt;=DATE(YEAR($D9),MONTH($D9),1),M$5&lt;=$E9)),'Phased Budget'!O9,"")))</f>
        <v/>
      </c>
      <c r="N9" s="42" t="str">
        <f aca="false">IF($B9="","",IF(N$5&lt;=Projects!$C$2,IF(OR(IF($D9="",FALSE(),AND(N$5&gt;=DATE(YEAR($D9),MONTH($D9),1),N$5&lt;=$E9)),N('WIP Log'!L9)&lt;&gt;0),N('WIP Log'!L9),""),IF(IF($D9="",FALSE(),AND(N$5&gt;=DATE(YEAR($D9),MONTH($D9),1),N$5&lt;=$E9)),'Phased Budget'!P9,"")))</f>
        <v/>
      </c>
      <c r="O9" s="42" t="str">
        <f aca="false">IF($B9="","",IF(O$5&lt;=Projects!$C$2,IF(OR(IF($D9="",FALSE(),AND(O$5&gt;=DATE(YEAR($D9),MONTH($D9),1),O$5&lt;=$E9)),N('WIP Log'!M9)&lt;&gt;0),N('WIP Log'!M9),""),IF(IF($D9="",FALSE(),AND(O$5&gt;=DATE(YEAR($D9),MONTH($D9),1),O$5&lt;=$E9)),'Phased Budget'!Q9,"")))</f>
        <v/>
      </c>
      <c r="P9" s="42" t="str">
        <f aca="false">IF($B9="","",IF(P$5&lt;=Projects!$C$2,IF(OR(IF($D9="",FALSE(),AND(P$5&gt;=DATE(YEAR($D9),MONTH($D9),1),P$5&lt;=$E9)),N('WIP Log'!N9)&lt;&gt;0),N('WIP Log'!N9),""),IF(IF($D9="",FALSE(),AND(P$5&gt;=DATE(YEAR($D9),MONTH($D9),1),P$5&lt;=$E9)),'Phased Budget'!R9,"")))</f>
        <v/>
      </c>
      <c r="Q9" s="42" t="str">
        <f aca="false">IF($B9="","",IF(Q$5&lt;=Projects!$C$2,IF(OR(IF($D9="",FALSE(),AND(Q$5&gt;=DATE(YEAR($D9),MONTH($D9),1),Q$5&lt;=$E9)),N('WIP Log'!O9)&lt;&gt;0),N('WIP Log'!O9),""),IF(IF($D9="",FALSE(),AND(Q$5&gt;=DATE(YEAR($D9),MONTH($D9),1),Q$5&lt;=$E9)),'Phased Budget'!S9,"")))</f>
        <v/>
      </c>
      <c r="R9" s="42" t="str">
        <f aca="false">IF($B9="","",IF(R$5&lt;=Projects!$C$2,IF(OR(IF($D9="",FALSE(),AND(R$5&gt;=DATE(YEAR($D9),MONTH($D9),1),R$5&lt;=$E9)),N('WIP Log'!P9)&lt;&gt;0),N('WIP Log'!P9),""),IF(IF($D9="",FALSE(),AND(R$5&gt;=DATE(YEAR($D9),MONTH($D9),1),R$5&lt;=$E9)),'Phased Budget'!T9,"")))</f>
        <v/>
      </c>
      <c r="S9" s="42" t="str">
        <f aca="false">IF($B9="","",IF(S$5&lt;=Projects!$C$2,IF(OR(IF($D9="",FALSE(),AND(S$5&gt;=DATE(YEAR($D9),MONTH($D9),1),S$5&lt;=$E9)),N('WIP Log'!Q9)&lt;&gt;0),N('WIP Log'!Q9),""),IF(IF($D9="",FALSE(),AND(S$5&gt;=DATE(YEAR($D9),MONTH($D9),1),S$5&lt;=$E9)),'Phased Budget'!U9,"")))</f>
        <v/>
      </c>
      <c r="T9" s="42" t="str">
        <f aca="false">IF($B9="","",IF(T$5&lt;=Projects!$C$2,IF(OR(IF($D9="",FALSE(),AND(T$5&gt;=DATE(YEAR($D9),MONTH($D9),1),T$5&lt;=$E9)),N('WIP Log'!R9)&lt;&gt;0),N('WIP Log'!R9),""),IF(IF($D9="",FALSE(),AND(T$5&gt;=DATE(YEAR($D9),MONTH($D9),1),T$5&lt;=$E9)),'Phased Budget'!V9,"")))</f>
        <v/>
      </c>
      <c r="U9" s="42" t="str">
        <f aca="false">IF($B9="","",IF(U$5&lt;=Projects!$C$2,IF(OR(IF($D9="",FALSE(),AND(U$5&gt;=DATE(YEAR($D9),MONTH($D9),1),U$5&lt;=$E9)),N('WIP Log'!S9)&lt;&gt;0),N('WIP Log'!S9),""),IF(IF($D9="",FALSE(),AND(U$5&gt;=DATE(YEAR($D9),MONTH($D9),1),U$5&lt;=$E9)),'Phased Budget'!W9,"")))</f>
        <v/>
      </c>
      <c r="V9" s="42" t="str">
        <f aca="false">IF($B9="","",IF(V$5&lt;=Projects!$C$2,IF(OR(IF($D9="",FALSE(),AND(V$5&gt;=DATE(YEAR($D9),MONTH($D9),1),V$5&lt;=$E9)),N('WIP Log'!T9)&lt;&gt;0),N('WIP Log'!T9),""),IF(IF($D9="",FALSE(),AND(V$5&gt;=DATE(YEAR($D9),MONTH($D9),1),V$5&lt;=$E9)),'Phased Budget'!X9,"")))</f>
        <v/>
      </c>
      <c r="W9" s="42" t="str">
        <f aca="false">IF($B9="","",IF(W$5&lt;=Projects!$C$2,IF(OR(IF($D9="",FALSE(),AND(W$5&gt;=DATE(YEAR($D9),MONTH($D9),1),W$5&lt;=$E9)),N('WIP Log'!U9)&lt;&gt;0),N('WIP Log'!U9),""),IF(IF($D9="",FALSE(),AND(W$5&gt;=DATE(YEAR($D9),MONTH($D9),1),W$5&lt;=$E9)),'Phased Budget'!Y9,"")))</f>
        <v/>
      </c>
      <c r="X9" s="42" t="str">
        <f aca="false">IF($B9="","",IF(X$5&lt;=Projects!$C$2,IF(OR(IF($D9="",FALSE(),AND(X$5&gt;=DATE(YEAR($D9),MONTH($D9),1),X$5&lt;=$E9)),N('WIP Log'!V9)&lt;&gt;0),N('WIP Log'!V9),""),IF(IF($D9="",FALSE(),AND(X$5&gt;=DATE(YEAR($D9),MONTH($D9),1),X$5&lt;=$E9)),'Phased Budget'!Z9,"")))</f>
        <v/>
      </c>
      <c r="Y9" s="42" t="str">
        <f aca="false">IF($B9="","",IF(Y$5&lt;=Projects!$C$2,IF(OR(IF($D9="",FALSE(),AND(Y$5&gt;=DATE(YEAR($D9),MONTH($D9),1),Y$5&lt;=$E9)),N('WIP Log'!W9)&lt;&gt;0),N('WIP Log'!W9),""),IF(IF($D9="",FALSE(),AND(Y$5&gt;=DATE(YEAR($D9),MONTH($D9),1),Y$5&lt;=$E9)),'Phased Budget'!AA9,"")))</f>
        <v/>
      </c>
      <c r="Z9" s="42" t="str">
        <f aca="false">IF($B9="","",IF(Z$5&lt;=Projects!$C$2,IF(OR(IF($D9="",FALSE(),AND(Z$5&gt;=DATE(YEAR($D9),MONTH($D9),1),Z$5&lt;=$E9)),N('WIP Log'!X9)&lt;&gt;0),N('WIP Log'!X9),""),IF(IF($D9="",FALSE(),AND(Z$5&gt;=DATE(YEAR($D9),MONTH($D9),1),Z$5&lt;=$E9)),'Phased Budget'!AB9,"")))</f>
        <v/>
      </c>
      <c r="AA9" s="42" t="str">
        <f aca="false">IF($B9="","",IF(AA$5&lt;=Projects!$C$2,IF(OR(IF($D9="",FALSE(),AND(AA$5&gt;=DATE(YEAR($D9),MONTH($D9),1),AA$5&lt;=$E9)),N('WIP Log'!Y9)&lt;&gt;0),N('WIP Log'!Y9),""),IF(IF($D9="",FALSE(),AND(AA$5&gt;=DATE(YEAR($D9),MONTH($D9),1),AA$5&lt;=$E9)),'Phased Budget'!AC9,"")))</f>
        <v/>
      </c>
      <c r="AB9" s="42" t="str">
        <f aca="false">IF($B9="","",IF(AB$5&lt;=Projects!$C$2,IF(OR(IF($D9="",FALSE(),AND(AB$5&gt;=DATE(YEAR($D9),MONTH($D9),1),AB$5&lt;=$E9)),N('WIP Log'!Z9)&lt;&gt;0),N('WIP Log'!Z9),""),IF(IF($D9="",FALSE(),AND(AB$5&gt;=DATE(YEAR($D9),MONTH($D9),1),AB$5&lt;=$E9)),'Phased Budget'!AD9,"")))</f>
        <v/>
      </c>
      <c r="AC9" s="42" t="str">
        <f aca="false">IF($B9="","",IF(AC$5&lt;=Projects!$C$2,IF(OR(IF($D9="",FALSE(),AND(AC$5&gt;=DATE(YEAR($D9),MONTH($D9),1),AC$5&lt;=$E9)),N('WIP Log'!AA9)&lt;&gt;0),N('WIP Log'!AA9),""),IF(IF($D9="",FALSE(),AND(AC$5&gt;=DATE(YEAR($D9),MONTH($D9),1),AC$5&lt;=$E9)),'Phased Budget'!AE9,"")))</f>
        <v/>
      </c>
      <c r="AD9" s="42" t="str">
        <f aca="false">IF($B9="","",IF(AD$5&lt;=Projects!$C$2,IF(OR(IF($D9="",FALSE(),AND(AD$5&gt;=DATE(YEAR($D9),MONTH($D9),1),AD$5&lt;=$E9)),N('WIP Log'!AB9)&lt;&gt;0),N('WIP Log'!AB9),""),IF(IF($D9="",FALSE(),AND(AD$5&gt;=DATE(YEAR($D9),MONTH($D9),1),AD$5&lt;=$E9)),'Phased Budget'!AF9,"")))</f>
        <v/>
      </c>
      <c r="AE9" s="42" t="str">
        <f aca="false">IF($B9="","",IF(AE$5&lt;=Projects!$C$2,IF(OR(IF($D9="",FALSE(),AND(AE$5&gt;=DATE(YEAR($D9),MONTH($D9),1),AE$5&lt;=$E9)),N('WIP Log'!AC9)&lt;&gt;0),N('WIP Log'!AC9),""),IF(IF($D9="",FALSE(),AND(AE$5&gt;=DATE(YEAR($D9),MONTH($D9),1),AE$5&lt;=$E9)),'Phased Budget'!AG9,"")))</f>
        <v/>
      </c>
      <c r="AF9" s="42" t="str">
        <f aca="false">IF($B9="","",IF(AF$5&lt;=Projects!$C$2,IF(OR(IF($D9="",FALSE(),AND(AF$5&gt;=DATE(YEAR($D9),MONTH($D9),1),AF$5&lt;=$E9)),N('WIP Log'!AD9)&lt;&gt;0),N('WIP Log'!AD9),""),IF(IF($D9="",FALSE(),AND(AF$5&gt;=DATE(YEAR($D9),MONTH($D9),1),AF$5&lt;=$E9)),'Phased Budget'!AH9,"")))</f>
        <v/>
      </c>
      <c r="AG9" s="42" t="str">
        <f aca="false">IF($B9="","",IF(AG$5&lt;=Projects!$C$2,IF(OR(IF($D9="",FALSE(),AND(AG$5&gt;=DATE(YEAR($D9),MONTH($D9),1),AG$5&lt;=$E9)),N('WIP Log'!AE9)&lt;&gt;0),N('WIP Log'!AE9),""),IF(IF($D9="",FALSE(),AND(AG$5&gt;=DATE(YEAR($D9),MONTH($D9),1),AG$5&lt;=$E9)),'Phased Budget'!AI9,"")))</f>
        <v/>
      </c>
      <c r="AH9" s="42" t="str">
        <f aca="false">IF($B9="","",IF(AH$5&lt;=Projects!$C$2,IF(OR(IF($D9="",FALSE(),AND(AH$5&gt;=DATE(YEAR($D9),MONTH($D9),1),AH$5&lt;=$E9)),N('WIP Log'!AF9)&lt;&gt;0),N('WIP Log'!AF9),""),IF(IF($D9="",FALSE(),AND(AH$5&gt;=DATE(YEAR($D9),MONTH($D9),1),AH$5&lt;=$E9)),'Phased Budget'!AJ9,"")))</f>
        <v/>
      </c>
      <c r="AI9" s="42" t="str">
        <f aca="false">IF($B9="","",IF(AI$5&lt;=Projects!$C$2,IF(OR(IF($D9="",FALSE(),AND(AI$5&gt;=DATE(YEAR($D9),MONTH($D9),1),AI$5&lt;=$E9)),N('WIP Log'!AG9)&lt;&gt;0),N('WIP Log'!AG9),""),IF(IF($D9="",FALSE(),AND(AI$5&gt;=DATE(YEAR($D9),MONTH($D9),1),AI$5&lt;=$E9)),'Phased Budget'!AK9,"")))</f>
        <v/>
      </c>
      <c r="AJ9" s="42" t="str">
        <f aca="false">IF($B9="","",IF(AJ$5&lt;=Projects!$C$2,IF(OR(IF($D9="",FALSE(),AND(AJ$5&gt;=DATE(YEAR($D9),MONTH($D9),1),AJ$5&lt;=$E9)),N('WIP Log'!AH9)&lt;&gt;0),N('WIP Log'!AH9),""),IF(IF($D9="",FALSE(),AND(AJ$5&gt;=DATE(YEAR($D9),MONTH($D9),1),AJ$5&lt;=$E9)),'Phased Budget'!AL9,"")))</f>
        <v/>
      </c>
      <c r="AK9" s="42" t="str">
        <f aca="false">IF($B9="","",IF(AK$5&lt;=Projects!$C$2,IF(OR(IF($D9="",FALSE(),AND(AK$5&gt;=DATE(YEAR($D9),MONTH($D9),1),AK$5&lt;=$E9)),N('WIP Log'!AI9)&lt;&gt;0),N('WIP Log'!AI9),""),IF(IF($D9="",FALSE(),AND(AK$5&gt;=DATE(YEAR($D9),MONTH($D9),1),AK$5&lt;=$E9)),'Phased Budget'!AM9,"")))</f>
        <v/>
      </c>
      <c r="AL9" s="42" t="str">
        <f aca="false">IF($B9="","",IF(AL$5&lt;=Projects!$C$2,IF(OR(IF($D9="",FALSE(),AND(AL$5&gt;=DATE(YEAR($D9),MONTH($D9),1),AL$5&lt;=$E9)),N('WIP Log'!AJ9)&lt;&gt;0),N('WIP Log'!AJ9),""),IF(IF($D9="",FALSE(),AND(AL$5&gt;=DATE(YEAR($D9),MONTH($D9),1),AL$5&lt;=$E9)),'Phased Budget'!AN9,"")))</f>
        <v/>
      </c>
      <c r="AM9" s="42" t="str">
        <f aca="false">IF($B9="","",IF(AM$5&lt;=Projects!$C$2,IF(OR(IF($D9="",FALSE(),AND(AM$5&gt;=DATE(YEAR($D9),MONTH($D9),1),AM$5&lt;=$E9)),N('WIP Log'!AK9)&lt;&gt;0),N('WIP Log'!AK9),""),IF(IF($D9="",FALSE(),AND(AM$5&gt;=DATE(YEAR($D9),MONTH($D9),1),AM$5&lt;=$E9)),'Phased Budget'!AO9,"")))</f>
        <v/>
      </c>
      <c r="AN9" s="42" t="str">
        <f aca="false">IF($B9="","",IF(AN$5&lt;=Projects!$C$2,IF(OR(IF($D9="",FALSE(),AND(AN$5&gt;=DATE(YEAR($D9),MONTH($D9),1),AN$5&lt;=$E9)),N('WIP Log'!AL9)&lt;&gt;0),N('WIP Log'!AL9),""),IF(IF($D9="",FALSE(),AND(AN$5&gt;=DATE(YEAR($D9),MONTH($D9),1),AN$5&lt;=$E9)),'Phased Budget'!AP9,"")))</f>
        <v/>
      </c>
      <c r="AO9" s="42" t="str">
        <f aca="false">IF($B9="","",IF(AO$5&lt;=Projects!$C$2,IF(OR(IF($D9="",FALSE(),AND(AO$5&gt;=DATE(YEAR($D9),MONTH($D9),1),AO$5&lt;=$E9)),N('WIP Log'!AM9)&lt;&gt;0),N('WIP Log'!AM9),""),IF(IF($D9="",FALSE(),AND(AO$5&gt;=DATE(YEAR($D9),MONTH($D9),1),AO$5&lt;=$E9)),'Phased Budget'!AQ9,"")))</f>
        <v/>
      </c>
    </row>
    <row r="10" customFormat="false" ht="15" hidden="false" customHeight="false" outlineLevel="0" collapsed="false">
      <c r="A10" s="20" t="n">
        <v>5</v>
      </c>
      <c r="B10" s="40" t="str">
        <f aca="false">IF(Projects!B10="","",Projects!B10)</f>
        <v/>
      </c>
      <c r="C10" s="40" t="str">
        <f aca="false">IF(Projects!C10="","",Projects!C10)</f>
        <v/>
      </c>
      <c r="D10" s="41" t="str">
        <f aca="false">IF(Projects!D10="","",Projects!D10)</f>
        <v/>
      </c>
      <c r="E10" s="41" t="str">
        <f aca="false">IF(Projects!F10="","",Projects!F10)</f>
        <v/>
      </c>
      <c r="F10" s="42" t="str">
        <f aca="false">IF($B10="","",IF(F$5&lt;=Projects!$C$2,IF(OR(IF($D10="",FALSE(),AND(F$5&gt;=DATE(YEAR($D10),MONTH($D10),1),F$5&lt;=$E10)),N('WIP Log'!D10)&lt;&gt;0),N('WIP Log'!D10),""),IF(IF($D10="",FALSE(),AND(F$5&gt;=DATE(YEAR($D10),MONTH($D10),1),F$5&lt;=$E10)),'Phased Budget'!H10,"")))</f>
        <v/>
      </c>
      <c r="G10" s="42" t="str">
        <f aca="false">IF($B10="","",IF(G$5&lt;=Projects!$C$2,IF(OR(IF($D10="",FALSE(),AND(G$5&gt;=DATE(YEAR($D10),MONTH($D10),1),G$5&lt;=$E10)),N('WIP Log'!E10)&lt;&gt;0),N('WIP Log'!E10),""),IF(IF($D10="",FALSE(),AND(G$5&gt;=DATE(YEAR($D10),MONTH($D10),1),G$5&lt;=$E10)),'Phased Budget'!I10,"")))</f>
        <v/>
      </c>
      <c r="H10" s="42" t="str">
        <f aca="false">IF($B10="","",IF(H$5&lt;=Projects!$C$2,IF(OR(IF($D10="",FALSE(),AND(H$5&gt;=DATE(YEAR($D10),MONTH($D10),1),H$5&lt;=$E10)),N('WIP Log'!F10)&lt;&gt;0),N('WIP Log'!F10),""),IF(IF($D10="",FALSE(),AND(H$5&gt;=DATE(YEAR($D10),MONTH($D10),1),H$5&lt;=$E10)),'Phased Budget'!J10,"")))</f>
        <v/>
      </c>
      <c r="I10" s="42" t="str">
        <f aca="false">IF($B10="","",IF(I$5&lt;=Projects!$C$2,IF(OR(IF($D10="",FALSE(),AND(I$5&gt;=DATE(YEAR($D10),MONTH($D10),1),I$5&lt;=$E10)),N('WIP Log'!G10)&lt;&gt;0),N('WIP Log'!G10),""),IF(IF($D10="",FALSE(),AND(I$5&gt;=DATE(YEAR($D10),MONTH($D10),1),I$5&lt;=$E10)),'Phased Budget'!K10,"")))</f>
        <v/>
      </c>
      <c r="J10" s="42" t="str">
        <f aca="false">IF($B10="","",IF(J$5&lt;=Projects!$C$2,IF(OR(IF($D10="",FALSE(),AND(J$5&gt;=DATE(YEAR($D10),MONTH($D10),1),J$5&lt;=$E10)),N('WIP Log'!H10)&lt;&gt;0),N('WIP Log'!H10),""),IF(IF($D10="",FALSE(),AND(J$5&gt;=DATE(YEAR($D10),MONTH($D10),1),J$5&lt;=$E10)),'Phased Budget'!L10,"")))</f>
        <v/>
      </c>
      <c r="K10" s="42" t="str">
        <f aca="false">IF($B10="","",IF(K$5&lt;=Projects!$C$2,IF(OR(IF($D10="",FALSE(),AND(K$5&gt;=DATE(YEAR($D10),MONTH($D10),1),K$5&lt;=$E10)),N('WIP Log'!I10)&lt;&gt;0),N('WIP Log'!I10),""),IF(IF($D10="",FALSE(),AND(K$5&gt;=DATE(YEAR($D10),MONTH($D10),1),K$5&lt;=$E10)),'Phased Budget'!M10,"")))</f>
        <v/>
      </c>
      <c r="L10" s="42" t="str">
        <f aca="false">IF($B10="","",IF(L$5&lt;=Projects!$C$2,IF(OR(IF($D10="",FALSE(),AND(L$5&gt;=DATE(YEAR($D10),MONTH($D10),1),L$5&lt;=$E10)),N('WIP Log'!J10)&lt;&gt;0),N('WIP Log'!J10),""),IF(IF($D10="",FALSE(),AND(L$5&gt;=DATE(YEAR($D10),MONTH($D10),1),L$5&lt;=$E10)),'Phased Budget'!N10,"")))</f>
        <v/>
      </c>
      <c r="M10" s="42" t="str">
        <f aca="false">IF($B10="","",IF(M$5&lt;=Projects!$C$2,IF(OR(IF($D10="",FALSE(),AND(M$5&gt;=DATE(YEAR($D10),MONTH($D10),1),M$5&lt;=$E10)),N('WIP Log'!K10)&lt;&gt;0),N('WIP Log'!K10),""),IF(IF($D10="",FALSE(),AND(M$5&gt;=DATE(YEAR($D10),MONTH($D10),1),M$5&lt;=$E10)),'Phased Budget'!O10,"")))</f>
        <v/>
      </c>
      <c r="N10" s="42" t="str">
        <f aca="false">IF($B10="","",IF(N$5&lt;=Projects!$C$2,IF(OR(IF($D10="",FALSE(),AND(N$5&gt;=DATE(YEAR($D10),MONTH($D10),1),N$5&lt;=$E10)),N('WIP Log'!L10)&lt;&gt;0),N('WIP Log'!L10),""),IF(IF($D10="",FALSE(),AND(N$5&gt;=DATE(YEAR($D10),MONTH($D10),1),N$5&lt;=$E10)),'Phased Budget'!P10,"")))</f>
        <v/>
      </c>
      <c r="O10" s="42" t="str">
        <f aca="false">IF($B10="","",IF(O$5&lt;=Projects!$C$2,IF(OR(IF($D10="",FALSE(),AND(O$5&gt;=DATE(YEAR($D10),MONTH($D10),1),O$5&lt;=$E10)),N('WIP Log'!M10)&lt;&gt;0),N('WIP Log'!M10),""),IF(IF($D10="",FALSE(),AND(O$5&gt;=DATE(YEAR($D10),MONTH($D10),1),O$5&lt;=$E10)),'Phased Budget'!Q10,"")))</f>
        <v/>
      </c>
      <c r="P10" s="42" t="str">
        <f aca="false">IF($B10="","",IF(P$5&lt;=Projects!$C$2,IF(OR(IF($D10="",FALSE(),AND(P$5&gt;=DATE(YEAR($D10),MONTH($D10),1),P$5&lt;=$E10)),N('WIP Log'!N10)&lt;&gt;0),N('WIP Log'!N10),""),IF(IF($D10="",FALSE(),AND(P$5&gt;=DATE(YEAR($D10),MONTH($D10),1),P$5&lt;=$E10)),'Phased Budget'!R10,"")))</f>
        <v/>
      </c>
      <c r="Q10" s="42" t="str">
        <f aca="false">IF($B10="","",IF(Q$5&lt;=Projects!$C$2,IF(OR(IF($D10="",FALSE(),AND(Q$5&gt;=DATE(YEAR($D10),MONTH($D10),1),Q$5&lt;=$E10)),N('WIP Log'!O10)&lt;&gt;0),N('WIP Log'!O10),""),IF(IF($D10="",FALSE(),AND(Q$5&gt;=DATE(YEAR($D10),MONTH($D10),1),Q$5&lt;=$E10)),'Phased Budget'!S10,"")))</f>
        <v/>
      </c>
      <c r="R10" s="42" t="str">
        <f aca="false">IF($B10="","",IF(R$5&lt;=Projects!$C$2,IF(OR(IF($D10="",FALSE(),AND(R$5&gt;=DATE(YEAR($D10),MONTH($D10),1),R$5&lt;=$E10)),N('WIP Log'!P10)&lt;&gt;0),N('WIP Log'!P10),""),IF(IF($D10="",FALSE(),AND(R$5&gt;=DATE(YEAR($D10),MONTH($D10),1),R$5&lt;=$E10)),'Phased Budget'!T10,"")))</f>
        <v/>
      </c>
      <c r="S10" s="42" t="str">
        <f aca="false">IF($B10="","",IF(S$5&lt;=Projects!$C$2,IF(OR(IF($D10="",FALSE(),AND(S$5&gt;=DATE(YEAR($D10),MONTH($D10),1),S$5&lt;=$E10)),N('WIP Log'!Q10)&lt;&gt;0),N('WIP Log'!Q10),""),IF(IF($D10="",FALSE(),AND(S$5&gt;=DATE(YEAR($D10),MONTH($D10),1),S$5&lt;=$E10)),'Phased Budget'!U10,"")))</f>
        <v/>
      </c>
      <c r="T10" s="42" t="str">
        <f aca="false">IF($B10="","",IF(T$5&lt;=Projects!$C$2,IF(OR(IF($D10="",FALSE(),AND(T$5&gt;=DATE(YEAR($D10),MONTH($D10),1),T$5&lt;=$E10)),N('WIP Log'!R10)&lt;&gt;0),N('WIP Log'!R10),""),IF(IF($D10="",FALSE(),AND(T$5&gt;=DATE(YEAR($D10),MONTH($D10),1),T$5&lt;=$E10)),'Phased Budget'!V10,"")))</f>
        <v/>
      </c>
      <c r="U10" s="42" t="str">
        <f aca="false">IF($B10="","",IF(U$5&lt;=Projects!$C$2,IF(OR(IF($D10="",FALSE(),AND(U$5&gt;=DATE(YEAR($D10),MONTH($D10),1),U$5&lt;=$E10)),N('WIP Log'!S10)&lt;&gt;0),N('WIP Log'!S10),""),IF(IF($D10="",FALSE(),AND(U$5&gt;=DATE(YEAR($D10),MONTH($D10),1),U$5&lt;=$E10)),'Phased Budget'!W10,"")))</f>
        <v/>
      </c>
      <c r="V10" s="42" t="str">
        <f aca="false">IF($B10="","",IF(V$5&lt;=Projects!$C$2,IF(OR(IF($D10="",FALSE(),AND(V$5&gt;=DATE(YEAR($D10),MONTH($D10),1),V$5&lt;=$E10)),N('WIP Log'!T10)&lt;&gt;0),N('WIP Log'!T10),""),IF(IF($D10="",FALSE(),AND(V$5&gt;=DATE(YEAR($D10),MONTH($D10),1),V$5&lt;=$E10)),'Phased Budget'!X10,"")))</f>
        <v/>
      </c>
      <c r="W10" s="42" t="str">
        <f aca="false">IF($B10="","",IF(W$5&lt;=Projects!$C$2,IF(OR(IF($D10="",FALSE(),AND(W$5&gt;=DATE(YEAR($D10),MONTH($D10),1),W$5&lt;=$E10)),N('WIP Log'!U10)&lt;&gt;0),N('WIP Log'!U10),""),IF(IF($D10="",FALSE(),AND(W$5&gt;=DATE(YEAR($D10),MONTH($D10),1),W$5&lt;=$E10)),'Phased Budget'!Y10,"")))</f>
        <v/>
      </c>
      <c r="X10" s="42" t="str">
        <f aca="false">IF($B10="","",IF(X$5&lt;=Projects!$C$2,IF(OR(IF($D10="",FALSE(),AND(X$5&gt;=DATE(YEAR($D10),MONTH($D10),1),X$5&lt;=$E10)),N('WIP Log'!V10)&lt;&gt;0),N('WIP Log'!V10),""),IF(IF($D10="",FALSE(),AND(X$5&gt;=DATE(YEAR($D10),MONTH($D10),1),X$5&lt;=$E10)),'Phased Budget'!Z10,"")))</f>
        <v/>
      </c>
      <c r="Y10" s="42" t="str">
        <f aca="false">IF($B10="","",IF(Y$5&lt;=Projects!$C$2,IF(OR(IF($D10="",FALSE(),AND(Y$5&gt;=DATE(YEAR($D10),MONTH($D10),1),Y$5&lt;=$E10)),N('WIP Log'!W10)&lt;&gt;0),N('WIP Log'!W10),""),IF(IF($D10="",FALSE(),AND(Y$5&gt;=DATE(YEAR($D10),MONTH($D10),1),Y$5&lt;=$E10)),'Phased Budget'!AA10,"")))</f>
        <v/>
      </c>
      <c r="Z10" s="42" t="str">
        <f aca="false">IF($B10="","",IF(Z$5&lt;=Projects!$C$2,IF(OR(IF($D10="",FALSE(),AND(Z$5&gt;=DATE(YEAR($D10),MONTH($D10),1),Z$5&lt;=$E10)),N('WIP Log'!X10)&lt;&gt;0),N('WIP Log'!X10),""),IF(IF($D10="",FALSE(),AND(Z$5&gt;=DATE(YEAR($D10),MONTH($D10),1),Z$5&lt;=$E10)),'Phased Budget'!AB10,"")))</f>
        <v/>
      </c>
      <c r="AA10" s="42" t="str">
        <f aca="false">IF($B10="","",IF(AA$5&lt;=Projects!$C$2,IF(OR(IF($D10="",FALSE(),AND(AA$5&gt;=DATE(YEAR($D10),MONTH($D10),1),AA$5&lt;=$E10)),N('WIP Log'!Y10)&lt;&gt;0),N('WIP Log'!Y10),""),IF(IF($D10="",FALSE(),AND(AA$5&gt;=DATE(YEAR($D10),MONTH($D10),1),AA$5&lt;=$E10)),'Phased Budget'!AC10,"")))</f>
        <v/>
      </c>
      <c r="AB10" s="42" t="str">
        <f aca="false">IF($B10="","",IF(AB$5&lt;=Projects!$C$2,IF(OR(IF($D10="",FALSE(),AND(AB$5&gt;=DATE(YEAR($D10),MONTH($D10),1),AB$5&lt;=$E10)),N('WIP Log'!Z10)&lt;&gt;0),N('WIP Log'!Z10),""),IF(IF($D10="",FALSE(),AND(AB$5&gt;=DATE(YEAR($D10),MONTH($D10),1),AB$5&lt;=$E10)),'Phased Budget'!AD10,"")))</f>
        <v/>
      </c>
      <c r="AC10" s="42" t="str">
        <f aca="false">IF($B10="","",IF(AC$5&lt;=Projects!$C$2,IF(OR(IF($D10="",FALSE(),AND(AC$5&gt;=DATE(YEAR($D10),MONTH($D10),1),AC$5&lt;=$E10)),N('WIP Log'!AA10)&lt;&gt;0),N('WIP Log'!AA10),""),IF(IF($D10="",FALSE(),AND(AC$5&gt;=DATE(YEAR($D10),MONTH($D10),1),AC$5&lt;=$E10)),'Phased Budget'!AE10,"")))</f>
        <v/>
      </c>
      <c r="AD10" s="42" t="str">
        <f aca="false">IF($B10="","",IF(AD$5&lt;=Projects!$C$2,IF(OR(IF($D10="",FALSE(),AND(AD$5&gt;=DATE(YEAR($D10),MONTH($D10),1),AD$5&lt;=$E10)),N('WIP Log'!AB10)&lt;&gt;0),N('WIP Log'!AB10),""),IF(IF($D10="",FALSE(),AND(AD$5&gt;=DATE(YEAR($D10),MONTH($D10),1),AD$5&lt;=$E10)),'Phased Budget'!AF10,"")))</f>
        <v/>
      </c>
      <c r="AE10" s="42" t="str">
        <f aca="false">IF($B10="","",IF(AE$5&lt;=Projects!$C$2,IF(OR(IF($D10="",FALSE(),AND(AE$5&gt;=DATE(YEAR($D10),MONTH($D10),1),AE$5&lt;=$E10)),N('WIP Log'!AC10)&lt;&gt;0),N('WIP Log'!AC10),""),IF(IF($D10="",FALSE(),AND(AE$5&gt;=DATE(YEAR($D10),MONTH($D10),1),AE$5&lt;=$E10)),'Phased Budget'!AG10,"")))</f>
        <v/>
      </c>
      <c r="AF10" s="42" t="str">
        <f aca="false">IF($B10="","",IF(AF$5&lt;=Projects!$C$2,IF(OR(IF($D10="",FALSE(),AND(AF$5&gt;=DATE(YEAR($D10),MONTH($D10),1),AF$5&lt;=$E10)),N('WIP Log'!AD10)&lt;&gt;0),N('WIP Log'!AD10),""),IF(IF($D10="",FALSE(),AND(AF$5&gt;=DATE(YEAR($D10),MONTH($D10),1),AF$5&lt;=$E10)),'Phased Budget'!AH10,"")))</f>
        <v/>
      </c>
      <c r="AG10" s="42" t="str">
        <f aca="false">IF($B10="","",IF(AG$5&lt;=Projects!$C$2,IF(OR(IF($D10="",FALSE(),AND(AG$5&gt;=DATE(YEAR($D10),MONTH($D10),1),AG$5&lt;=$E10)),N('WIP Log'!AE10)&lt;&gt;0),N('WIP Log'!AE10),""),IF(IF($D10="",FALSE(),AND(AG$5&gt;=DATE(YEAR($D10),MONTH($D10),1),AG$5&lt;=$E10)),'Phased Budget'!AI10,"")))</f>
        <v/>
      </c>
      <c r="AH10" s="42" t="str">
        <f aca="false">IF($B10="","",IF(AH$5&lt;=Projects!$C$2,IF(OR(IF($D10="",FALSE(),AND(AH$5&gt;=DATE(YEAR($D10),MONTH($D10),1),AH$5&lt;=$E10)),N('WIP Log'!AF10)&lt;&gt;0),N('WIP Log'!AF10),""),IF(IF($D10="",FALSE(),AND(AH$5&gt;=DATE(YEAR($D10),MONTH($D10),1),AH$5&lt;=$E10)),'Phased Budget'!AJ10,"")))</f>
        <v/>
      </c>
      <c r="AI10" s="42" t="str">
        <f aca="false">IF($B10="","",IF(AI$5&lt;=Projects!$C$2,IF(OR(IF($D10="",FALSE(),AND(AI$5&gt;=DATE(YEAR($D10),MONTH($D10),1),AI$5&lt;=$E10)),N('WIP Log'!AG10)&lt;&gt;0),N('WIP Log'!AG10),""),IF(IF($D10="",FALSE(),AND(AI$5&gt;=DATE(YEAR($D10),MONTH($D10),1),AI$5&lt;=$E10)),'Phased Budget'!AK10,"")))</f>
        <v/>
      </c>
      <c r="AJ10" s="42" t="str">
        <f aca="false">IF($B10="","",IF(AJ$5&lt;=Projects!$C$2,IF(OR(IF($D10="",FALSE(),AND(AJ$5&gt;=DATE(YEAR($D10),MONTH($D10),1),AJ$5&lt;=$E10)),N('WIP Log'!AH10)&lt;&gt;0),N('WIP Log'!AH10),""),IF(IF($D10="",FALSE(),AND(AJ$5&gt;=DATE(YEAR($D10),MONTH($D10),1),AJ$5&lt;=$E10)),'Phased Budget'!AL10,"")))</f>
        <v/>
      </c>
      <c r="AK10" s="42" t="str">
        <f aca="false">IF($B10="","",IF(AK$5&lt;=Projects!$C$2,IF(OR(IF($D10="",FALSE(),AND(AK$5&gt;=DATE(YEAR($D10),MONTH($D10),1),AK$5&lt;=$E10)),N('WIP Log'!AI10)&lt;&gt;0),N('WIP Log'!AI10),""),IF(IF($D10="",FALSE(),AND(AK$5&gt;=DATE(YEAR($D10),MONTH($D10),1),AK$5&lt;=$E10)),'Phased Budget'!AM10,"")))</f>
        <v/>
      </c>
      <c r="AL10" s="42" t="str">
        <f aca="false">IF($B10="","",IF(AL$5&lt;=Projects!$C$2,IF(OR(IF($D10="",FALSE(),AND(AL$5&gt;=DATE(YEAR($D10),MONTH($D10),1),AL$5&lt;=$E10)),N('WIP Log'!AJ10)&lt;&gt;0),N('WIP Log'!AJ10),""),IF(IF($D10="",FALSE(),AND(AL$5&gt;=DATE(YEAR($D10),MONTH($D10),1),AL$5&lt;=$E10)),'Phased Budget'!AN10,"")))</f>
        <v/>
      </c>
      <c r="AM10" s="42" t="str">
        <f aca="false">IF($B10="","",IF(AM$5&lt;=Projects!$C$2,IF(OR(IF($D10="",FALSE(),AND(AM$5&gt;=DATE(YEAR($D10),MONTH($D10),1),AM$5&lt;=$E10)),N('WIP Log'!AK10)&lt;&gt;0),N('WIP Log'!AK10),""),IF(IF($D10="",FALSE(),AND(AM$5&gt;=DATE(YEAR($D10),MONTH($D10),1),AM$5&lt;=$E10)),'Phased Budget'!AO10,"")))</f>
        <v/>
      </c>
      <c r="AN10" s="42" t="str">
        <f aca="false">IF($B10="","",IF(AN$5&lt;=Projects!$C$2,IF(OR(IF($D10="",FALSE(),AND(AN$5&gt;=DATE(YEAR($D10),MONTH($D10),1),AN$5&lt;=$E10)),N('WIP Log'!AL10)&lt;&gt;0),N('WIP Log'!AL10),""),IF(IF($D10="",FALSE(),AND(AN$5&gt;=DATE(YEAR($D10),MONTH($D10),1),AN$5&lt;=$E10)),'Phased Budget'!AP10,"")))</f>
        <v/>
      </c>
      <c r="AO10" s="42" t="str">
        <f aca="false">IF($B10="","",IF(AO$5&lt;=Projects!$C$2,IF(OR(IF($D10="",FALSE(),AND(AO$5&gt;=DATE(YEAR($D10),MONTH($D10),1),AO$5&lt;=$E10)),N('WIP Log'!AM10)&lt;&gt;0),N('WIP Log'!AM10),""),IF(IF($D10="",FALSE(),AND(AO$5&gt;=DATE(YEAR($D10),MONTH($D10),1),AO$5&lt;=$E10)),'Phased Budget'!AQ10,"")))</f>
        <v/>
      </c>
    </row>
    <row r="11" customFormat="false" ht="15" hidden="false" customHeight="false" outlineLevel="0" collapsed="false">
      <c r="A11" s="20" t="n">
        <v>6</v>
      </c>
      <c r="B11" s="40" t="str">
        <f aca="false">IF(Projects!B11="","",Projects!B11)</f>
        <v/>
      </c>
      <c r="C11" s="40" t="str">
        <f aca="false">IF(Projects!C11="","",Projects!C11)</f>
        <v/>
      </c>
      <c r="D11" s="41" t="str">
        <f aca="false">IF(Projects!D11="","",Projects!D11)</f>
        <v/>
      </c>
      <c r="E11" s="41" t="str">
        <f aca="false">IF(Projects!F11="","",Projects!F11)</f>
        <v/>
      </c>
      <c r="F11" s="42" t="str">
        <f aca="false">IF($B11="","",IF(F$5&lt;=Projects!$C$2,IF(OR(IF($D11="",FALSE(),AND(F$5&gt;=DATE(YEAR($D11),MONTH($D11),1),F$5&lt;=$E11)),N('WIP Log'!D11)&lt;&gt;0),N('WIP Log'!D11),""),IF(IF($D11="",FALSE(),AND(F$5&gt;=DATE(YEAR($D11),MONTH($D11),1),F$5&lt;=$E11)),'Phased Budget'!H11,"")))</f>
        <v/>
      </c>
      <c r="G11" s="42" t="str">
        <f aca="false">IF($B11="","",IF(G$5&lt;=Projects!$C$2,IF(OR(IF($D11="",FALSE(),AND(G$5&gt;=DATE(YEAR($D11),MONTH($D11),1),G$5&lt;=$E11)),N('WIP Log'!E11)&lt;&gt;0),N('WIP Log'!E11),""),IF(IF($D11="",FALSE(),AND(G$5&gt;=DATE(YEAR($D11),MONTH($D11),1),G$5&lt;=$E11)),'Phased Budget'!I11,"")))</f>
        <v/>
      </c>
      <c r="H11" s="42" t="str">
        <f aca="false">IF($B11="","",IF(H$5&lt;=Projects!$C$2,IF(OR(IF($D11="",FALSE(),AND(H$5&gt;=DATE(YEAR($D11),MONTH($D11),1),H$5&lt;=$E11)),N('WIP Log'!F11)&lt;&gt;0),N('WIP Log'!F11),""),IF(IF($D11="",FALSE(),AND(H$5&gt;=DATE(YEAR($D11),MONTH($D11),1),H$5&lt;=$E11)),'Phased Budget'!J11,"")))</f>
        <v/>
      </c>
      <c r="I11" s="42" t="str">
        <f aca="false">IF($B11="","",IF(I$5&lt;=Projects!$C$2,IF(OR(IF($D11="",FALSE(),AND(I$5&gt;=DATE(YEAR($D11),MONTH($D11),1),I$5&lt;=$E11)),N('WIP Log'!G11)&lt;&gt;0),N('WIP Log'!G11),""),IF(IF($D11="",FALSE(),AND(I$5&gt;=DATE(YEAR($D11),MONTH($D11),1),I$5&lt;=$E11)),'Phased Budget'!K11,"")))</f>
        <v/>
      </c>
      <c r="J11" s="42" t="str">
        <f aca="false">IF($B11="","",IF(J$5&lt;=Projects!$C$2,IF(OR(IF($D11="",FALSE(),AND(J$5&gt;=DATE(YEAR($D11),MONTH($D11),1),J$5&lt;=$E11)),N('WIP Log'!H11)&lt;&gt;0),N('WIP Log'!H11),""),IF(IF($D11="",FALSE(),AND(J$5&gt;=DATE(YEAR($D11),MONTH($D11),1),J$5&lt;=$E11)),'Phased Budget'!L11,"")))</f>
        <v/>
      </c>
      <c r="K11" s="42" t="str">
        <f aca="false">IF($B11="","",IF(K$5&lt;=Projects!$C$2,IF(OR(IF($D11="",FALSE(),AND(K$5&gt;=DATE(YEAR($D11),MONTH($D11),1),K$5&lt;=$E11)),N('WIP Log'!I11)&lt;&gt;0),N('WIP Log'!I11),""),IF(IF($D11="",FALSE(),AND(K$5&gt;=DATE(YEAR($D11),MONTH($D11),1),K$5&lt;=$E11)),'Phased Budget'!M11,"")))</f>
        <v/>
      </c>
      <c r="L11" s="42" t="str">
        <f aca="false">IF($B11="","",IF(L$5&lt;=Projects!$C$2,IF(OR(IF($D11="",FALSE(),AND(L$5&gt;=DATE(YEAR($D11),MONTH($D11),1),L$5&lt;=$E11)),N('WIP Log'!J11)&lt;&gt;0),N('WIP Log'!J11),""),IF(IF($D11="",FALSE(),AND(L$5&gt;=DATE(YEAR($D11),MONTH($D11),1),L$5&lt;=$E11)),'Phased Budget'!N11,"")))</f>
        <v/>
      </c>
      <c r="M11" s="42" t="str">
        <f aca="false">IF($B11="","",IF(M$5&lt;=Projects!$C$2,IF(OR(IF($D11="",FALSE(),AND(M$5&gt;=DATE(YEAR($D11),MONTH($D11),1),M$5&lt;=$E11)),N('WIP Log'!K11)&lt;&gt;0),N('WIP Log'!K11),""),IF(IF($D11="",FALSE(),AND(M$5&gt;=DATE(YEAR($D11),MONTH($D11),1),M$5&lt;=$E11)),'Phased Budget'!O11,"")))</f>
        <v/>
      </c>
      <c r="N11" s="42" t="str">
        <f aca="false">IF($B11="","",IF(N$5&lt;=Projects!$C$2,IF(OR(IF($D11="",FALSE(),AND(N$5&gt;=DATE(YEAR($D11),MONTH($D11),1),N$5&lt;=$E11)),N('WIP Log'!L11)&lt;&gt;0),N('WIP Log'!L11),""),IF(IF($D11="",FALSE(),AND(N$5&gt;=DATE(YEAR($D11),MONTH($D11),1),N$5&lt;=$E11)),'Phased Budget'!P11,"")))</f>
        <v/>
      </c>
      <c r="O11" s="42" t="str">
        <f aca="false">IF($B11="","",IF(O$5&lt;=Projects!$C$2,IF(OR(IF($D11="",FALSE(),AND(O$5&gt;=DATE(YEAR($D11),MONTH($D11),1),O$5&lt;=$E11)),N('WIP Log'!M11)&lt;&gt;0),N('WIP Log'!M11),""),IF(IF($D11="",FALSE(),AND(O$5&gt;=DATE(YEAR($D11),MONTH($D11),1),O$5&lt;=$E11)),'Phased Budget'!Q11,"")))</f>
        <v/>
      </c>
      <c r="P11" s="42" t="str">
        <f aca="false">IF($B11="","",IF(P$5&lt;=Projects!$C$2,IF(OR(IF($D11="",FALSE(),AND(P$5&gt;=DATE(YEAR($D11),MONTH($D11),1),P$5&lt;=$E11)),N('WIP Log'!N11)&lt;&gt;0),N('WIP Log'!N11),""),IF(IF($D11="",FALSE(),AND(P$5&gt;=DATE(YEAR($D11),MONTH($D11),1),P$5&lt;=$E11)),'Phased Budget'!R11,"")))</f>
        <v/>
      </c>
      <c r="Q11" s="42" t="str">
        <f aca="false">IF($B11="","",IF(Q$5&lt;=Projects!$C$2,IF(OR(IF($D11="",FALSE(),AND(Q$5&gt;=DATE(YEAR($D11),MONTH($D11),1),Q$5&lt;=$E11)),N('WIP Log'!O11)&lt;&gt;0),N('WIP Log'!O11),""),IF(IF($D11="",FALSE(),AND(Q$5&gt;=DATE(YEAR($D11),MONTH($D11),1),Q$5&lt;=$E11)),'Phased Budget'!S11,"")))</f>
        <v/>
      </c>
      <c r="R11" s="42" t="str">
        <f aca="false">IF($B11="","",IF(R$5&lt;=Projects!$C$2,IF(OR(IF($D11="",FALSE(),AND(R$5&gt;=DATE(YEAR($D11),MONTH($D11),1),R$5&lt;=$E11)),N('WIP Log'!P11)&lt;&gt;0),N('WIP Log'!P11),""),IF(IF($D11="",FALSE(),AND(R$5&gt;=DATE(YEAR($D11),MONTH($D11),1),R$5&lt;=$E11)),'Phased Budget'!T11,"")))</f>
        <v/>
      </c>
      <c r="S11" s="42" t="str">
        <f aca="false">IF($B11="","",IF(S$5&lt;=Projects!$C$2,IF(OR(IF($D11="",FALSE(),AND(S$5&gt;=DATE(YEAR($D11),MONTH($D11),1),S$5&lt;=$E11)),N('WIP Log'!Q11)&lt;&gt;0),N('WIP Log'!Q11),""),IF(IF($D11="",FALSE(),AND(S$5&gt;=DATE(YEAR($D11),MONTH($D11),1),S$5&lt;=$E11)),'Phased Budget'!U11,"")))</f>
        <v/>
      </c>
      <c r="T11" s="42" t="str">
        <f aca="false">IF($B11="","",IF(T$5&lt;=Projects!$C$2,IF(OR(IF($D11="",FALSE(),AND(T$5&gt;=DATE(YEAR($D11),MONTH($D11),1),T$5&lt;=$E11)),N('WIP Log'!R11)&lt;&gt;0),N('WIP Log'!R11),""),IF(IF($D11="",FALSE(),AND(T$5&gt;=DATE(YEAR($D11),MONTH($D11),1),T$5&lt;=$E11)),'Phased Budget'!V11,"")))</f>
        <v/>
      </c>
      <c r="U11" s="42" t="str">
        <f aca="false">IF($B11="","",IF(U$5&lt;=Projects!$C$2,IF(OR(IF($D11="",FALSE(),AND(U$5&gt;=DATE(YEAR($D11),MONTH($D11),1),U$5&lt;=$E11)),N('WIP Log'!S11)&lt;&gt;0),N('WIP Log'!S11),""),IF(IF($D11="",FALSE(),AND(U$5&gt;=DATE(YEAR($D11),MONTH($D11),1),U$5&lt;=$E11)),'Phased Budget'!W11,"")))</f>
        <v/>
      </c>
      <c r="V11" s="42" t="str">
        <f aca="false">IF($B11="","",IF(V$5&lt;=Projects!$C$2,IF(OR(IF($D11="",FALSE(),AND(V$5&gt;=DATE(YEAR($D11),MONTH($D11),1),V$5&lt;=$E11)),N('WIP Log'!T11)&lt;&gt;0),N('WIP Log'!T11),""),IF(IF($D11="",FALSE(),AND(V$5&gt;=DATE(YEAR($D11),MONTH($D11),1),V$5&lt;=$E11)),'Phased Budget'!X11,"")))</f>
        <v/>
      </c>
      <c r="W11" s="42" t="str">
        <f aca="false">IF($B11="","",IF(W$5&lt;=Projects!$C$2,IF(OR(IF($D11="",FALSE(),AND(W$5&gt;=DATE(YEAR($D11),MONTH($D11),1),W$5&lt;=$E11)),N('WIP Log'!U11)&lt;&gt;0),N('WIP Log'!U11),""),IF(IF($D11="",FALSE(),AND(W$5&gt;=DATE(YEAR($D11),MONTH($D11),1),W$5&lt;=$E11)),'Phased Budget'!Y11,"")))</f>
        <v/>
      </c>
      <c r="X11" s="42" t="str">
        <f aca="false">IF($B11="","",IF(X$5&lt;=Projects!$C$2,IF(OR(IF($D11="",FALSE(),AND(X$5&gt;=DATE(YEAR($D11),MONTH($D11),1),X$5&lt;=$E11)),N('WIP Log'!V11)&lt;&gt;0),N('WIP Log'!V11),""),IF(IF($D11="",FALSE(),AND(X$5&gt;=DATE(YEAR($D11),MONTH($D11),1),X$5&lt;=$E11)),'Phased Budget'!Z11,"")))</f>
        <v/>
      </c>
      <c r="Y11" s="42" t="str">
        <f aca="false">IF($B11="","",IF(Y$5&lt;=Projects!$C$2,IF(OR(IF($D11="",FALSE(),AND(Y$5&gt;=DATE(YEAR($D11),MONTH($D11),1),Y$5&lt;=$E11)),N('WIP Log'!W11)&lt;&gt;0),N('WIP Log'!W11),""),IF(IF($D11="",FALSE(),AND(Y$5&gt;=DATE(YEAR($D11),MONTH($D11),1),Y$5&lt;=$E11)),'Phased Budget'!AA11,"")))</f>
        <v/>
      </c>
      <c r="Z11" s="42" t="str">
        <f aca="false">IF($B11="","",IF(Z$5&lt;=Projects!$C$2,IF(OR(IF($D11="",FALSE(),AND(Z$5&gt;=DATE(YEAR($D11),MONTH($D11),1),Z$5&lt;=$E11)),N('WIP Log'!X11)&lt;&gt;0),N('WIP Log'!X11),""),IF(IF($D11="",FALSE(),AND(Z$5&gt;=DATE(YEAR($D11),MONTH($D11),1),Z$5&lt;=$E11)),'Phased Budget'!AB11,"")))</f>
        <v/>
      </c>
      <c r="AA11" s="42" t="str">
        <f aca="false">IF($B11="","",IF(AA$5&lt;=Projects!$C$2,IF(OR(IF($D11="",FALSE(),AND(AA$5&gt;=DATE(YEAR($D11),MONTH($D11),1),AA$5&lt;=$E11)),N('WIP Log'!Y11)&lt;&gt;0),N('WIP Log'!Y11),""),IF(IF($D11="",FALSE(),AND(AA$5&gt;=DATE(YEAR($D11),MONTH($D11),1),AA$5&lt;=$E11)),'Phased Budget'!AC11,"")))</f>
        <v/>
      </c>
      <c r="AB11" s="42" t="str">
        <f aca="false">IF($B11="","",IF(AB$5&lt;=Projects!$C$2,IF(OR(IF($D11="",FALSE(),AND(AB$5&gt;=DATE(YEAR($D11),MONTH($D11),1),AB$5&lt;=$E11)),N('WIP Log'!Z11)&lt;&gt;0),N('WIP Log'!Z11),""),IF(IF($D11="",FALSE(),AND(AB$5&gt;=DATE(YEAR($D11),MONTH($D11),1),AB$5&lt;=$E11)),'Phased Budget'!AD11,"")))</f>
        <v/>
      </c>
      <c r="AC11" s="42" t="str">
        <f aca="false">IF($B11="","",IF(AC$5&lt;=Projects!$C$2,IF(OR(IF($D11="",FALSE(),AND(AC$5&gt;=DATE(YEAR($D11),MONTH($D11),1),AC$5&lt;=$E11)),N('WIP Log'!AA11)&lt;&gt;0),N('WIP Log'!AA11),""),IF(IF($D11="",FALSE(),AND(AC$5&gt;=DATE(YEAR($D11),MONTH($D11),1),AC$5&lt;=$E11)),'Phased Budget'!AE11,"")))</f>
        <v/>
      </c>
      <c r="AD11" s="42" t="str">
        <f aca="false">IF($B11="","",IF(AD$5&lt;=Projects!$C$2,IF(OR(IF($D11="",FALSE(),AND(AD$5&gt;=DATE(YEAR($D11),MONTH($D11),1),AD$5&lt;=$E11)),N('WIP Log'!AB11)&lt;&gt;0),N('WIP Log'!AB11),""),IF(IF($D11="",FALSE(),AND(AD$5&gt;=DATE(YEAR($D11),MONTH($D11),1),AD$5&lt;=$E11)),'Phased Budget'!AF11,"")))</f>
        <v/>
      </c>
      <c r="AE11" s="42" t="str">
        <f aca="false">IF($B11="","",IF(AE$5&lt;=Projects!$C$2,IF(OR(IF($D11="",FALSE(),AND(AE$5&gt;=DATE(YEAR($D11),MONTH($D11),1),AE$5&lt;=$E11)),N('WIP Log'!AC11)&lt;&gt;0),N('WIP Log'!AC11),""),IF(IF($D11="",FALSE(),AND(AE$5&gt;=DATE(YEAR($D11),MONTH($D11),1),AE$5&lt;=$E11)),'Phased Budget'!AG11,"")))</f>
        <v/>
      </c>
      <c r="AF11" s="42" t="str">
        <f aca="false">IF($B11="","",IF(AF$5&lt;=Projects!$C$2,IF(OR(IF($D11="",FALSE(),AND(AF$5&gt;=DATE(YEAR($D11),MONTH($D11),1),AF$5&lt;=$E11)),N('WIP Log'!AD11)&lt;&gt;0),N('WIP Log'!AD11),""),IF(IF($D11="",FALSE(),AND(AF$5&gt;=DATE(YEAR($D11),MONTH($D11),1),AF$5&lt;=$E11)),'Phased Budget'!AH11,"")))</f>
        <v/>
      </c>
      <c r="AG11" s="42" t="str">
        <f aca="false">IF($B11="","",IF(AG$5&lt;=Projects!$C$2,IF(OR(IF($D11="",FALSE(),AND(AG$5&gt;=DATE(YEAR($D11),MONTH($D11),1),AG$5&lt;=$E11)),N('WIP Log'!AE11)&lt;&gt;0),N('WIP Log'!AE11),""),IF(IF($D11="",FALSE(),AND(AG$5&gt;=DATE(YEAR($D11),MONTH($D11),1),AG$5&lt;=$E11)),'Phased Budget'!AI11,"")))</f>
        <v/>
      </c>
      <c r="AH11" s="42" t="str">
        <f aca="false">IF($B11="","",IF(AH$5&lt;=Projects!$C$2,IF(OR(IF($D11="",FALSE(),AND(AH$5&gt;=DATE(YEAR($D11),MONTH($D11),1),AH$5&lt;=$E11)),N('WIP Log'!AF11)&lt;&gt;0),N('WIP Log'!AF11),""),IF(IF($D11="",FALSE(),AND(AH$5&gt;=DATE(YEAR($D11),MONTH($D11),1),AH$5&lt;=$E11)),'Phased Budget'!AJ11,"")))</f>
        <v/>
      </c>
      <c r="AI11" s="42" t="str">
        <f aca="false">IF($B11="","",IF(AI$5&lt;=Projects!$C$2,IF(OR(IF($D11="",FALSE(),AND(AI$5&gt;=DATE(YEAR($D11),MONTH($D11),1),AI$5&lt;=$E11)),N('WIP Log'!AG11)&lt;&gt;0),N('WIP Log'!AG11),""),IF(IF($D11="",FALSE(),AND(AI$5&gt;=DATE(YEAR($D11),MONTH($D11),1),AI$5&lt;=$E11)),'Phased Budget'!AK11,"")))</f>
        <v/>
      </c>
      <c r="AJ11" s="42" t="str">
        <f aca="false">IF($B11="","",IF(AJ$5&lt;=Projects!$C$2,IF(OR(IF($D11="",FALSE(),AND(AJ$5&gt;=DATE(YEAR($D11),MONTH($D11),1),AJ$5&lt;=$E11)),N('WIP Log'!AH11)&lt;&gt;0),N('WIP Log'!AH11),""),IF(IF($D11="",FALSE(),AND(AJ$5&gt;=DATE(YEAR($D11),MONTH($D11),1),AJ$5&lt;=$E11)),'Phased Budget'!AL11,"")))</f>
        <v/>
      </c>
      <c r="AK11" s="42" t="str">
        <f aca="false">IF($B11="","",IF(AK$5&lt;=Projects!$C$2,IF(OR(IF($D11="",FALSE(),AND(AK$5&gt;=DATE(YEAR($D11),MONTH($D11),1),AK$5&lt;=$E11)),N('WIP Log'!AI11)&lt;&gt;0),N('WIP Log'!AI11),""),IF(IF($D11="",FALSE(),AND(AK$5&gt;=DATE(YEAR($D11),MONTH($D11),1),AK$5&lt;=$E11)),'Phased Budget'!AM11,"")))</f>
        <v/>
      </c>
      <c r="AL11" s="42" t="str">
        <f aca="false">IF($B11="","",IF(AL$5&lt;=Projects!$C$2,IF(OR(IF($D11="",FALSE(),AND(AL$5&gt;=DATE(YEAR($D11),MONTH($D11),1),AL$5&lt;=$E11)),N('WIP Log'!AJ11)&lt;&gt;0),N('WIP Log'!AJ11),""),IF(IF($D11="",FALSE(),AND(AL$5&gt;=DATE(YEAR($D11),MONTH($D11),1),AL$5&lt;=$E11)),'Phased Budget'!AN11,"")))</f>
        <v/>
      </c>
      <c r="AM11" s="42" t="str">
        <f aca="false">IF($B11="","",IF(AM$5&lt;=Projects!$C$2,IF(OR(IF($D11="",FALSE(),AND(AM$5&gt;=DATE(YEAR($D11),MONTH($D11),1),AM$5&lt;=$E11)),N('WIP Log'!AK11)&lt;&gt;0),N('WIP Log'!AK11),""),IF(IF($D11="",FALSE(),AND(AM$5&gt;=DATE(YEAR($D11),MONTH($D11),1),AM$5&lt;=$E11)),'Phased Budget'!AO11,"")))</f>
        <v/>
      </c>
      <c r="AN11" s="42" t="str">
        <f aca="false">IF($B11="","",IF(AN$5&lt;=Projects!$C$2,IF(OR(IF($D11="",FALSE(),AND(AN$5&gt;=DATE(YEAR($D11),MONTH($D11),1),AN$5&lt;=$E11)),N('WIP Log'!AL11)&lt;&gt;0),N('WIP Log'!AL11),""),IF(IF($D11="",FALSE(),AND(AN$5&gt;=DATE(YEAR($D11),MONTH($D11),1),AN$5&lt;=$E11)),'Phased Budget'!AP11,"")))</f>
        <v/>
      </c>
      <c r="AO11" s="42" t="str">
        <f aca="false">IF($B11="","",IF(AO$5&lt;=Projects!$C$2,IF(OR(IF($D11="",FALSE(),AND(AO$5&gt;=DATE(YEAR($D11),MONTH($D11),1),AO$5&lt;=$E11)),N('WIP Log'!AM11)&lt;&gt;0),N('WIP Log'!AM11),""),IF(IF($D11="",FALSE(),AND(AO$5&gt;=DATE(YEAR($D11),MONTH($D11),1),AO$5&lt;=$E11)),'Phased Budget'!AQ11,"")))</f>
        <v/>
      </c>
    </row>
    <row r="12" customFormat="false" ht="15" hidden="false" customHeight="false" outlineLevel="0" collapsed="false">
      <c r="A12" s="20" t="n">
        <v>7</v>
      </c>
      <c r="B12" s="40" t="str">
        <f aca="false">IF(Projects!B12="","",Projects!B12)</f>
        <v/>
      </c>
      <c r="C12" s="40" t="str">
        <f aca="false">IF(Projects!C12="","",Projects!C12)</f>
        <v/>
      </c>
      <c r="D12" s="41" t="str">
        <f aca="false">IF(Projects!D12="","",Projects!D12)</f>
        <v/>
      </c>
      <c r="E12" s="41" t="str">
        <f aca="false">IF(Projects!F12="","",Projects!F12)</f>
        <v/>
      </c>
      <c r="F12" s="42" t="str">
        <f aca="false">IF($B12="","",IF(F$5&lt;=Projects!$C$2,IF(OR(IF($D12="",FALSE(),AND(F$5&gt;=DATE(YEAR($D12),MONTH($D12),1),F$5&lt;=$E12)),N('WIP Log'!D12)&lt;&gt;0),N('WIP Log'!D12),""),IF(IF($D12="",FALSE(),AND(F$5&gt;=DATE(YEAR($D12),MONTH($D12),1),F$5&lt;=$E12)),'Phased Budget'!H12,"")))</f>
        <v/>
      </c>
      <c r="G12" s="42" t="str">
        <f aca="false">IF($B12="","",IF(G$5&lt;=Projects!$C$2,IF(OR(IF($D12="",FALSE(),AND(G$5&gt;=DATE(YEAR($D12),MONTH($D12),1),G$5&lt;=$E12)),N('WIP Log'!E12)&lt;&gt;0),N('WIP Log'!E12),""),IF(IF($D12="",FALSE(),AND(G$5&gt;=DATE(YEAR($D12),MONTH($D12),1),G$5&lt;=$E12)),'Phased Budget'!I12,"")))</f>
        <v/>
      </c>
      <c r="H12" s="42" t="str">
        <f aca="false">IF($B12="","",IF(H$5&lt;=Projects!$C$2,IF(OR(IF($D12="",FALSE(),AND(H$5&gt;=DATE(YEAR($D12),MONTH($D12),1),H$5&lt;=$E12)),N('WIP Log'!F12)&lt;&gt;0),N('WIP Log'!F12),""),IF(IF($D12="",FALSE(),AND(H$5&gt;=DATE(YEAR($D12),MONTH($D12),1),H$5&lt;=$E12)),'Phased Budget'!J12,"")))</f>
        <v/>
      </c>
      <c r="I12" s="42" t="str">
        <f aca="false">IF($B12="","",IF(I$5&lt;=Projects!$C$2,IF(OR(IF($D12="",FALSE(),AND(I$5&gt;=DATE(YEAR($D12),MONTH($D12),1),I$5&lt;=$E12)),N('WIP Log'!G12)&lt;&gt;0),N('WIP Log'!G12),""),IF(IF($D12="",FALSE(),AND(I$5&gt;=DATE(YEAR($D12),MONTH($D12),1),I$5&lt;=$E12)),'Phased Budget'!K12,"")))</f>
        <v/>
      </c>
      <c r="J12" s="42" t="str">
        <f aca="false">IF($B12="","",IF(J$5&lt;=Projects!$C$2,IF(OR(IF($D12="",FALSE(),AND(J$5&gt;=DATE(YEAR($D12),MONTH($D12),1),J$5&lt;=$E12)),N('WIP Log'!H12)&lt;&gt;0),N('WIP Log'!H12),""),IF(IF($D12="",FALSE(),AND(J$5&gt;=DATE(YEAR($D12),MONTH($D12),1),J$5&lt;=$E12)),'Phased Budget'!L12,"")))</f>
        <v/>
      </c>
      <c r="K12" s="42" t="str">
        <f aca="false">IF($B12="","",IF(K$5&lt;=Projects!$C$2,IF(OR(IF($D12="",FALSE(),AND(K$5&gt;=DATE(YEAR($D12),MONTH($D12),1),K$5&lt;=$E12)),N('WIP Log'!I12)&lt;&gt;0),N('WIP Log'!I12),""),IF(IF($D12="",FALSE(),AND(K$5&gt;=DATE(YEAR($D12),MONTH($D12),1),K$5&lt;=$E12)),'Phased Budget'!M12,"")))</f>
        <v/>
      </c>
      <c r="L12" s="42" t="str">
        <f aca="false">IF($B12="","",IF(L$5&lt;=Projects!$C$2,IF(OR(IF($D12="",FALSE(),AND(L$5&gt;=DATE(YEAR($D12),MONTH($D12),1),L$5&lt;=$E12)),N('WIP Log'!J12)&lt;&gt;0),N('WIP Log'!J12),""),IF(IF($D12="",FALSE(),AND(L$5&gt;=DATE(YEAR($D12),MONTH($D12),1),L$5&lt;=$E12)),'Phased Budget'!N12,"")))</f>
        <v/>
      </c>
      <c r="M12" s="42" t="str">
        <f aca="false">IF($B12="","",IF(M$5&lt;=Projects!$C$2,IF(OR(IF($D12="",FALSE(),AND(M$5&gt;=DATE(YEAR($D12),MONTH($D12),1),M$5&lt;=$E12)),N('WIP Log'!K12)&lt;&gt;0),N('WIP Log'!K12),""),IF(IF($D12="",FALSE(),AND(M$5&gt;=DATE(YEAR($D12),MONTH($D12),1),M$5&lt;=$E12)),'Phased Budget'!O12,"")))</f>
        <v/>
      </c>
      <c r="N12" s="42" t="str">
        <f aca="false">IF($B12="","",IF(N$5&lt;=Projects!$C$2,IF(OR(IF($D12="",FALSE(),AND(N$5&gt;=DATE(YEAR($D12),MONTH($D12),1),N$5&lt;=$E12)),N('WIP Log'!L12)&lt;&gt;0),N('WIP Log'!L12),""),IF(IF($D12="",FALSE(),AND(N$5&gt;=DATE(YEAR($D12),MONTH($D12),1),N$5&lt;=$E12)),'Phased Budget'!P12,"")))</f>
        <v/>
      </c>
      <c r="O12" s="42" t="str">
        <f aca="false">IF($B12="","",IF(O$5&lt;=Projects!$C$2,IF(OR(IF($D12="",FALSE(),AND(O$5&gt;=DATE(YEAR($D12),MONTH($D12),1),O$5&lt;=$E12)),N('WIP Log'!M12)&lt;&gt;0),N('WIP Log'!M12),""),IF(IF($D12="",FALSE(),AND(O$5&gt;=DATE(YEAR($D12),MONTH($D12),1),O$5&lt;=$E12)),'Phased Budget'!Q12,"")))</f>
        <v/>
      </c>
      <c r="P12" s="42" t="str">
        <f aca="false">IF($B12="","",IF(P$5&lt;=Projects!$C$2,IF(OR(IF($D12="",FALSE(),AND(P$5&gt;=DATE(YEAR($D12),MONTH($D12),1),P$5&lt;=$E12)),N('WIP Log'!N12)&lt;&gt;0),N('WIP Log'!N12),""),IF(IF($D12="",FALSE(),AND(P$5&gt;=DATE(YEAR($D12),MONTH($D12),1),P$5&lt;=$E12)),'Phased Budget'!R12,"")))</f>
        <v/>
      </c>
      <c r="Q12" s="42" t="str">
        <f aca="false">IF($B12="","",IF(Q$5&lt;=Projects!$C$2,IF(OR(IF($D12="",FALSE(),AND(Q$5&gt;=DATE(YEAR($D12),MONTH($D12),1),Q$5&lt;=$E12)),N('WIP Log'!O12)&lt;&gt;0),N('WIP Log'!O12),""),IF(IF($D12="",FALSE(),AND(Q$5&gt;=DATE(YEAR($D12),MONTH($D12),1),Q$5&lt;=$E12)),'Phased Budget'!S12,"")))</f>
        <v/>
      </c>
      <c r="R12" s="42" t="str">
        <f aca="false">IF($B12="","",IF(R$5&lt;=Projects!$C$2,IF(OR(IF($D12="",FALSE(),AND(R$5&gt;=DATE(YEAR($D12),MONTH($D12),1),R$5&lt;=$E12)),N('WIP Log'!P12)&lt;&gt;0),N('WIP Log'!P12),""),IF(IF($D12="",FALSE(),AND(R$5&gt;=DATE(YEAR($D12),MONTH($D12),1),R$5&lt;=$E12)),'Phased Budget'!T12,"")))</f>
        <v/>
      </c>
      <c r="S12" s="42" t="str">
        <f aca="false">IF($B12="","",IF(S$5&lt;=Projects!$C$2,IF(OR(IF($D12="",FALSE(),AND(S$5&gt;=DATE(YEAR($D12),MONTH($D12),1),S$5&lt;=$E12)),N('WIP Log'!Q12)&lt;&gt;0),N('WIP Log'!Q12),""),IF(IF($D12="",FALSE(),AND(S$5&gt;=DATE(YEAR($D12),MONTH($D12),1),S$5&lt;=$E12)),'Phased Budget'!U12,"")))</f>
        <v/>
      </c>
      <c r="T12" s="42" t="str">
        <f aca="false">IF($B12="","",IF(T$5&lt;=Projects!$C$2,IF(OR(IF($D12="",FALSE(),AND(T$5&gt;=DATE(YEAR($D12),MONTH($D12),1),T$5&lt;=$E12)),N('WIP Log'!R12)&lt;&gt;0),N('WIP Log'!R12),""),IF(IF($D12="",FALSE(),AND(T$5&gt;=DATE(YEAR($D12),MONTH($D12),1),T$5&lt;=$E12)),'Phased Budget'!V12,"")))</f>
        <v/>
      </c>
      <c r="U12" s="42" t="str">
        <f aca="false">IF($B12="","",IF(U$5&lt;=Projects!$C$2,IF(OR(IF($D12="",FALSE(),AND(U$5&gt;=DATE(YEAR($D12),MONTH($D12),1),U$5&lt;=$E12)),N('WIP Log'!S12)&lt;&gt;0),N('WIP Log'!S12),""),IF(IF($D12="",FALSE(),AND(U$5&gt;=DATE(YEAR($D12),MONTH($D12),1),U$5&lt;=$E12)),'Phased Budget'!W12,"")))</f>
        <v/>
      </c>
      <c r="V12" s="42" t="str">
        <f aca="false">IF($B12="","",IF(V$5&lt;=Projects!$C$2,IF(OR(IF($D12="",FALSE(),AND(V$5&gt;=DATE(YEAR($D12),MONTH($D12),1),V$5&lt;=$E12)),N('WIP Log'!T12)&lt;&gt;0),N('WIP Log'!T12),""),IF(IF($D12="",FALSE(),AND(V$5&gt;=DATE(YEAR($D12),MONTH($D12),1),V$5&lt;=$E12)),'Phased Budget'!X12,"")))</f>
        <v/>
      </c>
      <c r="W12" s="42" t="str">
        <f aca="false">IF($B12="","",IF(W$5&lt;=Projects!$C$2,IF(OR(IF($D12="",FALSE(),AND(W$5&gt;=DATE(YEAR($D12),MONTH($D12),1),W$5&lt;=$E12)),N('WIP Log'!U12)&lt;&gt;0),N('WIP Log'!U12),""),IF(IF($D12="",FALSE(),AND(W$5&gt;=DATE(YEAR($D12),MONTH($D12),1),W$5&lt;=$E12)),'Phased Budget'!Y12,"")))</f>
        <v/>
      </c>
      <c r="X12" s="42" t="str">
        <f aca="false">IF($B12="","",IF(X$5&lt;=Projects!$C$2,IF(OR(IF($D12="",FALSE(),AND(X$5&gt;=DATE(YEAR($D12),MONTH($D12),1),X$5&lt;=$E12)),N('WIP Log'!V12)&lt;&gt;0),N('WIP Log'!V12),""),IF(IF($D12="",FALSE(),AND(X$5&gt;=DATE(YEAR($D12),MONTH($D12),1),X$5&lt;=$E12)),'Phased Budget'!Z12,"")))</f>
        <v/>
      </c>
      <c r="Y12" s="42" t="str">
        <f aca="false">IF($B12="","",IF(Y$5&lt;=Projects!$C$2,IF(OR(IF($D12="",FALSE(),AND(Y$5&gt;=DATE(YEAR($D12),MONTH($D12),1),Y$5&lt;=$E12)),N('WIP Log'!W12)&lt;&gt;0),N('WIP Log'!W12),""),IF(IF($D12="",FALSE(),AND(Y$5&gt;=DATE(YEAR($D12),MONTH($D12),1),Y$5&lt;=$E12)),'Phased Budget'!AA12,"")))</f>
        <v/>
      </c>
      <c r="Z12" s="42" t="str">
        <f aca="false">IF($B12="","",IF(Z$5&lt;=Projects!$C$2,IF(OR(IF($D12="",FALSE(),AND(Z$5&gt;=DATE(YEAR($D12),MONTH($D12),1),Z$5&lt;=$E12)),N('WIP Log'!X12)&lt;&gt;0),N('WIP Log'!X12),""),IF(IF($D12="",FALSE(),AND(Z$5&gt;=DATE(YEAR($D12),MONTH($D12),1),Z$5&lt;=$E12)),'Phased Budget'!AB12,"")))</f>
        <v/>
      </c>
      <c r="AA12" s="42" t="str">
        <f aca="false">IF($B12="","",IF(AA$5&lt;=Projects!$C$2,IF(OR(IF($D12="",FALSE(),AND(AA$5&gt;=DATE(YEAR($D12),MONTH($D12),1),AA$5&lt;=$E12)),N('WIP Log'!Y12)&lt;&gt;0),N('WIP Log'!Y12),""),IF(IF($D12="",FALSE(),AND(AA$5&gt;=DATE(YEAR($D12),MONTH($D12),1),AA$5&lt;=$E12)),'Phased Budget'!AC12,"")))</f>
        <v/>
      </c>
      <c r="AB12" s="42" t="str">
        <f aca="false">IF($B12="","",IF(AB$5&lt;=Projects!$C$2,IF(OR(IF($D12="",FALSE(),AND(AB$5&gt;=DATE(YEAR($D12),MONTH($D12),1),AB$5&lt;=$E12)),N('WIP Log'!Z12)&lt;&gt;0),N('WIP Log'!Z12),""),IF(IF($D12="",FALSE(),AND(AB$5&gt;=DATE(YEAR($D12),MONTH($D12),1),AB$5&lt;=$E12)),'Phased Budget'!AD12,"")))</f>
        <v/>
      </c>
      <c r="AC12" s="42" t="str">
        <f aca="false">IF($B12="","",IF(AC$5&lt;=Projects!$C$2,IF(OR(IF($D12="",FALSE(),AND(AC$5&gt;=DATE(YEAR($D12),MONTH($D12),1),AC$5&lt;=$E12)),N('WIP Log'!AA12)&lt;&gt;0),N('WIP Log'!AA12),""),IF(IF($D12="",FALSE(),AND(AC$5&gt;=DATE(YEAR($D12),MONTH($D12),1),AC$5&lt;=$E12)),'Phased Budget'!AE12,"")))</f>
        <v/>
      </c>
      <c r="AD12" s="42" t="str">
        <f aca="false">IF($B12="","",IF(AD$5&lt;=Projects!$C$2,IF(OR(IF($D12="",FALSE(),AND(AD$5&gt;=DATE(YEAR($D12),MONTH($D12),1),AD$5&lt;=$E12)),N('WIP Log'!AB12)&lt;&gt;0),N('WIP Log'!AB12),""),IF(IF($D12="",FALSE(),AND(AD$5&gt;=DATE(YEAR($D12),MONTH($D12),1),AD$5&lt;=$E12)),'Phased Budget'!AF12,"")))</f>
        <v/>
      </c>
      <c r="AE12" s="42" t="str">
        <f aca="false">IF($B12="","",IF(AE$5&lt;=Projects!$C$2,IF(OR(IF($D12="",FALSE(),AND(AE$5&gt;=DATE(YEAR($D12),MONTH($D12),1),AE$5&lt;=$E12)),N('WIP Log'!AC12)&lt;&gt;0),N('WIP Log'!AC12),""),IF(IF($D12="",FALSE(),AND(AE$5&gt;=DATE(YEAR($D12),MONTH($D12),1),AE$5&lt;=$E12)),'Phased Budget'!AG12,"")))</f>
        <v/>
      </c>
      <c r="AF12" s="42" t="str">
        <f aca="false">IF($B12="","",IF(AF$5&lt;=Projects!$C$2,IF(OR(IF($D12="",FALSE(),AND(AF$5&gt;=DATE(YEAR($D12),MONTH($D12),1),AF$5&lt;=$E12)),N('WIP Log'!AD12)&lt;&gt;0),N('WIP Log'!AD12),""),IF(IF($D12="",FALSE(),AND(AF$5&gt;=DATE(YEAR($D12),MONTH($D12),1),AF$5&lt;=$E12)),'Phased Budget'!AH12,"")))</f>
        <v/>
      </c>
      <c r="AG12" s="42" t="str">
        <f aca="false">IF($B12="","",IF(AG$5&lt;=Projects!$C$2,IF(OR(IF($D12="",FALSE(),AND(AG$5&gt;=DATE(YEAR($D12),MONTH($D12),1),AG$5&lt;=$E12)),N('WIP Log'!AE12)&lt;&gt;0),N('WIP Log'!AE12),""),IF(IF($D12="",FALSE(),AND(AG$5&gt;=DATE(YEAR($D12),MONTH($D12),1),AG$5&lt;=$E12)),'Phased Budget'!AI12,"")))</f>
        <v/>
      </c>
      <c r="AH12" s="42" t="str">
        <f aca="false">IF($B12="","",IF(AH$5&lt;=Projects!$C$2,IF(OR(IF($D12="",FALSE(),AND(AH$5&gt;=DATE(YEAR($D12),MONTH($D12),1),AH$5&lt;=$E12)),N('WIP Log'!AF12)&lt;&gt;0),N('WIP Log'!AF12),""),IF(IF($D12="",FALSE(),AND(AH$5&gt;=DATE(YEAR($D12),MONTH($D12),1),AH$5&lt;=$E12)),'Phased Budget'!AJ12,"")))</f>
        <v/>
      </c>
      <c r="AI12" s="42" t="str">
        <f aca="false">IF($B12="","",IF(AI$5&lt;=Projects!$C$2,IF(OR(IF($D12="",FALSE(),AND(AI$5&gt;=DATE(YEAR($D12),MONTH($D12),1),AI$5&lt;=$E12)),N('WIP Log'!AG12)&lt;&gt;0),N('WIP Log'!AG12),""),IF(IF($D12="",FALSE(),AND(AI$5&gt;=DATE(YEAR($D12),MONTH($D12),1),AI$5&lt;=$E12)),'Phased Budget'!AK12,"")))</f>
        <v/>
      </c>
      <c r="AJ12" s="42" t="str">
        <f aca="false">IF($B12="","",IF(AJ$5&lt;=Projects!$C$2,IF(OR(IF($D12="",FALSE(),AND(AJ$5&gt;=DATE(YEAR($D12),MONTH($D12),1),AJ$5&lt;=$E12)),N('WIP Log'!AH12)&lt;&gt;0),N('WIP Log'!AH12),""),IF(IF($D12="",FALSE(),AND(AJ$5&gt;=DATE(YEAR($D12),MONTH($D12),1),AJ$5&lt;=$E12)),'Phased Budget'!AL12,"")))</f>
        <v/>
      </c>
      <c r="AK12" s="42" t="str">
        <f aca="false">IF($B12="","",IF(AK$5&lt;=Projects!$C$2,IF(OR(IF($D12="",FALSE(),AND(AK$5&gt;=DATE(YEAR($D12),MONTH($D12),1),AK$5&lt;=$E12)),N('WIP Log'!AI12)&lt;&gt;0),N('WIP Log'!AI12),""),IF(IF($D12="",FALSE(),AND(AK$5&gt;=DATE(YEAR($D12),MONTH($D12),1),AK$5&lt;=$E12)),'Phased Budget'!AM12,"")))</f>
        <v/>
      </c>
      <c r="AL12" s="42" t="str">
        <f aca="false">IF($B12="","",IF(AL$5&lt;=Projects!$C$2,IF(OR(IF($D12="",FALSE(),AND(AL$5&gt;=DATE(YEAR($D12),MONTH($D12),1),AL$5&lt;=$E12)),N('WIP Log'!AJ12)&lt;&gt;0),N('WIP Log'!AJ12),""),IF(IF($D12="",FALSE(),AND(AL$5&gt;=DATE(YEAR($D12),MONTH($D12),1),AL$5&lt;=$E12)),'Phased Budget'!AN12,"")))</f>
        <v/>
      </c>
      <c r="AM12" s="42" t="str">
        <f aca="false">IF($B12="","",IF(AM$5&lt;=Projects!$C$2,IF(OR(IF($D12="",FALSE(),AND(AM$5&gt;=DATE(YEAR($D12),MONTH($D12),1),AM$5&lt;=$E12)),N('WIP Log'!AK12)&lt;&gt;0),N('WIP Log'!AK12),""),IF(IF($D12="",FALSE(),AND(AM$5&gt;=DATE(YEAR($D12),MONTH($D12),1),AM$5&lt;=$E12)),'Phased Budget'!AO12,"")))</f>
        <v/>
      </c>
      <c r="AN12" s="42" t="str">
        <f aca="false">IF($B12="","",IF(AN$5&lt;=Projects!$C$2,IF(OR(IF($D12="",FALSE(),AND(AN$5&gt;=DATE(YEAR($D12),MONTH($D12),1),AN$5&lt;=$E12)),N('WIP Log'!AL12)&lt;&gt;0),N('WIP Log'!AL12),""),IF(IF($D12="",FALSE(),AND(AN$5&gt;=DATE(YEAR($D12),MONTH($D12),1),AN$5&lt;=$E12)),'Phased Budget'!AP12,"")))</f>
        <v/>
      </c>
      <c r="AO12" s="42" t="str">
        <f aca="false">IF($B12="","",IF(AO$5&lt;=Projects!$C$2,IF(OR(IF($D12="",FALSE(),AND(AO$5&gt;=DATE(YEAR($D12),MONTH($D12),1),AO$5&lt;=$E12)),N('WIP Log'!AM12)&lt;&gt;0),N('WIP Log'!AM12),""),IF(IF($D12="",FALSE(),AND(AO$5&gt;=DATE(YEAR($D12),MONTH($D12),1),AO$5&lt;=$E12)),'Phased Budget'!AQ12,"")))</f>
        <v/>
      </c>
    </row>
    <row r="13" customFormat="false" ht="15" hidden="false" customHeight="false" outlineLevel="0" collapsed="false">
      <c r="A13" s="20" t="n">
        <v>8</v>
      </c>
      <c r="B13" s="40" t="str">
        <f aca="false">IF(Projects!B13="","",Projects!B13)</f>
        <v/>
      </c>
      <c r="C13" s="40" t="str">
        <f aca="false">IF(Projects!C13="","",Projects!C13)</f>
        <v/>
      </c>
      <c r="D13" s="41" t="str">
        <f aca="false">IF(Projects!D13="","",Projects!D13)</f>
        <v/>
      </c>
      <c r="E13" s="41" t="str">
        <f aca="false">IF(Projects!F13="","",Projects!F13)</f>
        <v/>
      </c>
      <c r="F13" s="42" t="str">
        <f aca="false">IF($B13="","",IF(F$5&lt;=Projects!$C$2,IF(OR(IF($D13="",FALSE(),AND(F$5&gt;=DATE(YEAR($D13),MONTH($D13),1),F$5&lt;=$E13)),N('WIP Log'!D13)&lt;&gt;0),N('WIP Log'!D13),""),IF(IF($D13="",FALSE(),AND(F$5&gt;=DATE(YEAR($D13),MONTH($D13),1),F$5&lt;=$E13)),'Phased Budget'!H13,"")))</f>
        <v/>
      </c>
      <c r="G13" s="42" t="str">
        <f aca="false">IF($B13="","",IF(G$5&lt;=Projects!$C$2,IF(OR(IF($D13="",FALSE(),AND(G$5&gt;=DATE(YEAR($D13),MONTH($D13),1),G$5&lt;=$E13)),N('WIP Log'!E13)&lt;&gt;0),N('WIP Log'!E13),""),IF(IF($D13="",FALSE(),AND(G$5&gt;=DATE(YEAR($D13),MONTH($D13),1),G$5&lt;=$E13)),'Phased Budget'!I13,"")))</f>
        <v/>
      </c>
      <c r="H13" s="42" t="str">
        <f aca="false">IF($B13="","",IF(H$5&lt;=Projects!$C$2,IF(OR(IF($D13="",FALSE(),AND(H$5&gt;=DATE(YEAR($D13),MONTH($D13),1),H$5&lt;=$E13)),N('WIP Log'!F13)&lt;&gt;0),N('WIP Log'!F13),""),IF(IF($D13="",FALSE(),AND(H$5&gt;=DATE(YEAR($D13),MONTH($D13),1),H$5&lt;=$E13)),'Phased Budget'!J13,"")))</f>
        <v/>
      </c>
      <c r="I13" s="42" t="str">
        <f aca="false">IF($B13="","",IF(I$5&lt;=Projects!$C$2,IF(OR(IF($D13="",FALSE(),AND(I$5&gt;=DATE(YEAR($D13),MONTH($D13),1),I$5&lt;=$E13)),N('WIP Log'!G13)&lt;&gt;0),N('WIP Log'!G13),""),IF(IF($D13="",FALSE(),AND(I$5&gt;=DATE(YEAR($D13),MONTH($D13),1),I$5&lt;=$E13)),'Phased Budget'!K13,"")))</f>
        <v/>
      </c>
      <c r="J13" s="42" t="str">
        <f aca="false">IF($B13="","",IF(J$5&lt;=Projects!$C$2,IF(OR(IF($D13="",FALSE(),AND(J$5&gt;=DATE(YEAR($D13),MONTH($D13),1),J$5&lt;=$E13)),N('WIP Log'!H13)&lt;&gt;0),N('WIP Log'!H13),""),IF(IF($D13="",FALSE(),AND(J$5&gt;=DATE(YEAR($D13),MONTH($D13),1),J$5&lt;=$E13)),'Phased Budget'!L13,"")))</f>
        <v/>
      </c>
      <c r="K13" s="42" t="str">
        <f aca="false">IF($B13="","",IF(K$5&lt;=Projects!$C$2,IF(OR(IF($D13="",FALSE(),AND(K$5&gt;=DATE(YEAR($D13),MONTH($D13),1),K$5&lt;=$E13)),N('WIP Log'!I13)&lt;&gt;0),N('WIP Log'!I13),""),IF(IF($D13="",FALSE(),AND(K$5&gt;=DATE(YEAR($D13),MONTH($D13),1),K$5&lt;=$E13)),'Phased Budget'!M13,"")))</f>
        <v/>
      </c>
      <c r="L13" s="42" t="str">
        <f aca="false">IF($B13="","",IF(L$5&lt;=Projects!$C$2,IF(OR(IF($D13="",FALSE(),AND(L$5&gt;=DATE(YEAR($D13),MONTH($D13),1),L$5&lt;=$E13)),N('WIP Log'!J13)&lt;&gt;0),N('WIP Log'!J13),""),IF(IF($D13="",FALSE(),AND(L$5&gt;=DATE(YEAR($D13),MONTH($D13),1),L$5&lt;=$E13)),'Phased Budget'!N13,"")))</f>
        <v/>
      </c>
      <c r="M13" s="42" t="str">
        <f aca="false">IF($B13="","",IF(M$5&lt;=Projects!$C$2,IF(OR(IF($D13="",FALSE(),AND(M$5&gt;=DATE(YEAR($D13),MONTH($D13),1),M$5&lt;=$E13)),N('WIP Log'!K13)&lt;&gt;0),N('WIP Log'!K13),""),IF(IF($D13="",FALSE(),AND(M$5&gt;=DATE(YEAR($D13),MONTH($D13),1),M$5&lt;=$E13)),'Phased Budget'!O13,"")))</f>
        <v/>
      </c>
      <c r="N13" s="42" t="str">
        <f aca="false">IF($B13="","",IF(N$5&lt;=Projects!$C$2,IF(OR(IF($D13="",FALSE(),AND(N$5&gt;=DATE(YEAR($D13),MONTH($D13),1),N$5&lt;=$E13)),N('WIP Log'!L13)&lt;&gt;0),N('WIP Log'!L13),""),IF(IF($D13="",FALSE(),AND(N$5&gt;=DATE(YEAR($D13),MONTH($D13),1),N$5&lt;=$E13)),'Phased Budget'!P13,"")))</f>
        <v/>
      </c>
      <c r="O13" s="42" t="str">
        <f aca="false">IF($B13="","",IF(O$5&lt;=Projects!$C$2,IF(OR(IF($D13="",FALSE(),AND(O$5&gt;=DATE(YEAR($D13),MONTH($D13),1),O$5&lt;=$E13)),N('WIP Log'!M13)&lt;&gt;0),N('WIP Log'!M13),""),IF(IF($D13="",FALSE(),AND(O$5&gt;=DATE(YEAR($D13),MONTH($D13),1),O$5&lt;=$E13)),'Phased Budget'!Q13,"")))</f>
        <v/>
      </c>
      <c r="P13" s="42" t="str">
        <f aca="false">IF($B13="","",IF(P$5&lt;=Projects!$C$2,IF(OR(IF($D13="",FALSE(),AND(P$5&gt;=DATE(YEAR($D13),MONTH($D13),1),P$5&lt;=$E13)),N('WIP Log'!N13)&lt;&gt;0),N('WIP Log'!N13),""),IF(IF($D13="",FALSE(),AND(P$5&gt;=DATE(YEAR($D13),MONTH($D13),1),P$5&lt;=$E13)),'Phased Budget'!R13,"")))</f>
        <v/>
      </c>
      <c r="Q13" s="42" t="str">
        <f aca="false">IF($B13="","",IF(Q$5&lt;=Projects!$C$2,IF(OR(IF($D13="",FALSE(),AND(Q$5&gt;=DATE(YEAR($D13),MONTH($D13),1),Q$5&lt;=$E13)),N('WIP Log'!O13)&lt;&gt;0),N('WIP Log'!O13),""),IF(IF($D13="",FALSE(),AND(Q$5&gt;=DATE(YEAR($D13),MONTH($D13),1),Q$5&lt;=$E13)),'Phased Budget'!S13,"")))</f>
        <v/>
      </c>
      <c r="R13" s="42" t="str">
        <f aca="false">IF($B13="","",IF(R$5&lt;=Projects!$C$2,IF(OR(IF($D13="",FALSE(),AND(R$5&gt;=DATE(YEAR($D13),MONTH($D13),1),R$5&lt;=$E13)),N('WIP Log'!P13)&lt;&gt;0),N('WIP Log'!P13),""),IF(IF($D13="",FALSE(),AND(R$5&gt;=DATE(YEAR($D13),MONTH($D13),1),R$5&lt;=$E13)),'Phased Budget'!T13,"")))</f>
        <v/>
      </c>
      <c r="S13" s="42" t="str">
        <f aca="false">IF($B13="","",IF(S$5&lt;=Projects!$C$2,IF(OR(IF($D13="",FALSE(),AND(S$5&gt;=DATE(YEAR($D13),MONTH($D13),1),S$5&lt;=$E13)),N('WIP Log'!Q13)&lt;&gt;0),N('WIP Log'!Q13),""),IF(IF($D13="",FALSE(),AND(S$5&gt;=DATE(YEAR($D13),MONTH($D13),1),S$5&lt;=$E13)),'Phased Budget'!U13,"")))</f>
        <v/>
      </c>
      <c r="T13" s="42" t="str">
        <f aca="false">IF($B13="","",IF(T$5&lt;=Projects!$C$2,IF(OR(IF($D13="",FALSE(),AND(T$5&gt;=DATE(YEAR($D13),MONTH($D13),1),T$5&lt;=$E13)),N('WIP Log'!R13)&lt;&gt;0),N('WIP Log'!R13),""),IF(IF($D13="",FALSE(),AND(T$5&gt;=DATE(YEAR($D13),MONTH($D13),1),T$5&lt;=$E13)),'Phased Budget'!V13,"")))</f>
        <v/>
      </c>
      <c r="U13" s="42" t="str">
        <f aca="false">IF($B13="","",IF(U$5&lt;=Projects!$C$2,IF(OR(IF($D13="",FALSE(),AND(U$5&gt;=DATE(YEAR($D13),MONTH($D13),1),U$5&lt;=$E13)),N('WIP Log'!S13)&lt;&gt;0),N('WIP Log'!S13),""),IF(IF($D13="",FALSE(),AND(U$5&gt;=DATE(YEAR($D13),MONTH($D13),1),U$5&lt;=$E13)),'Phased Budget'!W13,"")))</f>
        <v/>
      </c>
      <c r="V13" s="42" t="str">
        <f aca="false">IF($B13="","",IF(V$5&lt;=Projects!$C$2,IF(OR(IF($D13="",FALSE(),AND(V$5&gt;=DATE(YEAR($D13),MONTH($D13),1),V$5&lt;=$E13)),N('WIP Log'!T13)&lt;&gt;0),N('WIP Log'!T13),""),IF(IF($D13="",FALSE(),AND(V$5&gt;=DATE(YEAR($D13),MONTH($D13),1),V$5&lt;=$E13)),'Phased Budget'!X13,"")))</f>
        <v/>
      </c>
      <c r="W13" s="42" t="str">
        <f aca="false">IF($B13="","",IF(W$5&lt;=Projects!$C$2,IF(OR(IF($D13="",FALSE(),AND(W$5&gt;=DATE(YEAR($D13),MONTH($D13),1),W$5&lt;=$E13)),N('WIP Log'!U13)&lt;&gt;0),N('WIP Log'!U13),""),IF(IF($D13="",FALSE(),AND(W$5&gt;=DATE(YEAR($D13),MONTH($D13),1),W$5&lt;=$E13)),'Phased Budget'!Y13,"")))</f>
        <v/>
      </c>
      <c r="X13" s="42" t="str">
        <f aca="false">IF($B13="","",IF(X$5&lt;=Projects!$C$2,IF(OR(IF($D13="",FALSE(),AND(X$5&gt;=DATE(YEAR($D13),MONTH($D13),1),X$5&lt;=$E13)),N('WIP Log'!V13)&lt;&gt;0),N('WIP Log'!V13),""),IF(IF($D13="",FALSE(),AND(X$5&gt;=DATE(YEAR($D13),MONTH($D13),1),X$5&lt;=$E13)),'Phased Budget'!Z13,"")))</f>
        <v/>
      </c>
      <c r="Y13" s="42" t="str">
        <f aca="false">IF($B13="","",IF(Y$5&lt;=Projects!$C$2,IF(OR(IF($D13="",FALSE(),AND(Y$5&gt;=DATE(YEAR($D13),MONTH($D13),1),Y$5&lt;=$E13)),N('WIP Log'!W13)&lt;&gt;0),N('WIP Log'!W13),""),IF(IF($D13="",FALSE(),AND(Y$5&gt;=DATE(YEAR($D13),MONTH($D13),1),Y$5&lt;=$E13)),'Phased Budget'!AA13,"")))</f>
        <v/>
      </c>
      <c r="Z13" s="42" t="str">
        <f aca="false">IF($B13="","",IF(Z$5&lt;=Projects!$C$2,IF(OR(IF($D13="",FALSE(),AND(Z$5&gt;=DATE(YEAR($D13),MONTH($D13),1),Z$5&lt;=$E13)),N('WIP Log'!X13)&lt;&gt;0),N('WIP Log'!X13),""),IF(IF($D13="",FALSE(),AND(Z$5&gt;=DATE(YEAR($D13),MONTH($D13),1),Z$5&lt;=$E13)),'Phased Budget'!AB13,"")))</f>
        <v/>
      </c>
      <c r="AA13" s="42" t="str">
        <f aca="false">IF($B13="","",IF(AA$5&lt;=Projects!$C$2,IF(OR(IF($D13="",FALSE(),AND(AA$5&gt;=DATE(YEAR($D13),MONTH($D13),1),AA$5&lt;=$E13)),N('WIP Log'!Y13)&lt;&gt;0),N('WIP Log'!Y13),""),IF(IF($D13="",FALSE(),AND(AA$5&gt;=DATE(YEAR($D13),MONTH($D13),1),AA$5&lt;=$E13)),'Phased Budget'!AC13,"")))</f>
        <v/>
      </c>
      <c r="AB13" s="42" t="str">
        <f aca="false">IF($B13="","",IF(AB$5&lt;=Projects!$C$2,IF(OR(IF($D13="",FALSE(),AND(AB$5&gt;=DATE(YEAR($D13),MONTH($D13),1),AB$5&lt;=$E13)),N('WIP Log'!Z13)&lt;&gt;0),N('WIP Log'!Z13),""),IF(IF($D13="",FALSE(),AND(AB$5&gt;=DATE(YEAR($D13),MONTH($D13),1),AB$5&lt;=$E13)),'Phased Budget'!AD13,"")))</f>
        <v/>
      </c>
      <c r="AC13" s="42" t="str">
        <f aca="false">IF($B13="","",IF(AC$5&lt;=Projects!$C$2,IF(OR(IF($D13="",FALSE(),AND(AC$5&gt;=DATE(YEAR($D13),MONTH($D13),1),AC$5&lt;=$E13)),N('WIP Log'!AA13)&lt;&gt;0),N('WIP Log'!AA13),""),IF(IF($D13="",FALSE(),AND(AC$5&gt;=DATE(YEAR($D13),MONTH($D13),1),AC$5&lt;=$E13)),'Phased Budget'!AE13,"")))</f>
        <v/>
      </c>
      <c r="AD13" s="42" t="str">
        <f aca="false">IF($B13="","",IF(AD$5&lt;=Projects!$C$2,IF(OR(IF($D13="",FALSE(),AND(AD$5&gt;=DATE(YEAR($D13),MONTH($D13),1),AD$5&lt;=$E13)),N('WIP Log'!AB13)&lt;&gt;0),N('WIP Log'!AB13),""),IF(IF($D13="",FALSE(),AND(AD$5&gt;=DATE(YEAR($D13),MONTH($D13),1),AD$5&lt;=$E13)),'Phased Budget'!AF13,"")))</f>
        <v/>
      </c>
      <c r="AE13" s="42" t="str">
        <f aca="false">IF($B13="","",IF(AE$5&lt;=Projects!$C$2,IF(OR(IF($D13="",FALSE(),AND(AE$5&gt;=DATE(YEAR($D13),MONTH($D13),1),AE$5&lt;=$E13)),N('WIP Log'!AC13)&lt;&gt;0),N('WIP Log'!AC13),""),IF(IF($D13="",FALSE(),AND(AE$5&gt;=DATE(YEAR($D13),MONTH($D13),1),AE$5&lt;=$E13)),'Phased Budget'!AG13,"")))</f>
        <v/>
      </c>
      <c r="AF13" s="42" t="str">
        <f aca="false">IF($B13="","",IF(AF$5&lt;=Projects!$C$2,IF(OR(IF($D13="",FALSE(),AND(AF$5&gt;=DATE(YEAR($D13),MONTH($D13),1),AF$5&lt;=$E13)),N('WIP Log'!AD13)&lt;&gt;0),N('WIP Log'!AD13),""),IF(IF($D13="",FALSE(),AND(AF$5&gt;=DATE(YEAR($D13),MONTH($D13),1),AF$5&lt;=$E13)),'Phased Budget'!AH13,"")))</f>
        <v/>
      </c>
      <c r="AG13" s="42" t="str">
        <f aca="false">IF($B13="","",IF(AG$5&lt;=Projects!$C$2,IF(OR(IF($D13="",FALSE(),AND(AG$5&gt;=DATE(YEAR($D13),MONTH($D13),1),AG$5&lt;=$E13)),N('WIP Log'!AE13)&lt;&gt;0),N('WIP Log'!AE13),""),IF(IF($D13="",FALSE(),AND(AG$5&gt;=DATE(YEAR($D13),MONTH($D13),1),AG$5&lt;=$E13)),'Phased Budget'!AI13,"")))</f>
        <v/>
      </c>
      <c r="AH13" s="42" t="str">
        <f aca="false">IF($B13="","",IF(AH$5&lt;=Projects!$C$2,IF(OR(IF($D13="",FALSE(),AND(AH$5&gt;=DATE(YEAR($D13),MONTH($D13),1),AH$5&lt;=$E13)),N('WIP Log'!AF13)&lt;&gt;0),N('WIP Log'!AF13),""),IF(IF($D13="",FALSE(),AND(AH$5&gt;=DATE(YEAR($D13),MONTH($D13),1),AH$5&lt;=$E13)),'Phased Budget'!AJ13,"")))</f>
        <v/>
      </c>
      <c r="AI13" s="42" t="str">
        <f aca="false">IF($B13="","",IF(AI$5&lt;=Projects!$C$2,IF(OR(IF($D13="",FALSE(),AND(AI$5&gt;=DATE(YEAR($D13),MONTH($D13),1),AI$5&lt;=$E13)),N('WIP Log'!AG13)&lt;&gt;0),N('WIP Log'!AG13),""),IF(IF($D13="",FALSE(),AND(AI$5&gt;=DATE(YEAR($D13),MONTH($D13),1),AI$5&lt;=$E13)),'Phased Budget'!AK13,"")))</f>
        <v/>
      </c>
      <c r="AJ13" s="42" t="str">
        <f aca="false">IF($B13="","",IF(AJ$5&lt;=Projects!$C$2,IF(OR(IF($D13="",FALSE(),AND(AJ$5&gt;=DATE(YEAR($D13),MONTH($D13),1),AJ$5&lt;=$E13)),N('WIP Log'!AH13)&lt;&gt;0),N('WIP Log'!AH13),""),IF(IF($D13="",FALSE(),AND(AJ$5&gt;=DATE(YEAR($D13),MONTH($D13),1),AJ$5&lt;=$E13)),'Phased Budget'!AL13,"")))</f>
        <v/>
      </c>
      <c r="AK13" s="42" t="str">
        <f aca="false">IF($B13="","",IF(AK$5&lt;=Projects!$C$2,IF(OR(IF($D13="",FALSE(),AND(AK$5&gt;=DATE(YEAR($D13),MONTH($D13),1),AK$5&lt;=$E13)),N('WIP Log'!AI13)&lt;&gt;0),N('WIP Log'!AI13),""),IF(IF($D13="",FALSE(),AND(AK$5&gt;=DATE(YEAR($D13),MONTH($D13),1),AK$5&lt;=$E13)),'Phased Budget'!AM13,"")))</f>
        <v/>
      </c>
      <c r="AL13" s="42" t="str">
        <f aca="false">IF($B13="","",IF(AL$5&lt;=Projects!$C$2,IF(OR(IF($D13="",FALSE(),AND(AL$5&gt;=DATE(YEAR($D13),MONTH($D13),1),AL$5&lt;=$E13)),N('WIP Log'!AJ13)&lt;&gt;0),N('WIP Log'!AJ13),""),IF(IF($D13="",FALSE(),AND(AL$5&gt;=DATE(YEAR($D13),MONTH($D13),1),AL$5&lt;=$E13)),'Phased Budget'!AN13,"")))</f>
        <v/>
      </c>
      <c r="AM13" s="42" t="str">
        <f aca="false">IF($B13="","",IF(AM$5&lt;=Projects!$C$2,IF(OR(IF($D13="",FALSE(),AND(AM$5&gt;=DATE(YEAR($D13),MONTH($D13),1),AM$5&lt;=$E13)),N('WIP Log'!AK13)&lt;&gt;0),N('WIP Log'!AK13),""),IF(IF($D13="",FALSE(),AND(AM$5&gt;=DATE(YEAR($D13),MONTH($D13),1),AM$5&lt;=$E13)),'Phased Budget'!AO13,"")))</f>
        <v/>
      </c>
      <c r="AN13" s="42" t="str">
        <f aca="false">IF($B13="","",IF(AN$5&lt;=Projects!$C$2,IF(OR(IF($D13="",FALSE(),AND(AN$5&gt;=DATE(YEAR($D13),MONTH($D13),1),AN$5&lt;=$E13)),N('WIP Log'!AL13)&lt;&gt;0),N('WIP Log'!AL13),""),IF(IF($D13="",FALSE(),AND(AN$5&gt;=DATE(YEAR($D13),MONTH($D13),1),AN$5&lt;=$E13)),'Phased Budget'!AP13,"")))</f>
        <v/>
      </c>
      <c r="AO13" s="42" t="str">
        <f aca="false">IF($B13="","",IF(AO$5&lt;=Projects!$C$2,IF(OR(IF($D13="",FALSE(),AND(AO$5&gt;=DATE(YEAR($D13),MONTH($D13),1),AO$5&lt;=$E13)),N('WIP Log'!AM13)&lt;&gt;0),N('WIP Log'!AM13),""),IF(IF($D13="",FALSE(),AND(AO$5&gt;=DATE(YEAR($D13),MONTH($D13),1),AO$5&lt;=$E13)),'Phased Budget'!AQ13,"")))</f>
        <v/>
      </c>
    </row>
    <row r="14" customFormat="false" ht="15" hidden="false" customHeight="false" outlineLevel="0" collapsed="false">
      <c r="A14" s="20" t="n">
        <v>9</v>
      </c>
      <c r="B14" s="40" t="str">
        <f aca="false">IF(Projects!B14="","",Projects!B14)</f>
        <v/>
      </c>
      <c r="C14" s="40" t="str">
        <f aca="false">IF(Projects!C14="","",Projects!C14)</f>
        <v/>
      </c>
      <c r="D14" s="41" t="str">
        <f aca="false">IF(Projects!D14="","",Projects!D14)</f>
        <v/>
      </c>
      <c r="E14" s="41" t="str">
        <f aca="false">IF(Projects!F14="","",Projects!F14)</f>
        <v/>
      </c>
      <c r="F14" s="42" t="str">
        <f aca="false">IF($B14="","",IF(F$5&lt;=Projects!$C$2,IF(OR(IF($D14="",FALSE(),AND(F$5&gt;=DATE(YEAR($D14),MONTH($D14),1),F$5&lt;=$E14)),N('WIP Log'!D14)&lt;&gt;0),N('WIP Log'!D14),""),IF(IF($D14="",FALSE(),AND(F$5&gt;=DATE(YEAR($D14),MONTH($D14),1),F$5&lt;=$E14)),'Phased Budget'!H14,"")))</f>
        <v/>
      </c>
      <c r="G14" s="42" t="str">
        <f aca="false">IF($B14="","",IF(G$5&lt;=Projects!$C$2,IF(OR(IF($D14="",FALSE(),AND(G$5&gt;=DATE(YEAR($D14),MONTH($D14),1),G$5&lt;=$E14)),N('WIP Log'!E14)&lt;&gt;0),N('WIP Log'!E14),""),IF(IF($D14="",FALSE(),AND(G$5&gt;=DATE(YEAR($D14),MONTH($D14),1),G$5&lt;=$E14)),'Phased Budget'!I14,"")))</f>
        <v/>
      </c>
      <c r="H14" s="42" t="str">
        <f aca="false">IF($B14="","",IF(H$5&lt;=Projects!$C$2,IF(OR(IF($D14="",FALSE(),AND(H$5&gt;=DATE(YEAR($D14),MONTH($D14),1),H$5&lt;=$E14)),N('WIP Log'!F14)&lt;&gt;0),N('WIP Log'!F14),""),IF(IF($D14="",FALSE(),AND(H$5&gt;=DATE(YEAR($D14),MONTH($D14),1),H$5&lt;=$E14)),'Phased Budget'!J14,"")))</f>
        <v/>
      </c>
      <c r="I14" s="42" t="str">
        <f aca="false">IF($B14="","",IF(I$5&lt;=Projects!$C$2,IF(OR(IF($D14="",FALSE(),AND(I$5&gt;=DATE(YEAR($D14),MONTH($D14),1),I$5&lt;=$E14)),N('WIP Log'!G14)&lt;&gt;0),N('WIP Log'!G14),""),IF(IF($D14="",FALSE(),AND(I$5&gt;=DATE(YEAR($D14),MONTH($D14),1),I$5&lt;=$E14)),'Phased Budget'!K14,"")))</f>
        <v/>
      </c>
      <c r="J14" s="42" t="str">
        <f aca="false">IF($B14="","",IF(J$5&lt;=Projects!$C$2,IF(OR(IF($D14="",FALSE(),AND(J$5&gt;=DATE(YEAR($D14),MONTH($D14),1),J$5&lt;=$E14)),N('WIP Log'!H14)&lt;&gt;0),N('WIP Log'!H14),""),IF(IF($D14="",FALSE(),AND(J$5&gt;=DATE(YEAR($D14),MONTH($D14),1),J$5&lt;=$E14)),'Phased Budget'!L14,"")))</f>
        <v/>
      </c>
      <c r="K14" s="42" t="str">
        <f aca="false">IF($B14="","",IF(K$5&lt;=Projects!$C$2,IF(OR(IF($D14="",FALSE(),AND(K$5&gt;=DATE(YEAR($D14),MONTH($D14),1),K$5&lt;=$E14)),N('WIP Log'!I14)&lt;&gt;0),N('WIP Log'!I14),""),IF(IF($D14="",FALSE(),AND(K$5&gt;=DATE(YEAR($D14),MONTH($D14),1),K$5&lt;=$E14)),'Phased Budget'!M14,"")))</f>
        <v/>
      </c>
      <c r="L14" s="42" t="str">
        <f aca="false">IF($B14="","",IF(L$5&lt;=Projects!$C$2,IF(OR(IF($D14="",FALSE(),AND(L$5&gt;=DATE(YEAR($D14),MONTH($D14),1),L$5&lt;=$E14)),N('WIP Log'!J14)&lt;&gt;0),N('WIP Log'!J14),""),IF(IF($D14="",FALSE(),AND(L$5&gt;=DATE(YEAR($D14),MONTH($D14),1),L$5&lt;=$E14)),'Phased Budget'!N14,"")))</f>
        <v/>
      </c>
      <c r="M14" s="42" t="str">
        <f aca="false">IF($B14="","",IF(M$5&lt;=Projects!$C$2,IF(OR(IF($D14="",FALSE(),AND(M$5&gt;=DATE(YEAR($D14),MONTH($D14),1),M$5&lt;=$E14)),N('WIP Log'!K14)&lt;&gt;0),N('WIP Log'!K14),""),IF(IF($D14="",FALSE(),AND(M$5&gt;=DATE(YEAR($D14),MONTH($D14),1),M$5&lt;=$E14)),'Phased Budget'!O14,"")))</f>
        <v/>
      </c>
      <c r="N14" s="42" t="str">
        <f aca="false">IF($B14="","",IF(N$5&lt;=Projects!$C$2,IF(OR(IF($D14="",FALSE(),AND(N$5&gt;=DATE(YEAR($D14),MONTH($D14),1),N$5&lt;=$E14)),N('WIP Log'!L14)&lt;&gt;0),N('WIP Log'!L14),""),IF(IF($D14="",FALSE(),AND(N$5&gt;=DATE(YEAR($D14),MONTH($D14),1),N$5&lt;=$E14)),'Phased Budget'!P14,"")))</f>
        <v/>
      </c>
      <c r="O14" s="42" t="str">
        <f aca="false">IF($B14="","",IF(O$5&lt;=Projects!$C$2,IF(OR(IF($D14="",FALSE(),AND(O$5&gt;=DATE(YEAR($D14),MONTH($D14),1),O$5&lt;=$E14)),N('WIP Log'!M14)&lt;&gt;0),N('WIP Log'!M14),""),IF(IF($D14="",FALSE(),AND(O$5&gt;=DATE(YEAR($D14),MONTH($D14),1),O$5&lt;=$E14)),'Phased Budget'!Q14,"")))</f>
        <v/>
      </c>
      <c r="P14" s="42" t="str">
        <f aca="false">IF($B14="","",IF(P$5&lt;=Projects!$C$2,IF(OR(IF($D14="",FALSE(),AND(P$5&gt;=DATE(YEAR($D14),MONTH($D14),1),P$5&lt;=$E14)),N('WIP Log'!N14)&lt;&gt;0),N('WIP Log'!N14),""),IF(IF($D14="",FALSE(),AND(P$5&gt;=DATE(YEAR($D14),MONTH($D14),1),P$5&lt;=$E14)),'Phased Budget'!R14,"")))</f>
        <v/>
      </c>
      <c r="Q14" s="42" t="str">
        <f aca="false">IF($B14="","",IF(Q$5&lt;=Projects!$C$2,IF(OR(IF($D14="",FALSE(),AND(Q$5&gt;=DATE(YEAR($D14),MONTH($D14),1),Q$5&lt;=$E14)),N('WIP Log'!O14)&lt;&gt;0),N('WIP Log'!O14),""),IF(IF($D14="",FALSE(),AND(Q$5&gt;=DATE(YEAR($D14),MONTH($D14),1),Q$5&lt;=$E14)),'Phased Budget'!S14,"")))</f>
        <v/>
      </c>
      <c r="R14" s="42" t="str">
        <f aca="false">IF($B14="","",IF(R$5&lt;=Projects!$C$2,IF(OR(IF($D14="",FALSE(),AND(R$5&gt;=DATE(YEAR($D14),MONTH($D14),1),R$5&lt;=$E14)),N('WIP Log'!P14)&lt;&gt;0),N('WIP Log'!P14),""),IF(IF($D14="",FALSE(),AND(R$5&gt;=DATE(YEAR($D14),MONTH($D14),1),R$5&lt;=$E14)),'Phased Budget'!T14,"")))</f>
        <v/>
      </c>
      <c r="S14" s="42" t="str">
        <f aca="false">IF($B14="","",IF(S$5&lt;=Projects!$C$2,IF(OR(IF($D14="",FALSE(),AND(S$5&gt;=DATE(YEAR($D14),MONTH($D14),1),S$5&lt;=$E14)),N('WIP Log'!Q14)&lt;&gt;0),N('WIP Log'!Q14),""),IF(IF($D14="",FALSE(),AND(S$5&gt;=DATE(YEAR($D14),MONTH($D14),1),S$5&lt;=$E14)),'Phased Budget'!U14,"")))</f>
        <v/>
      </c>
      <c r="T14" s="42" t="str">
        <f aca="false">IF($B14="","",IF(T$5&lt;=Projects!$C$2,IF(OR(IF($D14="",FALSE(),AND(T$5&gt;=DATE(YEAR($D14),MONTH($D14),1),T$5&lt;=$E14)),N('WIP Log'!R14)&lt;&gt;0),N('WIP Log'!R14),""),IF(IF($D14="",FALSE(),AND(T$5&gt;=DATE(YEAR($D14),MONTH($D14),1),T$5&lt;=$E14)),'Phased Budget'!V14,"")))</f>
        <v/>
      </c>
      <c r="U14" s="42" t="str">
        <f aca="false">IF($B14="","",IF(U$5&lt;=Projects!$C$2,IF(OR(IF($D14="",FALSE(),AND(U$5&gt;=DATE(YEAR($D14),MONTH($D14),1),U$5&lt;=$E14)),N('WIP Log'!S14)&lt;&gt;0),N('WIP Log'!S14),""),IF(IF($D14="",FALSE(),AND(U$5&gt;=DATE(YEAR($D14),MONTH($D14),1),U$5&lt;=$E14)),'Phased Budget'!W14,"")))</f>
        <v/>
      </c>
      <c r="V14" s="42" t="str">
        <f aca="false">IF($B14="","",IF(V$5&lt;=Projects!$C$2,IF(OR(IF($D14="",FALSE(),AND(V$5&gt;=DATE(YEAR($D14),MONTH($D14),1),V$5&lt;=$E14)),N('WIP Log'!T14)&lt;&gt;0),N('WIP Log'!T14),""),IF(IF($D14="",FALSE(),AND(V$5&gt;=DATE(YEAR($D14),MONTH($D14),1),V$5&lt;=$E14)),'Phased Budget'!X14,"")))</f>
        <v/>
      </c>
      <c r="W14" s="42" t="str">
        <f aca="false">IF($B14="","",IF(W$5&lt;=Projects!$C$2,IF(OR(IF($D14="",FALSE(),AND(W$5&gt;=DATE(YEAR($D14),MONTH($D14),1),W$5&lt;=$E14)),N('WIP Log'!U14)&lt;&gt;0),N('WIP Log'!U14),""),IF(IF($D14="",FALSE(),AND(W$5&gt;=DATE(YEAR($D14),MONTH($D14),1),W$5&lt;=$E14)),'Phased Budget'!Y14,"")))</f>
        <v/>
      </c>
      <c r="X14" s="42" t="str">
        <f aca="false">IF($B14="","",IF(X$5&lt;=Projects!$C$2,IF(OR(IF($D14="",FALSE(),AND(X$5&gt;=DATE(YEAR($D14),MONTH($D14),1),X$5&lt;=$E14)),N('WIP Log'!V14)&lt;&gt;0),N('WIP Log'!V14),""),IF(IF($D14="",FALSE(),AND(X$5&gt;=DATE(YEAR($D14),MONTH($D14),1),X$5&lt;=$E14)),'Phased Budget'!Z14,"")))</f>
        <v/>
      </c>
      <c r="Y14" s="42" t="str">
        <f aca="false">IF($B14="","",IF(Y$5&lt;=Projects!$C$2,IF(OR(IF($D14="",FALSE(),AND(Y$5&gt;=DATE(YEAR($D14),MONTH($D14),1),Y$5&lt;=$E14)),N('WIP Log'!W14)&lt;&gt;0),N('WIP Log'!W14),""),IF(IF($D14="",FALSE(),AND(Y$5&gt;=DATE(YEAR($D14),MONTH($D14),1),Y$5&lt;=$E14)),'Phased Budget'!AA14,"")))</f>
        <v/>
      </c>
      <c r="Z14" s="42" t="str">
        <f aca="false">IF($B14="","",IF(Z$5&lt;=Projects!$C$2,IF(OR(IF($D14="",FALSE(),AND(Z$5&gt;=DATE(YEAR($D14),MONTH($D14),1),Z$5&lt;=$E14)),N('WIP Log'!X14)&lt;&gt;0),N('WIP Log'!X14),""),IF(IF($D14="",FALSE(),AND(Z$5&gt;=DATE(YEAR($D14),MONTH($D14),1),Z$5&lt;=$E14)),'Phased Budget'!AB14,"")))</f>
        <v/>
      </c>
      <c r="AA14" s="42" t="str">
        <f aca="false">IF($B14="","",IF(AA$5&lt;=Projects!$C$2,IF(OR(IF($D14="",FALSE(),AND(AA$5&gt;=DATE(YEAR($D14),MONTH($D14),1),AA$5&lt;=$E14)),N('WIP Log'!Y14)&lt;&gt;0),N('WIP Log'!Y14),""),IF(IF($D14="",FALSE(),AND(AA$5&gt;=DATE(YEAR($D14),MONTH($D14),1),AA$5&lt;=$E14)),'Phased Budget'!AC14,"")))</f>
        <v/>
      </c>
      <c r="AB14" s="42" t="str">
        <f aca="false">IF($B14="","",IF(AB$5&lt;=Projects!$C$2,IF(OR(IF($D14="",FALSE(),AND(AB$5&gt;=DATE(YEAR($D14),MONTH($D14),1),AB$5&lt;=$E14)),N('WIP Log'!Z14)&lt;&gt;0),N('WIP Log'!Z14),""),IF(IF($D14="",FALSE(),AND(AB$5&gt;=DATE(YEAR($D14),MONTH($D14),1),AB$5&lt;=$E14)),'Phased Budget'!AD14,"")))</f>
        <v/>
      </c>
      <c r="AC14" s="42" t="str">
        <f aca="false">IF($B14="","",IF(AC$5&lt;=Projects!$C$2,IF(OR(IF($D14="",FALSE(),AND(AC$5&gt;=DATE(YEAR($D14),MONTH($D14),1),AC$5&lt;=$E14)),N('WIP Log'!AA14)&lt;&gt;0),N('WIP Log'!AA14),""),IF(IF($D14="",FALSE(),AND(AC$5&gt;=DATE(YEAR($D14),MONTH($D14),1),AC$5&lt;=$E14)),'Phased Budget'!AE14,"")))</f>
        <v/>
      </c>
      <c r="AD14" s="42" t="str">
        <f aca="false">IF($B14="","",IF(AD$5&lt;=Projects!$C$2,IF(OR(IF($D14="",FALSE(),AND(AD$5&gt;=DATE(YEAR($D14),MONTH($D14),1),AD$5&lt;=$E14)),N('WIP Log'!AB14)&lt;&gt;0),N('WIP Log'!AB14),""),IF(IF($D14="",FALSE(),AND(AD$5&gt;=DATE(YEAR($D14),MONTH($D14),1),AD$5&lt;=$E14)),'Phased Budget'!AF14,"")))</f>
        <v/>
      </c>
      <c r="AE14" s="42" t="str">
        <f aca="false">IF($B14="","",IF(AE$5&lt;=Projects!$C$2,IF(OR(IF($D14="",FALSE(),AND(AE$5&gt;=DATE(YEAR($D14),MONTH($D14),1),AE$5&lt;=$E14)),N('WIP Log'!AC14)&lt;&gt;0),N('WIP Log'!AC14),""),IF(IF($D14="",FALSE(),AND(AE$5&gt;=DATE(YEAR($D14),MONTH($D14),1),AE$5&lt;=$E14)),'Phased Budget'!AG14,"")))</f>
        <v/>
      </c>
      <c r="AF14" s="42" t="str">
        <f aca="false">IF($B14="","",IF(AF$5&lt;=Projects!$C$2,IF(OR(IF($D14="",FALSE(),AND(AF$5&gt;=DATE(YEAR($D14),MONTH($D14),1),AF$5&lt;=$E14)),N('WIP Log'!AD14)&lt;&gt;0),N('WIP Log'!AD14),""),IF(IF($D14="",FALSE(),AND(AF$5&gt;=DATE(YEAR($D14),MONTH($D14),1),AF$5&lt;=$E14)),'Phased Budget'!AH14,"")))</f>
        <v/>
      </c>
      <c r="AG14" s="42" t="str">
        <f aca="false">IF($B14="","",IF(AG$5&lt;=Projects!$C$2,IF(OR(IF($D14="",FALSE(),AND(AG$5&gt;=DATE(YEAR($D14),MONTH($D14),1),AG$5&lt;=$E14)),N('WIP Log'!AE14)&lt;&gt;0),N('WIP Log'!AE14),""),IF(IF($D14="",FALSE(),AND(AG$5&gt;=DATE(YEAR($D14),MONTH($D14),1),AG$5&lt;=$E14)),'Phased Budget'!AI14,"")))</f>
        <v/>
      </c>
      <c r="AH14" s="42" t="str">
        <f aca="false">IF($B14="","",IF(AH$5&lt;=Projects!$C$2,IF(OR(IF($D14="",FALSE(),AND(AH$5&gt;=DATE(YEAR($D14),MONTH($D14),1),AH$5&lt;=$E14)),N('WIP Log'!AF14)&lt;&gt;0),N('WIP Log'!AF14),""),IF(IF($D14="",FALSE(),AND(AH$5&gt;=DATE(YEAR($D14),MONTH($D14),1),AH$5&lt;=$E14)),'Phased Budget'!AJ14,"")))</f>
        <v/>
      </c>
      <c r="AI14" s="42" t="str">
        <f aca="false">IF($B14="","",IF(AI$5&lt;=Projects!$C$2,IF(OR(IF($D14="",FALSE(),AND(AI$5&gt;=DATE(YEAR($D14),MONTH($D14),1),AI$5&lt;=$E14)),N('WIP Log'!AG14)&lt;&gt;0),N('WIP Log'!AG14),""),IF(IF($D14="",FALSE(),AND(AI$5&gt;=DATE(YEAR($D14),MONTH($D14),1),AI$5&lt;=$E14)),'Phased Budget'!AK14,"")))</f>
        <v/>
      </c>
      <c r="AJ14" s="42" t="str">
        <f aca="false">IF($B14="","",IF(AJ$5&lt;=Projects!$C$2,IF(OR(IF($D14="",FALSE(),AND(AJ$5&gt;=DATE(YEAR($D14),MONTH($D14),1),AJ$5&lt;=$E14)),N('WIP Log'!AH14)&lt;&gt;0),N('WIP Log'!AH14),""),IF(IF($D14="",FALSE(),AND(AJ$5&gt;=DATE(YEAR($D14),MONTH($D14),1),AJ$5&lt;=$E14)),'Phased Budget'!AL14,"")))</f>
        <v/>
      </c>
      <c r="AK14" s="42" t="str">
        <f aca="false">IF($B14="","",IF(AK$5&lt;=Projects!$C$2,IF(OR(IF($D14="",FALSE(),AND(AK$5&gt;=DATE(YEAR($D14),MONTH($D14),1),AK$5&lt;=$E14)),N('WIP Log'!AI14)&lt;&gt;0),N('WIP Log'!AI14),""),IF(IF($D14="",FALSE(),AND(AK$5&gt;=DATE(YEAR($D14),MONTH($D14),1),AK$5&lt;=$E14)),'Phased Budget'!AM14,"")))</f>
        <v/>
      </c>
      <c r="AL14" s="42" t="str">
        <f aca="false">IF($B14="","",IF(AL$5&lt;=Projects!$C$2,IF(OR(IF($D14="",FALSE(),AND(AL$5&gt;=DATE(YEAR($D14),MONTH($D14),1),AL$5&lt;=$E14)),N('WIP Log'!AJ14)&lt;&gt;0),N('WIP Log'!AJ14),""),IF(IF($D14="",FALSE(),AND(AL$5&gt;=DATE(YEAR($D14),MONTH($D14),1),AL$5&lt;=$E14)),'Phased Budget'!AN14,"")))</f>
        <v/>
      </c>
      <c r="AM14" s="42" t="str">
        <f aca="false">IF($B14="","",IF(AM$5&lt;=Projects!$C$2,IF(OR(IF($D14="",FALSE(),AND(AM$5&gt;=DATE(YEAR($D14),MONTH($D14),1),AM$5&lt;=$E14)),N('WIP Log'!AK14)&lt;&gt;0),N('WIP Log'!AK14),""),IF(IF($D14="",FALSE(),AND(AM$5&gt;=DATE(YEAR($D14),MONTH($D14),1),AM$5&lt;=$E14)),'Phased Budget'!AO14,"")))</f>
        <v/>
      </c>
      <c r="AN14" s="42" t="str">
        <f aca="false">IF($B14="","",IF(AN$5&lt;=Projects!$C$2,IF(OR(IF($D14="",FALSE(),AND(AN$5&gt;=DATE(YEAR($D14),MONTH($D14),1),AN$5&lt;=$E14)),N('WIP Log'!AL14)&lt;&gt;0),N('WIP Log'!AL14),""),IF(IF($D14="",FALSE(),AND(AN$5&gt;=DATE(YEAR($D14),MONTH($D14),1),AN$5&lt;=$E14)),'Phased Budget'!AP14,"")))</f>
        <v/>
      </c>
      <c r="AO14" s="42" t="str">
        <f aca="false">IF($B14="","",IF(AO$5&lt;=Projects!$C$2,IF(OR(IF($D14="",FALSE(),AND(AO$5&gt;=DATE(YEAR($D14),MONTH($D14),1),AO$5&lt;=$E14)),N('WIP Log'!AM14)&lt;&gt;0),N('WIP Log'!AM14),""),IF(IF($D14="",FALSE(),AND(AO$5&gt;=DATE(YEAR($D14),MONTH($D14),1),AO$5&lt;=$E14)),'Phased Budget'!AQ14,"")))</f>
        <v/>
      </c>
    </row>
    <row r="15" customFormat="false" ht="15" hidden="false" customHeight="false" outlineLevel="0" collapsed="false">
      <c r="A15" s="20" t="n">
        <v>10</v>
      </c>
      <c r="B15" s="40" t="str">
        <f aca="false">IF(Projects!B15="","",Projects!B15)</f>
        <v/>
      </c>
      <c r="C15" s="40" t="str">
        <f aca="false">IF(Projects!C15="","",Projects!C15)</f>
        <v/>
      </c>
      <c r="D15" s="41" t="str">
        <f aca="false">IF(Projects!D15="","",Projects!D15)</f>
        <v/>
      </c>
      <c r="E15" s="41" t="str">
        <f aca="false">IF(Projects!F15="","",Projects!F15)</f>
        <v/>
      </c>
      <c r="F15" s="42" t="str">
        <f aca="false">IF($B15="","",IF(F$5&lt;=Projects!$C$2,IF(OR(IF($D15="",FALSE(),AND(F$5&gt;=DATE(YEAR($D15),MONTH($D15),1),F$5&lt;=$E15)),N('WIP Log'!D15)&lt;&gt;0),N('WIP Log'!D15),""),IF(IF($D15="",FALSE(),AND(F$5&gt;=DATE(YEAR($D15),MONTH($D15),1),F$5&lt;=$E15)),'Phased Budget'!H15,"")))</f>
        <v/>
      </c>
      <c r="G15" s="42" t="str">
        <f aca="false">IF($B15="","",IF(G$5&lt;=Projects!$C$2,IF(OR(IF($D15="",FALSE(),AND(G$5&gt;=DATE(YEAR($D15),MONTH($D15),1),G$5&lt;=$E15)),N('WIP Log'!E15)&lt;&gt;0),N('WIP Log'!E15),""),IF(IF($D15="",FALSE(),AND(G$5&gt;=DATE(YEAR($D15),MONTH($D15),1),G$5&lt;=$E15)),'Phased Budget'!I15,"")))</f>
        <v/>
      </c>
      <c r="H15" s="42" t="str">
        <f aca="false">IF($B15="","",IF(H$5&lt;=Projects!$C$2,IF(OR(IF($D15="",FALSE(),AND(H$5&gt;=DATE(YEAR($D15),MONTH($D15),1),H$5&lt;=$E15)),N('WIP Log'!F15)&lt;&gt;0),N('WIP Log'!F15),""),IF(IF($D15="",FALSE(),AND(H$5&gt;=DATE(YEAR($D15),MONTH($D15),1),H$5&lt;=$E15)),'Phased Budget'!J15,"")))</f>
        <v/>
      </c>
      <c r="I15" s="42" t="str">
        <f aca="false">IF($B15="","",IF(I$5&lt;=Projects!$C$2,IF(OR(IF($D15="",FALSE(),AND(I$5&gt;=DATE(YEAR($D15),MONTH($D15),1),I$5&lt;=$E15)),N('WIP Log'!G15)&lt;&gt;0),N('WIP Log'!G15),""),IF(IF($D15="",FALSE(),AND(I$5&gt;=DATE(YEAR($D15),MONTH($D15),1),I$5&lt;=$E15)),'Phased Budget'!K15,"")))</f>
        <v/>
      </c>
      <c r="J15" s="42" t="str">
        <f aca="false">IF($B15="","",IF(J$5&lt;=Projects!$C$2,IF(OR(IF($D15="",FALSE(),AND(J$5&gt;=DATE(YEAR($D15),MONTH($D15),1),J$5&lt;=$E15)),N('WIP Log'!H15)&lt;&gt;0),N('WIP Log'!H15),""),IF(IF($D15="",FALSE(),AND(J$5&gt;=DATE(YEAR($D15),MONTH($D15),1),J$5&lt;=$E15)),'Phased Budget'!L15,"")))</f>
        <v/>
      </c>
      <c r="K15" s="42" t="str">
        <f aca="false">IF($B15="","",IF(K$5&lt;=Projects!$C$2,IF(OR(IF($D15="",FALSE(),AND(K$5&gt;=DATE(YEAR($D15),MONTH($D15),1),K$5&lt;=$E15)),N('WIP Log'!I15)&lt;&gt;0),N('WIP Log'!I15),""),IF(IF($D15="",FALSE(),AND(K$5&gt;=DATE(YEAR($D15),MONTH($D15),1),K$5&lt;=$E15)),'Phased Budget'!M15,"")))</f>
        <v/>
      </c>
      <c r="L15" s="42" t="str">
        <f aca="false">IF($B15="","",IF(L$5&lt;=Projects!$C$2,IF(OR(IF($D15="",FALSE(),AND(L$5&gt;=DATE(YEAR($D15),MONTH($D15),1),L$5&lt;=$E15)),N('WIP Log'!J15)&lt;&gt;0),N('WIP Log'!J15),""),IF(IF($D15="",FALSE(),AND(L$5&gt;=DATE(YEAR($D15),MONTH($D15),1),L$5&lt;=$E15)),'Phased Budget'!N15,"")))</f>
        <v/>
      </c>
      <c r="M15" s="42" t="str">
        <f aca="false">IF($B15="","",IF(M$5&lt;=Projects!$C$2,IF(OR(IF($D15="",FALSE(),AND(M$5&gt;=DATE(YEAR($D15),MONTH($D15),1),M$5&lt;=$E15)),N('WIP Log'!K15)&lt;&gt;0),N('WIP Log'!K15),""),IF(IF($D15="",FALSE(),AND(M$5&gt;=DATE(YEAR($D15),MONTH($D15),1),M$5&lt;=$E15)),'Phased Budget'!O15,"")))</f>
        <v/>
      </c>
      <c r="N15" s="42" t="str">
        <f aca="false">IF($B15="","",IF(N$5&lt;=Projects!$C$2,IF(OR(IF($D15="",FALSE(),AND(N$5&gt;=DATE(YEAR($D15),MONTH($D15),1),N$5&lt;=$E15)),N('WIP Log'!L15)&lt;&gt;0),N('WIP Log'!L15),""),IF(IF($D15="",FALSE(),AND(N$5&gt;=DATE(YEAR($D15),MONTH($D15),1),N$5&lt;=$E15)),'Phased Budget'!P15,"")))</f>
        <v/>
      </c>
      <c r="O15" s="42" t="str">
        <f aca="false">IF($B15="","",IF(O$5&lt;=Projects!$C$2,IF(OR(IF($D15="",FALSE(),AND(O$5&gt;=DATE(YEAR($D15),MONTH($D15),1),O$5&lt;=$E15)),N('WIP Log'!M15)&lt;&gt;0),N('WIP Log'!M15),""),IF(IF($D15="",FALSE(),AND(O$5&gt;=DATE(YEAR($D15),MONTH($D15),1),O$5&lt;=$E15)),'Phased Budget'!Q15,"")))</f>
        <v/>
      </c>
      <c r="P15" s="42" t="str">
        <f aca="false">IF($B15="","",IF(P$5&lt;=Projects!$C$2,IF(OR(IF($D15="",FALSE(),AND(P$5&gt;=DATE(YEAR($D15),MONTH($D15),1),P$5&lt;=$E15)),N('WIP Log'!N15)&lt;&gt;0),N('WIP Log'!N15),""),IF(IF($D15="",FALSE(),AND(P$5&gt;=DATE(YEAR($D15),MONTH($D15),1),P$5&lt;=$E15)),'Phased Budget'!R15,"")))</f>
        <v/>
      </c>
      <c r="Q15" s="42" t="str">
        <f aca="false">IF($B15="","",IF(Q$5&lt;=Projects!$C$2,IF(OR(IF($D15="",FALSE(),AND(Q$5&gt;=DATE(YEAR($D15),MONTH($D15),1),Q$5&lt;=$E15)),N('WIP Log'!O15)&lt;&gt;0),N('WIP Log'!O15),""),IF(IF($D15="",FALSE(),AND(Q$5&gt;=DATE(YEAR($D15),MONTH($D15),1),Q$5&lt;=$E15)),'Phased Budget'!S15,"")))</f>
        <v/>
      </c>
      <c r="R15" s="42" t="str">
        <f aca="false">IF($B15="","",IF(R$5&lt;=Projects!$C$2,IF(OR(IF($D15="",FALSE(),AND(R$5&gt;=DATE(YEAR($D15),MONTH($D15),1),R$5&lt;=$E15)),N('WIP Log'!P15)&lt;&gt;0),N('WIP Log'!P15),""),IF(IF($D15="",FALSE(),AND(R$5&gt;=DATE(YEAR($D15),MONTH($D15),1),R$5&lt;=$E15)),'Phased Budget'!T15,"")))</f>
        <v/>
      </c>
      <c r="S15" s="42" t="str">
        <f aca="false">IF($B15="","",IF(S$5&lt;=Projects!$C$2,IF(OR(IF($D15="",FALSE(),AND(S$5&gt;=DATE(YEAR($D15),MONTH($D15),1),S$5&lt;=$E15)),N('WIP Log'!Q15)&lt;&gt;0),N('WIP Log'!Q15),""),IF(IF($D15="",FALSE(),AND(S$5&gt;=DATE(YEAR($D15),MONTH($D15),1),S$5&lt;=$E15)),'Phased Budget'!U15,"")))</f>
        <v/>
      </c>
      <c r="T15" s="42" t="str">
        <f aca="false">IF($B15="","",IF(T$5&lt;=Projects!$C$2,IF(OR(IF($D15="",FALSE(),AND(T$5&gt;=DATE(YEAR($D15),MONTH($D15),1),T$5&lt;=$E15)),N('WIP Log'!R15)&lt;&gt;0),N('WIP Log'!R15),""),IF(IF($D15="",FALSE(),AND(T$5&gt;=DATE(YEAR($D15),MONTH($D15),1),T$5&lt;=$E15)),'Phased Budget'!V15,"")))</f>
        <v/>
      </c>
      <c r="U15" s="42" t="str">
        <f aca="false">IF($B15="","",IF(U$5&lt;=Projects!$C$2,IF(OR(IF($D15="",FALSE(),AND(U$5&gt;=DATE(YEAR($D15),MONTH($D15),1),U$5&lt;=$E15)),N('WIP Log'!S15)&lt;&gt;0),N('WIP Log'!S15),""),IF(IF($D15="",FALSE(),AND(U$5&gt;=DATE(YEAR($D15),MONTH($D15),1),U$5&lt;=$E15)),'Phased Budget'!W15,"")))</f>
        <v/>
      </c>
      <c r="V15" s="42" t="str">
        <f aca="false">IF($B15="","",IF(V$5&lt;=Projects!$C$2,IF(OR(IF($D15="",FALSE(),AND(V$5&gt;=DATE(YEAR($D15),MONTH($D15),1),V$5&lt;=$E15)),N('WIP Log'!T15)&lt;&gt;0),N('WIP Log'!T15),""),IF(IF($D15="",FALSE(),AND(V$5&gt;=DATE(YEAR($D15),MONTH($D15),1),V$5&lt;=$E15)),'Phased Budget'!X15,"")))</f>
        <v/>
      </c>
      <c r="W15" s="42" t="str">
        <f aca="false">IF($B15="","",IF(W$5&lt;=Projects!$C$2,IF(OR(IF($D15="",FALSE(),AND(W$5&gt;=DATE(YEAR($D15),MONTH($D15),1),W$5&lt;=$E15)),N('WIP Log'!U15)&lt;&gt;0),N('WIP Log'!U15),""),IF(IF($D15="",FALSE(),AND(W$5&gt;=DATE(YEAR($D15),MONTH($D15),1),W$5&lt;=$E15)),'Phased Budget'!Y15,"")))</f>
        <v/>
      </c>
      <c r="X15" s="42" t="str">
        <f aca="false">IF($B15="","",IF(X$5&lt;=Projects!$C$2,IF(OR(IF($D15="",FALSE(),AND(X$5&gt;=DATE(YEAR($D15),MONTH($D15),1),X$5&lt;=$E15)),N('WIP Log'!V15)&lt;&gt;0),N('WIP Log'!V15),""),IF(IF($D15="",FALSE(),AND(X$5&gt;=DATE(YEAR($D15),MONTH($D15),1),X$5&lt;=$E15)),'Phased Budget'!Z15,"")))</f>
        <v/>
      </c>
      <c r="Y15" s="42" t="str">
        <f aca="false">IF($B15="","",IF(Y$5&lt;=Projects!$C$2,IF(OR(IF($D15="",FALSE(),AND(Y$5&gt;=DATE(YEAR($D15),MONTH($D15),1),Y$5&lt;=$E15)),N('WIP Log'!W15)&lt;&gt;0),N('WIP Log'!W15),""),IF(IF($D15="",FALSE(),AND(Y$5&gt;=DATE(YEAR($D15),MONTH($D15),1),Y$5&lt;=$E15)),'Phased Budget'!AA15,"")))</f>
        <v/>
      </c>
      <c r="Z15" s="42" t="str">
        <f aca="false">IF($B15="","",IF(Z$5&lt;=Projects!$C$2,IF(OR(IF($D15="",FALSE(),AND(Z$5&gt;=DATE(YEAR($D15),MONTH($D15),1),Z$5&lt;=$E15)),N('WIP Log'!X15)&lt;&gt;0),N('WIP Log'!X15),""),IF(IF($D15="",FALSE(),AND(Z$5&gt;=DATE(YEAR($D15),MONTH($D15),1),Z$5&lt;=$E15)),'Phased Budget'!AB15,"")))</f>
        <v/>
      </c>
      <c r="AA15" s="42" t="str">
        <f aca="false">IF($B15="","",IF(AA$5&lt;=Projects!$C$2,IF(OR(IF($D15="",FALSE(),AND(AA$5&gt;=DATE(YEAR($D15),MONTH($D15),1),AA$5&lt;=$E15)),N('WIP Log'!Y15)&lt;&gt;0),N('WIP Log'!Y15),""),IF(IF($D15="",FALSE(),AND(AA$5&gt;=DATE(YEAR($D15),MONTH($D15),1),AA$5&lt;=$E15)),'Phased Budget'!AC15,"")))</f>
        <v/>
      </c>
      <c r="AB15" s="42" t="str">
        <f aca="false">IF($B15="","",IF(AB$5&lt;=Projects!$C$2,IF(OR(IF($D15="",FALSE(),AND(AB$5&gt;=DATE(YEAR($D15),MONTH($D15),1),AB$5&lt;=$E15)),N('WIP Log'!Z15)&lt;&gt;0),N('WIP Log'!Z15),""),IF(IF($D15="",FALSE(),AND(AB$5&gt;=DATE(YEAR($D15),MONTH($D15),1),AB$5&lt;=$E15)),'Phased Budget'!AD15,"")))</f>
        <v/>
      </c>
      <c r="AC15" s="42" t="str">
        <f aca="false">IF($B15="","",IF(AC$5&lt;=Projects!$C$2,IF(OR(IF($D15="",FALSE(),AND(AC$5&gt;=DATE(YEAR($D15),MONTH($D15),1),AC$5&lt;=$E15)),N('WIP Log'!AA15)&lt;&gt;0),N('WIP Log'!AA15),""),IF(IF($D15="",FALSE(),AND(AC$5&gt;=DATE(YEAR($D15),MONTH($D15),1),AC$5&lt;=$E15)),'Phased Budget'!AE15,"")))</f>
        <v/>
      </c>
      <c r="AD15" s="42" t="str">
        <f aca="false">IF($B15="","",IF(AD$5&lt;=Projects!$C$2,IF(OR(IF($D15="",FALSE(),AND(AD$5&gt;=DATE(YEAR($D15),MONTH($D15),1),AD$5&lt;=$E15)),N('WIP Log'!AB15)&lt;&gt;0),N('WIP Log'!AB15),""),IF(IF($D15="",FALSE(),AND(AD$5&gt;=DATE(YEAR($D15),MONTH($D15),1),AD$5&lt;=$E15)),'Phased Budget'!AF15,"")))</f>
        <v/>
      </c>
      <c r="AE15" s="42" t="str">
        <f aca="false">IF($B15="","",IF(AE$5&lt;=Projects!$C$2,IF(OR(IF($D15="",FALSE(),AND(AE$5&gt;=DATE(YEAR($D15),MONTH($D15),1),AE$5&lt;=$E15)),N('WIP Log'!AC15)&lt;&gt;0),N('WIP Log'!AC15),""),IF(IF($D15="",FALSE(),AND(AE$5&gt;=DATE(YEAR($D15),MONTH($D15),1),AE$5&lt;=$E15)),'Phased Budget'!AG15,"")))</f>
        <v/>
      </c>
      <c r="AF15" s="42" t="str">
        <f aca="false">IF($B15="","",IF(AF$5&lt;=Projects!$C$2,IF(OR(IF($D15="",FALSE(),AND(AF$5&gt;=DATE(YEAR($D15),MONTH($D15),1),AF$5&lt;=$E15)),N('WIP Log'!AD15)&lt;&gt;0),N('WIP Log'!AD15),""),IF(IF($D15="",FALSE(),AND(AF$5&gt;=DATE(YEAR($D15),MONTH($D15),1),AF$5&lt;=$E15)),'Phased Budget'!AH15,"")))</f>
        <v/>
      </c>
      <c r="AG15" s="42" t="str">
        <f aca="false">IF($B15="","",IF(AG$5&lt;=Projects!$C$2,IF(OR(IF($D15="",FALSE(),AND(AG$5&gt;=DATE(YEAR($D15),MONTH($D15),1),AG$5&lt;=$E15)),N('WIP Log'!AE15)&lt;&gt;0),N('WIP Log'!AE15),""),IF(IF($D15="",FALSE(),AND(AG$5&gt;=DATE(YEAR($D15),MONTH($D15),1),AG$5&lt;=$E15)),'Phased Budget'!AI15,"")))</f>
        <v/>
      </c>
      <c r="AH15" s="42" t="str">
        <f aca="false">IF($B15="","",IF(AH$5&lt;=Projects!$C$2,IF(OR(IF($D15="",FALSE(),AND(AH$5&gt;=DATE(YEAR($D15),MONTH($D15),1),AH$5&lt;=$E15)),N('WIP Log'!AF15)&lt;&gt;0),N('WIP Log'!AF15),""),IF(IF($D15="",FALSE(),AND(AH$5&gt;=DATE(YEAR($D15),MONTH($D15),1),AH$5&lt;=$E15)),'Phased Budget'!AJ15,"")))</f>
        <v/>
      </c>
      <c r="AI15" s="42" t="str">
        <f aca="false">IF($B15="","",IF(AI$5&lt;=Projects!$C$2,IF(OR(IF($D15="",FALSE(),AND(AI$5&gt;=DATE(YEAR($D15),MONTH($D15),1),AI$5&lt;=$E15)),N('WIP Log'!AG15)&lt;&gt;0),N('WIP Log'!AG15),""),IF(IF($D15="",FALSE(),AND(AI$5&gt;=DATE(YEAR($D15),MONTH($D15),1),AI$5&lt;=$E15)),'Phased Budget'!AK15,"")))</f>
        <v/>
      </c>
      <c r="AJ15" s="42" t="str">
        <f aca="false">IF($B15="","",IF(AJ$5&lt;=Projects!$C$2,IF(OR(IF($D15="",FALSE(),AND(AJ$5&gt;=DATE(YEAR($D15),MONTH($D15),1),AJ$5&lt;=$E15)),N('WIP Log'!AH15)&lt;&gt;0),N('WIP Log'!AH15),""),IF(IF($D15="",FALSE(),AND(AJ$5&gt;=DATE(YEAR($D15),MONTH($D15),1),AJ$5&lt;=$E15)),'Phased Budget'!AL15,"")))</f>
        <v/>
      </c>
      <c r="AK15" s="42" t="str">
        <f aca="false">IF($B15="","",IF(AK$5&lt;=Projects!$C$2,IF(OR(IF($D15="",FALSE(),AND(AK$5&gt;=DATE(YEAR($D15),MONTH($D15),1),AK$5&lt;=$E15)),N('WIP Log'!AI15)&lt;&gt;0),N('WIP Log'!AI15),""),IF(IF($D15="",FALSE(),AND(AK$5&gt;=DATE(YEAR($D15),MONTH($D15),1),AK$5&lt;=$E15)),'Phased Budget'!AM15,"")))</f>
        <v/>
      </c>
      <c r="AL15" s="42" t="str">
        <f aca="false">IF($B15="","",IF(AL$5&lt;=Projects!$C$2,IF(OR(IF($D15="",FALSE(),AND(AL$5&gt;=DATE(YEAR($D15),MONTH($D15),1),AL$5&lt;=$E15)),N('WIP Log'!AJ15)&lt;&gt;0),N('WIP Log'!AJ15),""),IF(IF($D15="",FALSE(),AND(AL$5&gt;=DATE(YEAR($D15),MONTH($D15),1),AL$5&lt;=$E15)),'Phased Budget'!AN15,"")))</f>
        <v/>
      </c>
      <c r="AM15" s="42" t="str">
        <f aca="false">IF($B15="","",IF(AM$5&lt;=Projects!$C$2,IF(OR(IF($D15="",FALSE(),AND(AM$5&gt;=DATE(YEAR($D15),MONTH($D15),1),AM$5&lt;=$E15)),N('WIP Log'!AK15)&lt;&gt;0),N('WIP Log'!AK15),""),IF(IF($D15="",FALSE(),AND(AM$5&gt;=DATE(YEAR($D15),MONTH($D15),1),AM$5&lt;=$E15)),'Phased Budget'!AO15,"")))</f>
        <v/>
      </c>
      <c r="AN15" s="42" t="str">
        <f aca="false">IF($B15="","",IF(AN$5&lt;=Projects!$C$2,IF(OR(IF($D15="",FALSE(),AND(AN$5&gt;=DATE(YEAR($D15),MONTH($D15),1),AN$5&lt;=$E15)),N('WIP Log'!AL15)&lt;&gt;0),N('WIP Log'!AL15),""),IF(IF($D15="",FALSE(),AND(AN$5&gt;=DATE(YEAR($D15),MONTH($D15),1),AN$5&lt;=$E15)),'Phased Budget'!AP15,"")))</f>
        <v/>
      </c>
      <c r="AO15" s="42" t="str">
        <f aca="false">IF($B15="","",IF(AO$5&lt;=Projects!$C$2,IF(OR(IF($D15="",FALSE(),AND(AO$5&gt;=DATE(YEAR($D15),MONTH($D15),1),AO$5&lt;=$E15)),N('WIP Log'!AM15)&lt;&gt;0),N('WIP Log'!AM15),""),IF(IF($D15="",FALSE(),AND(AO$5&gt;=DATE(YEAR($D15),MONTH($D15),1),AO$5&lt;=$E15)),'Phased Budget'!AQ15,"")))</f>
        <v/>
      </c>
    </row>
    <row r="16" customFormat="false" ht="15" hidden="false" customHeight="false" outlineLevel="0" collapsed="false">
      <c r="A16" s="20" t="n">
        <v>11</v>
      </c>
      <c r="B16" s="40" t="str">
        <f aca="false">IF(Projects!B16="","",Projects!B16)</f>
        <v/>
      </c>
      <c r="C16" s="40" t="str">
        <f aca="false">IF(Projects!C16="","",Projects!C16)</f>
        <v/>
      </c>
      <c r="D16" s="41" t="str">
        <f aca="false">IF(Projects!D16="","",Projects!D16)</f>
        <v/>
      </c>
      <c r="E16" s="41" t="str">
        <f aca="false">IF(Projects!F16="","",Projects!F16)</f>
        <v/>
      </c>
      <c r="F16" s="42" t="str">
        <f aca="false">IF($B16="","",IF(F$5&lt;=Projects!$C$2,IF(OR(IF($D16="",FALSE(),AND(F$5&gt;=DATE(YEAR($D16),MONTH($D16),1),F$5&lt;=$E16)),N('WIP Log'!D16)&lt;&gt;0),N('WIP Log'!D16),""),IF(IF($D16="",FALSE(),AND(F$5&gt;=DATE(YEAR($D16),MONTH($D16),1),F$5&lt;=$E16)),'Phased Budget'!H16,"")))</f>
        <v/>
      </c>
      <c r="G16" s="42" t="str">
        <f aca="false">IF($B16="","",IF(G$5&lt;=Projects!$C$2,IF(OR(IF($D16="",FALSE(),AND(G$5&gt;=DATE(YEAR($D16),MONTH($D16),1),G$5&lt;=$E16)),N('WIP Log'!E16)&lt;&gt;0),N('WIP Log'!E16),""),IF(IF($D16="",FALSE(),AND(G$5&gt;=DATE(YEAR($D16),MONTH($D16),1),G$5&lt;=$E16)),'Phased Budget'!I16,"")))</f>
        <v/>
      </c>
      <c r="H16" s="42" t="str">
        <f aca="false">IF($B16="","",IF(H$5&lt;=Projects!$C$2,IF(OR(IF($D16="",FALSE(),AND(H$5&gt;=DATE(YEAR($D16),MONTH($D16),1),H$5&lt;=$E16)),N('WIP Log'!F16)&lt;&gt;0),N('WIP Log'!F16),""),IF(IF($D16="",FALSE(),AND(H$5&gt;=DATE(YEAR($D16),MONTH($D16),1),H$5&lt;=$E16)),'Phased Budget'!J16,"")))</f>
        <v/>
      </c>
      <c r="I16" s="42" t="str">
        <f aca="false">IF($B16="","",IF(I$5&lt;=Projects!$C$2,IF(OR(IF($D16="",FALSE(),AND(I$5&gt;=DATE(YEAR($D16),MONTH($D16),1),I$5&lt;=$E16)),N('WIP Log'!G16)&lt;&gt;0),N('WIP Log'!G16),""),IF(IF($D16="",FALSE(),AND(I$5&gt;=DATE(YEAR($D16),MONTH($D16),1),I$5&lt;=$E16)),'Phased Budget'!K16,"")))</f>
        <v/>
      </c>
      <c r="J16" s="42" t="str">
        <f aca="false">IF($B16="","",IF(J$5&lt;=Projects!$C$2,IF(OR(IF($D16="",FALSE(),AND(J$5&gt;=DATE(YEAR($D16),MONTH($D16),1),J$5&lt;=$E16)),N('WIP Log'!H16)&lt;&gt;0),N('WIP Log'!H16),""),IF(IF($D16="",FALSE(),AND(J$5&gt;=DATE(YEAR($D16),MONTH($D16),1),J$5&lt;=$E16)),'Phased Budget'!L16,"")))</f>
        <v/>
      </c>
      <c r="K16" s="42" t="str">
        <f aca="false">IF($B16="","",IF(K$5&lt;=Projects!$C$2,IF(OR(IF($D16="",FALSE(),AND(K$5&gt;=DATE(YEAR($D16),MONTH($D16),1),K$5&lt;=$E16)),N('WIP Log'!I16)&lt;&gt;0),N('WIP Log'!I16),""),IF(IF($D16="",FALSE(),AND(K$5&gt;=DATE(YEAR($D16),MONTH($D16),1),K$5&lt;=$E16)),'Phased Budget'!M16,"")))</f>
        <v/>
      </c>
      <c r="L16" s="42" t="str">
        <f aca="false">IF($B16="","",IF(L$5&lt;=Projects!$C$2,IF(OR(IF($D16="",FALSE(),AND(L$5&gt;=DATE(YEAR($D16),MONTH($D16),1),L$5&lt;=$E16)),N('WIP Log'!J16)&lt;&gt;0),N('WIP Log'!J16),""),IF(IF($D16="",FALSE(),AND(L$5&gt;=DATE(YEAR($D16),MONTH($D16),1),L$5&lt;=$E16)),'Phased Budget'!N16,"")))</f>
        <v/>
      </c>
      <c r="M16" s="42" t="str">
        <f aca="false">IF($B16="","",IF(M$5&lt;=Projects!$C$2,IF(OR(IF($D16="",FALSE(),AND(M$5&gt;=DATE(YEAR($D16),MONTH($D16),1),M$5&lt;=$E16)),N('WIP Log'!K16)&lt;&gt;0),N('WIP Log'!K16),""),IF(IF($D16="",FALSE(),AND(M$5&gt;=DATE(YEAR($D16),MONTH($D16),1),M$5&lt;=$E16)),'Phased Budget'!O16,"")))</f>
        <v/>
      </c>
      <c r="N16" s="42" t="str">
        <f aca="false">IF($B16="","",IF(N$5&lt;=Projects!$C$2,IF(OR(IF($D16="",FALSE(),AND(N$5&gt;=DATE(YEAR($D16),MONTH($D16),1),N$5&lt;=$E16)),N('WIP Log'!L16)&lt;&gt;0),N('WIP Log'!L16),""),IF(IF($D16="",FALSE(),AND(N$5&gt;=DATE(YEAR($D16),MONTH($D16),1),N$5&lt;=$E16)),'Phased Budget'!P16,"")))</f>
        <v/>
      </c>
      <c r="O16" s="42" t="str">
        <f aca="false">IF($B16="","",IF(O$5&lt;=Projects!$C$2,IF(OR(IF($D16="",FALSE(),AND(O$5&gt;=DATE(YEAR($D16),MONTH($D16),1),O$5&lt;=$E16)),N('WIP Log'!M16)&lt;&gt;0),N('WIP Log'!M16),""),IF(IF($D16="",FALSE(),AND(O$5&gt;=DATE(YEAR($D16),MONTH($D16),1),O$5&lt;=$E16)),'Phased Budget'!Q16,"")))</f>
        <v/>
      </c>
      <c r="P16" s="42" t="str">
        <f aca="false">IF($B16="","",IF(P$5&lt;=Projects!$C$2,IF(OR(IF($D16="",FALSE(),AND(P$5&gt;=DATE(YEAR($D16),MONTH($D16),1),P$5&lt;=$E16)),N('WIP Log'!N16)&lt;&gt;0),N('WIP Log'!N16),""),IF(IF($D16="",FALSE(),AND(P$5&gt;=DATE(YEAR($D16),MONTH($D16),1),P$5&lt;=$E16)),'Phased Budget'!R16,"")))</f>
        <v/>
      </c>
      <c r="Q16" s="42" t="str">
        <f aca="false">IF($B16="","",IF(Q$5&lt;=Projects!$C$2,IF(OR(IF($D16="",FALSE(),AND(Q$5&gt;=DATE(YEAR($D16),MONTH($D16),1),Q$5&lt;=$E16)),N('WIP Log'!O16)&lt;&gt;0),N('WIP Log'!O16),""),IF(IF($D16="",FALSE(),AND(Q$5&gt;=DATE(YEAR($D16),MONTH($D16),1),Q$5&lt;=$E16)),'Phased Budget'!S16,"")))</f>
        <v/>
      </c>
      <c r="R16" s="42" t="str">
        <f aca="false">IF($B16="","",IF(R$5&lt;=Projects!$C$2,IF(OR(IF($D16="",FALSE(),AND(R$5&gt;=DATE(YEAR($D16),MONTH($D16),1),R$5&lt;=$E16)),N('WIP Log'!P16)&lt;&gt;0),N('WIP Log'!P16),""),IF(IF($D16="",FALSE(),AND(R$5&gt;=DATE(YEAR($D16),MONTH($D16),1),R$5&lt;=$E16)),'Phased Budget'!T16,"")))</f>
        <v/>
      </c>
      <c r="S16" s="42" t="str">
        <f aca="false">IF($B16="","",IF(S$5&lt;=Projects!$C$2,IF(OR(IF($D16="",FALSE(),AND(S$5&gt;=DATE(YEAR($D16),MONTH($D16),1),S$5&lt;=$E16)),N('WIP Log'!Q16)&lt;&gt;0),N('WIP Log'!Q16),""),IF(IF($D16="",FALSE(),AND(S$5&gt;=DATE(YEAR($D16),MONTH($D16),1),S$5&lt;=$E16)),'Phased Budget'!U16,"")))</f>
        <v/>
      </c>
      <c r="T16" s="42" t="str">
        <f aca="false">IF($B16="","",IF(T$5&lt;=Projects!$C$2,IF(OR(IF($D16="",FALSE(),AND(T$5&gt;=DATE(YEAR($D16),MONTH($D16),1),T$5&lt;=$E16)),N('WIP Log'!R16)&lt;&gt;0),N('WIP Log'!R16),""),IF(IF($D16="",FALSE(),AND(T$5&gt;=DATE(YEAR($D16),MONTH($D16),1),T$5&lt;=$E16)),'Phased Budget'!V16,"")))</f>
        <v/>
      </c>
      <c r="U16" s="42" t="str">
        <f aca="false">IF($B16="","",IF(U$5&lt;=Projects!$C$2,IF(OR(IF($D16="",FALSE(),AND(U$5&gt;=DATE(YEAR($D16),MONTH($D16),1),U$5&lt;=$E16)),N('WIP Log'!S16)&lt;&gt;0),N('WIP Log'!S16),""),IF(IF($D16="",FALSE(),AND(U$5&gt;=DATE(YEAR($D16),MONTH($D16),1),U$5&lt;=$E16)),'Phased Budget'!W16,"")))</f>
        <v/>
      </c>
      <c r="V16" s="42" t="str">
        <f aca="false">IF($B16="","",IF(V$5&lt;=Projects!$C$2,IF(OR(IF($D16="",FALSE(),AND(V$5&gt;=DATE(YEAR($D16),MONTH($D16),1),V$5&lt;=$E16)),N('WIP Log'!T16)&lt;&gt;0),N('WIP Log'!T16),""),IF(IF($D16="",FALSE(),AND(V$5&gt;=DATE(YEAR($D16),MONTH($D16),1),V$5&lt;=$E16)),'Phased Budget'!X16,"")))</f>
        <v/>
      </c>
      <c r="W16" s="42" t="str">
        <f aca="false">IF($B16="","",IF(W$5&lt;=Projects!$C$2,IF(OR(IF($D16="",FALSE(),AND(W$5&gt;=DATE(YEAR($D16),MONTH($D16),1),W$5&lt;=$E16)),N('WIP Log'!U16)&lt;&gt;0),N('WIP Log'!U16),""),IF(IF($D16="",FALSE(),AND(W$5&gt;=DATE(YEAR($D16),MONTH($D16),1),W$5&lt;=$E16)),'Phased Budget'!Y16,"")))</f>
        <v/>
      </c>
      <c r="X16" s="42" t="str">
        <f aca="false">IF($B16="","",IF(X$5&lt;=Projects!$C$2,IF(OR(IF($D16="",FALSE(),AND(X$5&gt;=DATE(YEAR($D16),MONTH($D16),1),X$5&lt;=$E16)),N('WIP Log'!V16)&lt;&gt;0),N('WIP Log'!V16),""),IF(IF($D16="",FALSE(),AND(X$5&gt;=DATE(YEAR($D16),MONTH($D16),1),X$5&lt;=$E16)),'Phased Budget'!Z16,"")))</f>
        <v/>
      </c>
      <c r="Y16" s="42" t="str">
        <f aca="false">IF($B16="","",IF(Y$5&lt;=Projects!$C$2,IF(OR(IF($D16="",FALSE(),AND(Y$5&gt;=DATE(YEAR($D16),MONTH($D16),1),Y$5&lt;=$E16)),N('WIP Log'!W16)&lt;&gt;0),N('WIP Log'!W16),""),IF(IF($D16="",FALSE(),AND(Y$5&gt;=DATE(YEAR($D16),MONTH($D16),1),Y$5&lt;=$E16)),'Phased Budget'!AA16,"")))</f>
        <v/>
      </c>
      <c r="Z16" s="42" t="str">
        <f aca="false">IF($B16="","",IF(Z$5&lt;=Projects!$C$2,IF(OR(IF($D16="",FALSE(),AND(Z$5&gt;=DATE(YEAR($D16),MONTH($D16),1),Z$5&lt;=$E16)),N('WIP Log'!X16)&lt;&gt;0),N('WIP Log'!X16),""),IF(IF($D16="",FALSE(),AND(Z$5&gt;=DATE(YEAR($D16),MONTH($D16),1),Z$5&lt;=$E16)),'Phased Budget'!AB16,"")))</f>
        <v/>
      </c>
      <c r="AA16" s="42" t="str">
        <f aca="false">IF($B16="","",IF(AA$5&lt;=Projects!$C$2,IF(OR(IF($D16="",FALSE(),AND(AA$5&gt;=DATE(YEAR($D16),MONTH($D16),1),AA$5&lt;=$E16)),N('WIP Log'!Y16)&lt;&gt;0),N('WIP Log'!Y16),""),IF(IF($D16="",FALSE(),AND(AA$5&gt;=DATE(YEAR($D16),MONTH($D16),1),AA$5&lt;=$E16)),'Phased Budget'!AC16,"")))</f>
        <v/>
      </c>
      <c r="AB16" s="42" t="str">
        <f aca="false">IF($B16="","",IF(AB$5&lt;=Projects!$C$2,IF(OR(IF($D16="",FALSE(),AND(AB$5&gt;=DATE(YEAR($D16),MONTH($D16),1),AB$5&lt;=$E16)),N('WIP Log'!Z16)&lt;&gt;0),N('WIP Log'!Z16),""),IF(IF($D16="",FALSE(),AND(AB$5&gt;=DATE(YEAR($D16),MONTH($D16),1),AB$5&lt;=$E16)),'Phased Budget'!AD16,"")))</f>
        <v/>
      </c>
      <c r="AC16" s="42" t="str">
        <f aca="false">IF($B16="","",IF(AC$5&lt;=Projects!$C$2,IF(OR(IF($D16="",FALSE(),AND(AC$5&gt;=DATE(YEAR($D16),MONTH($D16),1),AC$5&lt;=$E16)),N('WIP Log'!AA16)&lt;&gt;0),N('WIP Log'!AA16),""),IF(IF($D16="",FALSE(),AND(AC$5&gt;=DATE(YEAR($D16),MONTH($D16),1),AC$5&lt;=$E16)),'Phased Budget'!AE16,"")))</f>
        <v/>
      </c>
      <c r="AD16" s="42" t="str">
        <f aca="false">IF($B16="","",IF(AD$5&lt;=Projects!$C$2,IF(OR(IF($D16="",FALSE(),AND(AD$5&gt;=DATE(YEAR($D16),MONTH($D16),1),AD$5&lt;=$E16)),N('WIP Log'!AB16)&lt;&gt;0),N('WIP Log'!AB16),""),IF(IF($D16="",FALSE(),AND(AD$5&gt;=DATE(YEAR($D16),MONTH($D16),1),AD$5&lt;=$E16)),'Phased Budget'!AF16,"")))</f>
        <v/>
      </c>
      <c r="AE16" s="42" t="str">
        <f aca="false">IF($B16="","",IF(AE$5&lt;=Projects!$C$2,IF(OR(IF($D16="",FALSE(),AND(AE$5&gt;=DATE(YEAR($D16),MONTH($D16),1),AE$5&lt;=$E16)),N('WIP Log'!AC16)&lt;&gt;0),N('WIP Log'!AC16),""),IF(IF($D16="",FALSE(),AND(AE$5&gt;=DATE(YEAR($D16),MONTH($D16),1),AE$5&lt;=$E16)),'Phased Budget'!AG16,"")))</f>
        <v/>
      </c>
      <c r="AF16" s="42" t="str">
        <f aca="false">IF($B16="","",IF(AF$5&lt;=Projects!$C$2,IF(OR(IF($D16="",FALSE(),AND(AF$5&gt;=DATE(YEAR($D16),MONTH($D16),1),AF$5&lt;=$E16)),N('WIP Log'!AD16)&lt;&gt;0),N('WIP Log'!AD16),""),IF(IF($D16="",FALSE(),AND(AF$5&gt;=DATE(YEAR($D16),MONTH($D16),1),AF$5&lt;=$E16)),'Phased Budget'!AH16,"")))</f>
        <v/>
      </c>
      <c r="AG16" s="42" t="str">
        <f aca="false">IF($B16="","",IF(AG$5&lt;=Projects!$C$2,IF(OR(IF($D16="",FALSE(),AND(AG$5&gt;=DATE(YEAR($D16),MONTH($D16),1),AG$5&lt;=$E16)),N('WIP Log'!AE16)&lt;&gt;0),N('WIP Log'!AE16),""),IF(IF($D16="",FALSE(),AND(AG$5&gt;=DATE(YEAR($D16),MONTH($D16),1),AG$5&lt;=$E16)),'Phased Budget'!AI16,"")))</f>
        <v/>
      </c>
      <c r="AH16" s="42" t="str">
        <f aca="false">IF($B16="","",IF(AH$5&lt;=Projects!$C$2,IF(OR(IF($D16="",FALSE(),AND(AH$5&gt;=DATE(YEAR($D16),MONTH($D16),1),AH$5&lt;=$E16)),N('WIP Log'!AF16)&lt;&gt;0),N('WIP Log'!AF16),""),IF(IF($D16="",FALSE(),AND(AH$5&gt;=DATE(YEAR($D16),MONTH($D16),1),AH$5&lt;=$E16)),'Phased Budget'!AJ16,"")))</f>
        <v/>
      </c>
      <c r="AI16" s="42" t="str">
        <f aca="false">IF($B16="","",IF(AI$5&lt;=Projects!$C$2,IF(OR(IF($D16="",FALSE(),AND(AI$5&gt;=DATE(YEAR($D16),MONTH($D16),1),AI$5&lt;=$E16)),N('WIP Log'!AG16)&lt;&gt;0),N('WIP Log'!AG16),""),IF(IF($D16="",FALSE(),AND(AI$5&gt;=DATE(YEAR($D16),MONTH($D16),1),AI$5&lt;=$E16)),'Phased Budget'!AK16,"")))</f>
        <v/>
      </c>
      <c r="AJ16" s="42" t="str">
        <f aca="false">IF($B16="","",IF(AJ$5&lt;=Projects!$C$2,IF(OR(IF($D16="",FALSE(),AND(AJ$5&gt;=DATE(YEAR($D16),MONTH($D16),1),AJ$5&lt;=$E16)),N('WIP Log'!AH16)&lt;&gt;0),N('WIP Log'!AH16),""),IF(IF($D16="",FALSE(),AND(AJ$5&gt;=DATE(YEAR($D16),MONTH($D16),1),AJ$5&lt;=$E16)),'Phased Budget'!AL16,"")))</f>
        <v/>
      </c>
      <c r="AK16" s="42" t="str">
        <f aca="false">IF($B16="","",IF(AK$5&lt;=Projects!$C$2,IF(OR(IF($D16="",FALSE(),AND(AK$5&gt;=DATE(YEAR($D16),MONTH($D16),1),AK$5&lt;=$E16)),N('WIP Log'!AI16)&lt;&gt;0),N('WIP Log'!AI16),""),IF(IF($D16="",FALSE(),AND(AK$5&gt;=DATE(YEAR($D16),MONTH($D16),1),AK$5&lt;=$E16)),'Phased Budget'!AM16,"")))</f>
        <v/>
      </c>
      <c r="AL16" s="42" t="str">
        <f aca="false">IF($B16="","",IF(AL$5&lt;=Projects!$C$2,IF(OR(IF($D16="",FALSE(),AND(AL$5&gt;=DATE(YEAR($D16),MONTH($D16),1),AL$5&lt;=$E16)),N('WIP Log'!AJ16)&lt;&gt;0),N('WIP Log'!AJ16),""),IF(IF($D16="",FALSE(),AND(AL$5&gt;=DATE(YEAR($D16),MONTH($D16),1),AL$5&lt;=$E16)),'Phased Budget'!AN16,"")))</f>
        <v/>
      </c>
      <c r="AM16" s="42" t="str">
        <f aca="false">IF($B16="","",IF(AM$5&lt;=Projects!$C$2,IF(OR(IF($D16="",FALSE(),AND(AM$5&gt;=DATE(YEAR($D16),MONTH($D16),1),AM$5&lt;=$E16)),N('WIP Log'!AK16)&lt;&gt;0),N('WIP Log'!AK16),""),IF(IF($D16="",FALSE(),AND(AM$5&gt;=DATE(YEAR($D16),MONTH($D16),1),AM$5&lt;=$E16)),'Phased Budget'!AO16,"")))</f>
        <v/>
      </c>
      <c r="AN16" s="42" t="str">
        <f aca="false">IF($B16="","",IF(AN$5&lt;=Projects!$C$2,IF(OR(IF($D16="",FALSE(),AND(AN$5&gt;=DATE(YEAR($D16),MONTH($D16),1),AN$5&lt;=$E16)),N('WIP Log'!AL16)&lt;&gt;0),N('WIP Log'!AL16),""),IF(IF($D16="",FALSE(),AND(AN$5&gt;=DATE(YEAR($D16),MONTH($D16),1),AN$5&lt;=$E16)),'Phased Budget'!AP16,"")))</f>
        <v/>
      </c>
      <c r="AO16" s="42" t="str">
        <f aca="false">IF($B16="","",IF(AO$5&lt;=Projects!$C$2,IF(OR(IF($D16="",FALSE(),AND(AO$5&gt;=DATE(YEAR($D16),MONTH($D16),1),AO$5&lt;=$E16)),N('WIP Log'!AM16)&lt;&gt;0),N('WIP Log'!AM16),""),IF(IF($D16="",FALSE(),AND(AO$5&gt;=DATE(YEAR($D16),MONTH($D16),1),AO$5&lt;=$E16)),'Phased Budget'!AQ16,"")))</f>
        <v/>
      </c>
    </row>
    <row r="17" customFormat="false" ht="15" hidden="false" customHeight="false" outlineLevel="0" collapsed="false">
      <c r="A17" s="20" t="n">
        <v>12</v>
      </c>
      <c r="B17" s="40" t="str">
        <f aca="false">IF(Projects!B17="","",Projects!B17)</f>
        <v/>
      </c>
      <c r="C17" s="40" t="str">
        <f aca="false">IF(Projects!C17="","",Projects!C17)</f>
        <v/>
      </c>
      <c r="D17" s="41" t="str">
        <f aca="false">IF(Projects!D17="","",Projects!D17)</f>
        <v/>
      </c>
      <c r="E17" s="41" t="str">
        <f aca="false">IF(Projects!F17="","",Projects!F17)</f>
        <v/>
      </c>
      <c r="F17" s="42" t="str">
        <f aca="false">IF($B17="","",IF(F$5&lt;=Projects!$C$2,IF(OR(IF($D17="",FALSE(),AND(F$5&gt;=DATE(YEAR($D17),MONTH($D17),1),F$5&lt;=$E17)),N('WIP Log'!D17)&lt;&gt;0),N('WIP Log'!D17),""),IF(IF($D17="",FALSE(),AND(F$5&gt;=DATE(YEAR($D17),MONTH($D17),1),F$5&lt;=$E17)),'Phased Budget'!H17,"")))</f>
        <v/>
      </c>
      <c r="G17" s="42" t="str">
        <f aca="false">IF($B17="","",IF(G$5&lt;=Projects!$C$2,IF(OR(IF($D17="",FALSE(),AND(G$5&gt;=DATE(YEAR($D17),MONTH($D17),1),G$5&lt;=$E17)),N('WIP Log'!E17)&lt;&gt;0),N('WIP Log'!E17),""),IF(IF($D17="",FALSE(),AND(G$5&gt;=DATE(YEAR($D17),MONTH($D17),1),G$5&lt;=$E17)),'Phased Budget'!I17,"")))</f>
        <v/>
      </c>
      <c r="H17" s="42" t="str">
        <f aca="false">IF($B17="","",IF(H$5&lt;=Projects!$C$2,IF(OR(IF($D17="",FALSE(),AND(H$5&gt;=DATE(YEAR($D17),MONTH($D17),1),H$5&lt;=$E17)),N('WIP Log'!F17)&lt;&gt;0),N('WIP Log'!F17),""),IF(IF($D17="",FALSE(),AND(H$5&gt;=DATE(YEAR($D17),MONTH($D17),1),H$5&lt;=$E17)),'Phased Budget'!J17,"")))</f>
        <v/>
      </c>
      <c r="I17" s="42" t="str">
        <f aca="false">IF($B17="","",IF(I$5&lt;=Projects!$C$2,IF(OR(IF($D17="",FALSE(),AND(I$5&gt;=DATE(YEAR($D17),MONTH($D17),1),I$5&lt;=$E17)),N('WIP Log'!G17)&lt;&gt;0),N('WIP Log'!G17),""),IF(IF($D17="",FALSE(),AND(I$5&gt;=DATE(YEAR($D17),MONTH($D17),1),I$5&lt;=$E17)),'Phased Budget'!K17,"")))</f>
        <v/>
      </c>
      <c r="J17" s="42" t="str">
        <f aca="false">IF($B17="","",IF(J$5&lt;=Projects!$C$2,IF(OR(IF($D17="",FALSE(),AND(J$5&gt;=DATE(YEAR($D17),MONTH($D17),1),J$5&lt;=$E17)),N('WIP Log'!H17)&lt;&gt;0),N('WIP Log'!H17),""),IF(IF($D17="",FALSE(),AND(J$5&gt;=DATE(YEAR($D17),MONTH($D17),1),J$5&lt;=$E17)),'Phased Budget'!L17,"")))</f>
        <v/>
      </c>
      <c r="K17" s="42" t="str">
        <f aca="false">IF($B17="","",IF(K$5&lt;=Projects!$C$2,IF(OR(IF($D17="",FALSE(),AND(K$5&gt;=DATE(YEAR($D17),MONTH($D17),1),K$5&lt;=$E17)),N('WIP Log'!I17)&lt;&gt;0),N('WIP Log'!I17),""),IF(IF($D17="",FALSE(),AND(K$5&gt;=DATE(YEAR($D17),MONTH($D17),1),K$5&lt;=$E17)),'Phased Budget'!M17,"")))</f>
        <v/>
      </c>
      <c r="L17" s="42" t="str">
        <f aca="false">IF($B17="","",IF(L$5&lt;=Projects!$C$2,IF(OR(IF($D17="",FALSE(),AND(L$5&gt;=DATE(YEAR($D17),MONTH($D17),1),L$5&lt;=$E17)),N('WIP Log'!J17)&lt;&gt;0),N('WIP Log'!J17),""),IF(IF($D17="",FALSE(),AND(L$5&gt;=DATE(YEAR($D17),MONTH($D17),1),L$5&lt;=$E17)),'Phased Budget'!N17,"")))</f>
        <v/>
      </c>
      <c r="M17" s="42" t="str">
        <f aca="false">IF($B17="","",IF(M$5&lt;=Projects!$C$2,IF(OR(IF($D17="",FALSE(),AND(M$5&gt;=DATE(YEAR($D17),MONTH($D17),1),M$5&lt;=$E17)),N('WIP Log'!K17)&lt;&gt;0),N('WIP Log'!K17),""),IF(IF($D17="",FALSE(),AND(M$5&gt;=DATE(YEAR($D17),MONTH($D17),1),M$5&lt;=$E17)),'Phased Budget'!O17,"")))</f>
        <v/>
      </c>
      <c r="N17" s="42" t="str">
        <f aca="false">IF($B17="","",IF(N$5&lt;=Projects!$C$2,IF(OR(IF($D17="",FALSE(),AND(N$5&gt;=DATE(YEAR($D17),MONTH($D17),1),N$5&lt;=$E17)),N('WIP Log'!L17)&lt;&gt;0),N('WIP Log'!L17),""),IF(IF($D17="",FALSE(),AND(N$5&gt;=DATE(YEAR($D17),MONTH($D17),1),N$5&lt;=$E17)),'Phased Budget'!P17,"")))</f>
        <v/>
      </c>
      <c r="O17" s="42" t="str">
        <f aca="false">IF($B17="","",IF(O$5&lt;=Projects!$C$2,IF(OR(IF($D17="",FALSE(),AND(O$5&gt;=DATE(YEAR($D17),MONTH($D17),1),O$5&lt;=$E17)),N('WIP Log'!M17)&lt;&gt;0),N('WIP Log'!M17),""),IF(IF($D17="",FALSE(),AND(O$5&gt;=DATE(YEAR($D17),MONTH($D17),1),O$5&lt;=$E17)),'Phased Budget'!Q17,"")))</f>
        <v/>
      </c>
      <c r="P17" s="42" t="str">
        <f aca="false">IF($B17="","",IF(P$5&lt;=Projects!$C$2,IF(OR(IF($D17="",FALSE(),AND(P$5&gt;=DATE(YEAR($D17),MONTH($D17),1),P$5&lt;=$E17)),N('WIP Log'!N17)&lt;&gt;0),N('WIP Log'!N17),""),IF(IF($D17="",FALSE(),AND(P$5&gt;=DATE(YEAR($D17),MONTH($D17),1),P$5&lt;=$E17)),'Phased Budget'!R17,"")))</f>
        <v/>
      </c>
      <c r="Q17" s="42" t="str">
        <f aca="false">IF($B17="","",IF(Q$5&lt;=Projects!$C$2,IF(OR(IF($D17="",FALSE(),AND(Q$5&gt;=DATE(YEAR($D17),MONTH($D17),1),Q$5&lt;=$E17)),N('WIP Log'!O17)&lt;&gt;0),N('WIP Log'!O17),""),IF(IF($D17="",FALSE(),AND(Q$5&gt;=DATE(YEAR($D17),MONTH($D17),1),Q$5&lt;=$E17)),'Phased Budget'!S17,"")))</f>
        <v/>
      </c>
      <c r="R17" s="42" t="str">
        <f aca="false">IF($B17="","",IF(R$5&lt;=Projects!$C$2,IF(OR(IF($D17="",FALSE(),AND(R$5&gt;=DATE(YEAR($D17),MONTH($D17),1),R$5&lt;=$E17)),N('WIP Log'!P17)&lt;&gt;0),N('WIP Log'!P17),""),IF(IF($D17="",FALSE(),AND(R$5&gt;=DATE(YEAR($D17),MONTH($D17),1),R$5&lt;=$E17)),'Phased Budget'!T17,"")))</f>
        <v/>
      </c>
      <c r="S17" s="42" t="str">
        <f aca="false">IF($B17="","",IF(S$5&lt;=Projects!$C$2,IF(OR(IF($D17="",FALSE(),AND(S$5&gt;=DATE(YEAR($D17),MONTH($D17),1),S$5&lt;=$E17)),N('WIP Log'!Q17)&lt;&gt;0),N('WIP Log'!Q17),""),IF(IF($D17="",FALSE(),AND(S$5&gt;=DATE(YEAR($D17),MONTH($D17),1),S$5&lt;=$E17)),'Phased Budget'!U17,"")))</f>
        <v/>
      </c>
      <c r="T17" s="42" t="str">
        <f aca="false">IF($B17="","",IF(T$5&lt;=Projects!$C$2,IF(OR(IF($D17="",FALSE(),AND(T$5&gt;=DATE(YEAR($D17),MONTH($D17),1),T$5&lt;=$E17)),N('WIP Log'!R17)&lt;&gt;0),N('WIP Log'!R17),""),IF(IF($D17="",FALSE(),AND(T$5&gt;=DATE(YEAR($D17),MONTH($D17),1),T$5&lt;=$E17)),'Phased Budget'!V17,"")))</f>
        <v/>
      </c>
      <c r="U17" s="42" t="str">
        <f aca="false">IF($B17="","",IF(U$5&lt;=Projects!$C$2,IF(OR(IF($D17="",FALSE(),AND(U$5&gt;=DATE(YEAR($D17),MONTH($D17),1),U$5&lt;=$E17)),N('WIP Log'!S17)&lt;&gt;0),N('WIP Log'!S17),""),IF(IF($D17="",FALSE(),AND(U$5&gt;=DATE(YEAR($D17),MONTH($D17),1),U$5&lt;=$E17)),'Phased Budget'!W17,"")))</f>
        <v/>
      </c>
      <c r="V17" s="42" t="str">
        <f aca="false">IF($B17="","",IF(V$5&lt;=Projects!$C$2,IF(OR(IF($D17="",FALSE(),AND(V$5&gt;=DATE(YEAR($D17),MONTH($D17),1),V$5&lt;=$E17)),N('WIP Log'!T17)&lt;&gt;0),N('WIP Log'!T17),""),IF(IF($D17="",FALSE(),AND(V$5&gt;=DATE(YEAR($D17),MONTH($D17),1),V$5&lt;=$E17)),'Phased Budget'!X17,"")))</f>
        <v/>
      </c>
      <c r="W17" s="42" t="str">
        <f aca="false">IF($B17="","",IF(W$5&lt;=Projects!$C$2,IF(OR(IF($D17="",FALSE(),AND(W$5&gt;=DATE(YEAR($D17),MONTH($D17),1),W$5&lt;=$E17)),N('WIP Log'!U17)&lt;&gt;0),N('WIP Log'!U17),""),IF(IF($D17="",FALSE(),AND(W$5&gt;=DATE(YEAR($D17),MONTH($D17),1),W$5&lt;=$E17)),'Phased Budget'!Y17,"")))</f>
        <v/>
      </c>
      <c r="X17" s="42" t="str">
        <f aca="false">IF($B17="","",IF(X$5&lt;=Projects!$C$2,IF(OR(IF($D17="",FALSE(),AND(X$5&gt;=DATE(YEAR($D17),MONTH($D17),1),X$5&lt;=$E17)),N('WIP Log'!V17)&lt;&gt;0),N('WIP Log'!V17),""),IF(IF($D17="",FALSE(),AND(X$5&gt;=DATE(YEAR($D17),MONTH($D17),1),X$5&lt;=$E17)),'Phased Budget'!Z17,"")))</f>
        <v/>
      </c>
      <c r="Y17" s="42" t="str">
        <f aca="false">IF($B17="","",IF(Y$5&lt;=Projects!$C$2,IF(OR(IF($D17="",FALSE(),AND(Y$5&gt;=DATE(YEAR($D17),MONTH($D17),1),Y$5&lt;=$E17)),N('WIP Log'!W17)&lt;&gt;0),N('WIP Log'!W17),""),IF(IF($D17="",FALSE(),AND(Y$5&gt;=DATE(YEAR($D17),MONTH($D17),1),Y$5&lt;=$E17)),'Phased Budget'!AA17,"")))</f>
        <v/>
      </c>
      <c r="Z17" s="42" t="str">
        <f aca="false">IF($B17="","",IF(Z$5&lt;=Projects!$C$2,IF(OR(IF($D17="",FALSE(),AND(Z$5&gt;=DATE(YEAR($D17),MONTH($D17),1),Z$5&lt;=$E17)),N('WIP Log'!X17)&lt;&gt;0),N('WIP Log'!X17),""),IF(IF($D17="",FALSE(),AND(Z$5&gt;=DATE(YEAR($D17),MONTH($D17),1),Z$5&lt;=$E17)),'Phased Budget'!AB17,"")))</f>
        <v/>
      </c>
      <c r="AA17" s="42" t="str">
        <f aca="false">IF($B17="","",IF(AA$5&lt;=Projects!$C$2,IF(OR(IF($D17="",FALSE(),AND(AA$5&gt;=DATE(YEAR($D17),MONTH($D17),1),AA$5&lt;=$E17)),N('WIP Log'!Y17)&lt;&gt;0),N('WIP Log'!Y17),""),IF(IF($D17="",FALSE(),AND(AA$5&gt;=DATE(YEAR($D17),MONTH($D17),1),AA$5&lt;=$E17)),'Phased Budget'!AC17,"")))</f>
        <v/>
      </c>
      <c r="AB17" s="42" t="str">
        <f aca="false">IF($B17="","",IF(AB$5&lt;=Projects!$C$2,IF(OR(IF($D17="",FALSE(),AND(AB$5&gt;=DATE(YEAR($D17),MONTH($D17),1),AB$5&lt;=$E17)),N('WIP Log'!Z17)&lt;&gt;0),N('WIP Log'!Z17),""),IF(IF($D17="",FALSE(),AND(AB$5&gt;=DATE(YEAR($D17),MONTH($D17),1),AB$5&lt;=$E17)),'Phased Budget'!AD17,"")))</f>
        <v/>
      </c>
      <c r="AC17" s="42" t="str">
        <f aca="false">IF($B17="","",IF(AC$5&lt;=Projects!$C$2,IF(OR(IF($D17="",FALSE(),AND(AC$5&gt;=DATE(YEAR($D17),MONTH($D17),1),AC$5&lt;=$E17)),N('WIP Log'!AA17)&lt;&gt;0),N('WIP Log'!AA17),""),IF(IF($D17="",FALSE(),AND(AC$5&gt;=DATE(YEAR($D17),MONTH($D17),1),AC$5&lt;=$E17)),'Phased Budget'!AE17,"")))</f>
        <v/>
      </c>
      <c r="AD17" s="42" t="str">
        <f aca="false">IF($B17="","",IF(AD$5&lt;=Projects!$C$2,IF(OR(IF($D17="",FALSE(),AND(AD$5&gt;=DATE(YEAR($D17),MONTH($D17),1),AD$5&lt;=$E17)),N('WIP Log'!AB17)&lt;&gt;0),N('WIP Log'!AB17),""),IF(IF($D17="",FALSE(),AND(AD$5&gt;=DATE(YEAR($D17),MONTH($D17),1),AD$5&lt;=$E17)),'Phased Budget'!AF17,"")))</f>
        <v/>
      </c>
      <c r="AE17" s="42" t="str">
        <f aca="false">IF($B17="","",IF(AE$5&lt;=Projects!$C$2,IF(OR(IF($D17="",FALSE(),AND(AE$5&gt;=DATE(YEAR($D17),MONTH($D17),1),AE$5&lt;=$E17)),N('WIP Log'!AC17)&lt;&gt;0),N('WIP Log'!AC17),""),IF(IF($D17="",FALSE(),AND(AE$5&gt;=DATE(YEAR($D17),MONTH($D17),1),AE$5&lt;=$E17)),'Phased Budget'!AG17,"")))</f>
        <v/>
      </c>
      <c r="AF17" s="42" t="str">
        <f aca="false">IF($B17="","",IF(AF$5&lt;=Projects!$C$2,IF(OR(IF($D17="",FALSE(),AND(AF$5&gt;=DATE(YEAR($D17),MONTH($D17),1),AF$5&lt;=$E17)),N('WIP Log'!AD17)&lt;&gt;0),N('WIP Log'!AD17),""),IF(IF($D17="",FALSE(),AND(AF$5&gt;=DATE(YEAR($D17),MONTH($D17),1),AF$5&lt;=$E17)),'Phased Budget'!AH17,"")))</f>
        <v/>
      </c>
      <c r="AG17" s="42" t="str">
        <f aca="false">IF($B17="","",IF(AG$5&lt;=Projects!$C$2,IF(OR(IF($D17="",FALSE(),AND(AG$5&gt;=DATE(YEAR($D17),MONTH($D17),1),AG$5&lt;=$E17)),N('WIP Log'!AE17)&lt;&gt;0),N('WIP Log'!AE17),""),IF(IF($D17="",FALSE(),AND(AG$5&gt;=DATE(YEAR($D17),MONTH($D17),1),AG$5&lt;=$E17)),'Phased Budget'!AI17,"")))</f>
        <v/>
      </c>
      <c r="AH17" s="42" t="str">
        <f aca="false">IF($B17="","",IF(AH$5&lt;=Projects!$C$2,IF(OR(IF($D17="",FALSE(),AND(AH$5&gt;=DATE(YEAR($D17),MONTH($D17),1),AH$5&lt;=$E17)),N('WIP Log'!AF17)&lt;&gt;0),N('WIP Log'!AF17),""),IF(IF($D17="",FALSE(),AND(AH$5&gt;=DATE(YEAR($D17),MONTH($D17),1),AH$5&lt;=$E17)),'Phased Budget'!AJ17,"")))</f>
        <v/>
      </c>
      <c r="AI17" s="42" t="str">
        <f aca="false">IF($B17="","",IF(AI$5&lt;=Projects!$C$2,IF(OR(IF($D17="",FALSE(),AND(AI$5&gt;=DATE(YEAR($D17),MONTH($D17),1),AI$5&lt;=$E17)),N('WIP Log'!AG17)&lt;&gt;0),N('WIP Log'!AG17),""),IF(IF($D17="",FALSE(),AND(AI$5&gt;=DATE(YEAR($D17),MONTH($D17),1),AI$5&lt;=$E17)),'Phased Budget'!AK17,"")))</f>
        <v/>
      </c>
      <c r="AJ17" s="42" t="str">
        <f aca="false">IF($B17="","",IF(AJ$5&lt;=Projects!$C$2,IF(OR(IF($D17="",FALSE(),AND(AJ$5&gt;=DATE(YEAR($D17),MONTH($D17),1),AJ$5&lt;=$E17)),N('WIP Log'!AH17)&lt;&gt;0),N('WIP Log'!AH17),""),IF(IF($D17="",FALSE(),AND(AJ$5&gt;=DATE(YEAR($D17),MONTH($D17),1),AJ$5&lt;=$E17)),'Phased Budget'!AL17,"")))</f>
        <v/>
      </c>
      <c r="AK17" s="42" t="str">
        <f aca="false">IF($B17="","",IF(AK$5&lt;=Projects!$C$2,IF(OR(IF($D17="",FALSE(),AND(AK$5&gt;=DATE(YEAR($D17),MONTH($D17),1),AK$5&lt;=$E17)),N('WIP Log'!AI17)&lt;&gt;0),N('WIP Log'!AI17),""),IF(IF($D17="",FALSE(),AND(AK$5&gt;=DATE(YEAR($D17),MONTH($D17),1),AK$5&lt;=$E17)),'Phased Budget'!AM17,"")))</f>
        <v/>
      </c>
      <c r="AL17" s="42" t="str">
        <f aca="false">IF($B17="","",IF(AL$5&lt;=Projects!$C$2,IF(OR(IF($D17="",FALSE(),AND(AL$5&gt;=DATE(YEAR($D17),MONTH($D17),1),AL$5&lt;=$E17)),N('WIP Log'!AJ17)&lt;&gt;0),N('WIP Log'!AJ17),""),IF(IF($D17="",FALSE(),AND(AL$5&gt;=DATE(YEAR($D17),MONTH($D17),1),AL$5&lt;=$E17)),'Phased Budget'!AN17,"")))</f>
        <v/>
      </c>
      <c r="AM17" s="42" t="str">
        <f aca="false">IF($B17="","",IF(AM$5&lt;=Projects!$C$2,IF(OR(IF($D17="",FALSE(),AND(AM$5&gt;=DATE(YEAR($D17),MONTH($D17),1),AM$5&lt;=$E17)),N('WIP Log'!AK17)&lt;&gt;0),N('WIP Log'!AK17),""),IF(IF($D17="",FALSE(),AND(AM$5&gt;=DATE(YEAR($D17),MONTH($D17),1),AM$5&lt;=$E17)),'Phased Budget'!AO17,"")))</f>
        <v/>
      </c>
      <c r="AN17" s="42" t="str">
        <f aca="false">IF($B17="","",IF(AN$5&lt;=Projects!$C$2,IF(OR(IF($D17="",FALSE(),AND(AN$5&gt;=DATE(YEAR($D17),MONTH($D17),1),AN$5&lt;=$E17)),N('WIP Log'!AL17)&lt;&gt;0),N('WIP Log'!AL17),""),IF(IF($D17="",FALSE(),AND(AN$5&gt;=DATE(YEAR($D17),MONTH($D17),1),AN$5&lt;=$E17)),'Phased Budget'!AP17,"")))</f>
        <v/>
      </c>
      <c r="AO17" s="42" t="str">
        <f aca="false">IF($B17="","",IF(AO$5&lt;=Projects!$C$2,IF(OR(IF($D17="",FALSE(),AND(AO$5&gt;=DATE(YEAR($D17),MONTH($D17),1),AO$5&lt;=$E17)),N('WIP Log'!AM17)&lt;&gt;0),N('WIP Log'!AM17),""),IF(IF($D17="",FALSE(),AND(AO$5&gt;=DATE(YEAR($D17),MONTH($D17),1),AO$5&lt;=$E17)),'Phased Budget'!AQ17,"")))</f>
        <v/>
      </c>
    </row>
    <row r="18" customFormat="false" ht="15" hidden="false" customHeight="false" outlineLevel="0" collapsed="false">
      <c r="A18" s="20" t="n">
        <v>13</v>
      </c>
      <c r="B18" s="40" t="str">
        <f aca="false">IF(Projects!B18="","",Projects!B18)</f>
        <v/>
      </c>
      <c r="C18" s="40" t="str">
        <f aca="false">IF(Projects!C18="","",Projects!C18)</f>
        <v/>
      </c>
      <c r="D18" s="41" t="str">
        <f aca="false">IF(Projects!D18="","",Projects!D18)</f>
        <v/>
      </c>
      <c r="E18" s="41" t="str">
        <f aca="false">IF(Projects!F18="","",Projects!F18)</f>
        <v/>
      </c>
      <c r="F18" s="42" t="str">
        <f aca="false">IF($B18="","",IF(F$5&lt;=Projects!$C$2,IF(OR(IF($D18="",FALSE(),AND(F$5&gt;=DATE(YEAR($D18),MONTH($D18),1),F$5&lt;=$E18)),N('WIP Log'!D18)&lt;&gt;0),N('WIP Log'!D18),""),IF(IF($D18="",FALSE(),AND(F$5&gt;=DATE(YEAR($D18),MONTH($D18),1),F$5&lt;=$E18)),'Phased Budget'!H18,"")))</f>
        <v/>
      </c>
      <c r="G18" s="42" t="str">
        <f aca="false">IF($B18="","",IF(G$5&lt;=Projects!$C$2,IF(OR(IF($D18="",FALSE(),AND(G$5&gt;=DATE(YEAR($D18),MONTH($D18),1),G$5&lt;=$E18)),N('WIP Log'!E18)&lt;&gt;0),N('WIP Log'!E18),""),IF(IF($D18="",FALSE(),AND(G$5&gt;=DATE(YEAR($D18),MONTH($D18),1),G$5&lt;=$E18)),'Phased Budget'!I18,"")))</f>
        <v/>
      </c>
      <c r="H18" s="42" t="str">
        <f aca="false">IF($B18="","",IF(H$5&lt;=Projects!$C$2,IF(OR(IF($D18="",FALSE(),AND(H$5&gt;=DATE(YEAR($D18),MONTH($D18),1),H$5&lt;=$E18)),N('WIP Log'!F18)&lt;&gt;0),N('WIP Log'!F18),""),IF(IF($D18="",FALSE(),AND(H$5&gt;=DATE(YEAR($D18),MONTH($D18),1),H$5&lt;=$E18)),'Phased Budget'!J18,"")))</f>
        <v/>
      </c>
      <c r="I18" s="42" t="str">
        <f aca="false">IF($B18="","",IF(I$5&lt;=Projects!$C$2,IF(OR(IF($D18="",FALSE(),AND(I$5&gt;=DATE(YEAR($D18),MONTH($D18),1),I$5&lt;=$E18)),N('WIP Log'!G18)&lt;&gt;0),N('WIP Log'!G18),""),IF(IF($D18="",FALSE(),AND(I$5&gt;=DATE(YEAR($D18),MONTH($D18),1),I$5&lt;=$E18)),'Phased Budget'!K18,"")))</f>
        <v/>
      </c>
      <c r="J18" s="42" t="str">
        <f aca="false">IF($B18="","",IF(J$5&lt;=Projects!$C$2,IF(OR(IF($D18="",FALSE(),AND(J$5&gt;=DATE(YEAR($D18),MONTH($D18),1),J$5&lt;=$E18)),N('WIP Log'!H18)&lt;&gt;0),N('WIP Log'!H18),""),IF(IF($D18="",FALSE(),AND(J$5&gt;=DATE(YEAR($D18),MONTH($D18),1),J$5&lt;=$E18)),'Phased Budget'!L18,"")))</f>
        <v/>
      </c>
      <c r="K18" s="42" t="str">
        <f aca="false">IF($B18="","",IF(K$5&lt;=Projects!$C$2,IF(OR(IF($D18="",FALSE(),AND(K$5&gt;=DATE(YEAR($D18),MONTH($D18),1),K$5&lt;=$E18)),N('WIP Log'!I18)&lt;&gt;0),N('WIP Log'!I18),""),IF(IF($D18="",FALSE(),AND(K$5&gt;=DATE(YEAR($D18),MONTH($D18),1),K$5&lt;=$E18)),'Phased Budget'!M18,"")))</f>
        <v/>
      </c>
      <c r="L18" s="42" t="str">
        <f aca="false">IF($B18="","",IF(L$5&lt;=Projects!$C$2,IF(OR(IF($D18="",FALSE(),AND(L$5&gt;=DATE(YEAR($D18),MONTH($D18),1),L$5&lt;=$E18)),N('WIP Log'!J18)&lt;&gt;0),N('WIP Log'!J18),""),IF(IF($D18="",FALSE(),AND(L$5&gt;=DATE(YEAR($D18),MONTH($D18),1),L$5&lt;=$E18)),'Phased Budget'!N18,"")))</f>
        <v/>
      </c>
      <c r="M18" s="42" t="str">
        <f aca="false">IF($B18="","",IF(M$5&lt;=Projects!$C$2,IF(OR(IF($D18="",FALSE(),AND(M$5&gt;=DATE(YEAR($D18),MONTH($D18),1),M$5&lt;=$E18)),N('WIP Log'!K18)&lt;&gt;0),N('WIP Log'!K18),""),IF(IF($D18="",FALSE(),AND(M$5&gt;=DATE(YEAR($D18),MONTH($D18),1),M$5&lt;=$E18)),'Phased Budget'!O18,"")))</f>
        <v/>
      </c>
      <c r="N18" s="42" t="str">
        <f aca="false">IF($B18="","",IF(N$5&lt;=Projects!$C$2,IF(OR(IF($D18="",FALSE(),AND(N$5&gt;=DATE(YEAR($D18),MONTH($D18),1),N$5&lt;=$E18)),N('WIP Log'!L18)&lt;&gt;0),N('WIP Log'!L18),""),IF(IF($D18="",FALSE(),AND(N$5&gt;=DATE(YEAR($D18),MONTH($D18),1),N$5&lt;=$E18)),'Phased Budget'!P18,"")))</f>
        <v/>
      </c>
      <c r="O18" s="42" t="str">
        <f aca="false">IF($B18="","",IF(O$5&lt;=Projects!$C$2,IF(OR(IF($D18="",FALSE(),AND(O$5&gt;=DATE(YEAR($D18),MONTH($D18),1),O$5&lt;=$E18)),N('WIP Log'!M18)&lt;&gt;0),N('WIP Log'!M18),""),IF(IF($D18="",FALSE(),AND(O$5&gt;=DATE(YEAR($D18),MONTH($D18),1),O$5&lt;=$E18)),'Phased Budget'!Q18,"")))</f>
        <v/>
      </c>
      <c r="P18" s="42" t="str">
        <f aca="false">IF($B18="","",IF(P$5&lt;=Projects!$C$2,IF(OR(IF($D18="",FALSE(),AND(P$5&gt;=DATE(YEAR($D18),MONTH($D18),1),P$5&lt;=$E18)),N('WIP Log'!N18)&lt;&gt;0),N('WIP Log'!N18),""),IF(IF($D18="",FALSE(),AND(P$5&gt;=DATE(YEAR($D18),MONTH($D18),1),P$5&lt;=$E18)),'Phased Budget'!R18,"")))</f>
        <v/>
      </c>
      <c r="Q18" s="42" t="str">
        <f aca="false">IF($B18="","",IF(Q$5&lt;=Projects!$C$2,IF(OR(IF($D18="",FALSE(),AND(Q$5&gt;=DATE(YEAR($D18),MONTH($D18),1),Q$5&lt;=$E18)),N('WIP Log'!O18)&lt;&gt;0),N('WIP Log'!O18),""),IF(IF($D18="",FALSE(),AND(Q$5&gt;=DATE(YEAR($D18),MONTH($D18),1),Q$5&lt;=$E18)),'Phased Budget'!S18,"")))</f>
        <v/>
      </c>
      <c r="R18" s="42" t="str">
        <f aca="false">IF($B18="","",IF(R$5&lt;=Projects!$C$2,IF(OR(IF($D18="",FALSE(),AND(R$5&gt;=DATE(YEAR($D18),MONTH($D18),1),R$5&lt;=$E18)),N('WIP Log'!P18)&lt;&gt;0),N('WIP Log'!P18),""),IF(IF($D18="",FALSE(),AND(R$5&gt;=DATE(YEAR($D18),MONTH($D18),1),R$5&lt;=$E18)),'Phased Budget'!T18,"")))</f>
        <v/>
      </c>
      <c r="S18" s="42" t="str">
        <f aca="false">IF($B18="","",IF(S$5&lt;=Projects!$C$2,IF(OR(IF($D18="",FALSE(),AND(S$5&gt;=DATE(YEAR($D18),MONTH($D18),1),S$5&lt;=$E18)),N('WIP Log'!Q18)&lt;&gt;0),N('WIP Log'!Q18),""),IF(IF($D18="",FALSE(),AND(S$5&gt;=DATE(YEAR($D18),MONTH($D18),1),S$5&lt;=$E18)),'Phased Budget'!U18,"")))</f>
        <v/>
      </c>
      <c r="T18" s="42" t="str">
        <f aca="false">IF($B18="","",IF(T$5&lt;=Projects!$C$2,IF(OR(IF($D18="",FALSE(),AND(T$5&gt;=DATE(YEAR($D18),MONTH($D18),1),T$5&lt;=$E18)),N('WIP Log'!R18)&lt;&gt;0),N('WIP Log'!R18),""),IF(IF($D18="",FALSE(),AND(T$5&gt;=DATE(YEAR($D18),MONTH($D18),1),T$5&lt;=$E18)),'Phased Budget'!V18,"")))</f>
        <v/>
      </c>
      <c r="U18" s="42" t="str">
        <f aca="false">IF($B18="","",IF(U$5&lt;=Projects!$C$2,IF(OR(IF($D18="",FALSE(),AND(U$5&gt;=DATE(YEAR($D18),MONTH($D18),1),U$5&lt;=$E18)),N('WIP Log'!S18)&lt;&gt;0),N('WIP Log'!S18),""),IF(IF($D18="",FALSE(),AND(U$5&gt;=DATE(YEAR($D18),MONTH($D18),1),U$5&lt;=$E18)),'Phased Budget'!W18,"")))</f>
        <v/>
      </c>
      <c r="V18" s="42" t="str">
        <f aca="false">IF($B18="","",IF(V$5&lt;=Projects!$C$2,IF(OR(IF($D18="",FALSE(),AND(V$5&gt;=DATE(YEAR($D18),MONTH($D18),1),V$5&lt;=$E18)),N('WIP Log'!T18)&lt;&gt;0),N('WIP Log'!T18),""),IF(IF($D18="",FALSE(),AND(V$5&gt;=DATE(YEAR($D18),MONTH($D18),1),V$5&lt;=$E18)),'Phased Budget'!X18,"")))</f>
        <v/>
      </c>
      <c r="W18" s="42" t="str">
        <f aca="false">IF($B18="","",IF(W$5&lt;=Projects!$C$2,IF(OR(IF($D18="",FALSE(),AND(W$5&gt;=DATE(YEAR($D18),MONTH($D18),1),W$5&lt;=$E18)),N('WIP Log'!U18)&lt;&gt;0),N('WIP Log'!U18),""),IF(IF($D18="",FALSE(),AND(W$5&gt;=DATE(YEAR($D18),MONTH($D18),1),W$5&lt;=$E18)),'Phased Budget'!Y18,"")))</f>
        <v/>
      </c>
      <c r="X18" s="42" t="str">
        <f aca="false">IF($B18="","",IF(X$5&lt;=Projects!$C$2,IF(OR(IF($D18="",FALSE(),AND(X$5&gt;=DATE(YEAR($D18),MONTH($D18),1),X$5&lt;=$E18)),N('WIP Log'!V18)&lt;&gt;0),N('WIP Log'!V18),""),IF(IF($D18="",FALSE(),AND(X$5&gt;=DATE(YEAR($D18),MONTH($D18),1),X$5&lt;=$E18)),'Phased Budget'!Z18,"")))</f>
        <v/>
      </c>
      <c r="Y18" s="42" t="str">
        <f aca="false">IF($B18="","",IF(Y$5&lt;=Projects!$C$2,IF(OR(IF($D18="",FALSE(),AND(Y$5&gt;=DATE(YEAR($D18),MONTH($D18),1),Y$5&lt;=$E18)),N('WIP Log'!W18)&lt;&gt;0),N('WIP Log'!W18),""),IF(IF($D18="",FALSE(),AND(Y$5&gt;=DATE(YEAR($D18),MONTH($D18),1),Y$5&lt;=$E18)),'Phased Budget'!AA18,"")))</f>
        <v/>
      </c>
      <c r="Z18" s="42" t="str">
        <f aca="false">IF($B18="","",IF(Z$5&lt;=Projects!$C$2,IF(OR(IF($D18="",FALSE(),AND(Z$5&gt;=DATE(YEAR($D18),MONTH($D18),1),Z$5&lt;=$E18)),N('WIP Log'!X18)&lt;&gt;0),N('WIP Log'!X18),""),IF(IF($D18="",FALSE(),AND(Z$5&gt;=DATE(YEAR($D18),MONTH($D18),1),Z$5&lt;=$E18)),'Phased Budget'!AB18,"")))</f>
        <v/>
      </c>
      <c r="AA18" s="42" t="str">
        <f aca="false">IF($B18="","",IF(AA$5&lt;=Projects!$C$2,IF(OR(IF($D18="",FALSE(),AND(AA$5&gt;=DATE(YEAR($D18),MONTH($D18),1),AA$5&lt;=$E18)),N('WIP Log'!Y18)&lt;&gt;0),N('WIP Log'!Y18),""),IF(IF($D18="",FALSE(),AND(AA$5&gt;=DATE(YEAR($D18),MONTH($D18),1),AA$5&lt;=$E18)),'Phased Budget'!AC18,"")))</f>
        <v/>
      </c>
      <c r="AB18" s="42" t="str">
        <f aca="false">IF($B18="","",IF(AB$5&lt;=Projects!$C$2,IF(OR(IF($D18="",FALSE(),AND(AB$5&gt;=DATE(YEAR($D18),MONTH($D18),1),AB$5&lt;=$E18)),N('WIP Log'!Z18)&lt;&gt;0),N('WIP Log'!Z18),""),IF(IF($D18="",FALSE(),AND(AB$5&gt;=DATE(YEAR($D18),MONTH($D18),1),AB$5&lt;=$E18)),'Phased Budget'!AD18,"")))</f>
        <v/>
      </c>
      <c r="AC18" s="42" t="str">
        <f aca="false">IF($B18="","",IF(AC$5&lt;=Projects!$C$2,IF(OR(IF($D18="",FALSE(),AND(AC$5&gt;=DATE(YEAR($D18),MONTH($D18),1),AC$5&lt;=$E18)),N('WIP Log'!AA18)&lt;&gt;0),N('WIP Log'!AA18),""),IF(IF($D18="",FALSE(),AND(AC$5&gt;=DATE(YEAR($D18),MONTH($D18),1),AC$5&lt;=$E18)),'Phased Budget'!AE18,"")))</f>
        <v/>
      </c>
      <c r="AD18" s="42" t="str">
        <f aca="false">IF($B18="","",IF(AD$5&lt;=Projects!$C$2,IF(OR(IF($D18="",FALSE(),AND(AD$5&gt;=DATE(YEAR($D18),MONTH($D18),1),AD$5&lt;=$E18)),N('WIP Log'!AB18)&lt;&gt;0),N('WIP Log'!AB18),""),IF(IF($D18="",FALSE(),AND(AD$5&gt;=DATE(YEAR($D18),MONTH($D18),1),AD$5&lt;=$E18)),'Phased Budget'!AF18,"")))</f>
        <v/>
      </c>
      <c r="AE18" s="42" t="str">
        <f aca="false">IF($B18="","",IF(AE$5&lt;=Projects!$C$2,IF(OR(IF($D18="",FALSE(),AND(AE$5&gt;=DATE(YEAR($D18),MONTH($D18),1),AE$5&lt;=$E18)),N('WIP Log'!AC18)&lt;&gt;0),N('WIP Log'!AC18),""),IF(IF($D18="",FALSE(),AND(AE$5&gt;=DATE(YEAR($D18),MONTH($D18),1),AE$5&lt;=$E18)),'Phased Budget'!AG18,"")))</f>
        <v/>
      </c>
      <c r="AF18" s="42" t="str">
        <f aca="false">IF($B18="","",IF(AF$5&lt;=Projects!$C$2,IF(OR(IF($D18="",FALSE(),AND(AF$5&gt;=DATE(YEAR($D18),MONTH($D18),1),AF$5&lt;=$E18)),N('WIP Log'!AD18)&lt;&gt;0),N('WIP Log'!AD18),""),IF(IF($D18="",FALSE(),AND(AF$5&gt;=DATE(YEAR($D18),MONTH($D18),1),AF$5&lt;=$E18)),'Phased Budget'!AH18,"")))</f>
        <v/>
      </c>
      <c r="AG18" s="42" t="str">
        <f aca="false">IF($B18="","",IF(AG$5&lt;=Projects!$C$2,IF(OR(IF($D18="",FALSE(),AND(AG$5&gt;=DATE(YEAR($D18),MONTH($D18),1),AG$5&lt;=$E18)),N('WIP Log'!AE18)&lt;&gt;0),N('WIP Log'!AE18),""),IF(IF($D18="",FALSE(),AND(AG$5&gt;=DATE(YEAR($D18),MONTH($D18),1),AG$5&lt;=$E18)),'Phased Budget'!AI18,"")))</f>
        <v/>
      </c>
      <c r="AH18" s="42" t="str">
        <f aca="false">IF($B18="","",IF(AH$5&lt;=Projects!$C$2,IF(OR(IF($D18="",FALSE(),AND(AH$5&gt;=DATE(YEAR($D18),MONTH($D18),1),AH$5&lt;=$E18)),N('WIP Log'!AF18)&lt;&gt;0),N('WIP Log'!AF18),""),IF(IF($D18="",FALSE(),AND(AH$5&gt;=DATE(YEAR($D18),MONTH($D18),1),AH$5&lt;=$E18)),'Phased Budget'!AJ18,"")))</f>
        <v/>
      </c>
      <c r="AI18" s="42" t="str">
        <f aca="false">IF($B18="","",IF(AI$5&lt;=Projects!$C$2,IF(OR(IF($D18="",FALSE(),AND(AI$5&gt;=DATE(YEAR($D18),MONTH($D18),1),AI$5&lt;=$E18)),N('WIP Log'!AG18)&lt;&gt;0),N('WIP Log'!AG18),""),IF(IF($D18="",FALSE(),AND(AI$5&gt;=DATE(YEAR($D18),MONTH($D18),1),AI$5&lt;=$E18)),'Phased Budget'!AK18,"")))</f>
        <v/>
      </c>
      <c r="AJ18" s="42" t="str">
        <f aca="false">IF($B18="","",IF(AJ$5&lt;=Projects!$C$2,IF(OR(IF($D18="",FALSE(),AND(AJ$5&gt;=DATE(YEAR($D18),MONTH($D18),1),AJ$5&lt;=$E18)),N('WIP Log'!AH18)&lt;&gt;0),N('WIP Log'!AH18),""),IF(IF($D18="",FALSE(),AND(AJ$5&gt;=DATE(YEAR($D18),MONTH($D18),1),AJ$5&lt;=$E18)),'Phased Budget'!AL18,"")))</f>
        <v/>
      </c>
      <c r="AK18" s="42" t="str">
        <f aca="false">IF($B18="","",IF(AK$5&lt;=Projects!$C$2,IF(OR(IF($D18="",FALSE(),AND(AK$5&gt;=DATE(YEAR($D18),MONTH($D18),1),AK$5&lt;=$E18)),N('WIP Log'!AI18)&lt;&gt;0),N('WIP Log'!AI18),""),IF(IF($D18="",FALSE(),AND(AK$5&gt;=DATE(YEAR($D18),MONTH($D18),1),AK$5&lt;=$E18)),'Phased Budget'!AM18,"")))</f>
        <v/>
      </c>
      <c r="AL18" s="42" t="str">
        <f aca="false">IF($B18="","",IF(AL$5&lt;=Projects!$C$2,IF(OR(IF($D18="",FALSE(),AND(AL$5&gt;=DATE(YEAR($D18),MONTH($D18),1),AL$5&lt;=$E18)),N('WIP Log'!AJ18)&lt;&gt;0),N('WIP Log'!AJ18),""),IF(IF($D18="",FALSE(),AND(AL$5&gt;=DATE(YEAR($D18),MONTH($D18),1),AL$5&lt;=$E18)),'Phased Budget'!AN18,"")))</f>
        <v/>
      </c>
      <c r="AM18" s="42" t="str">
        <f aca="false">IF($B18="","",IF(AM$5&lt;=Projects!$C$2,IF(OR(IF($D18="",FALSE(),AND(AM$5&gt;=DATE(YEAR($D18),MONTH($D18),1),AM$5&lt;=$E18)),N('WIP Log'!AK18)&lt;&gt;0),N('WIP Log'!AK18),""),IF(IF($D18="",FALSE(),AND(AM$5&gt;=DATE(YEAR($D18),MONTH($D18),1),AM$5&lt;=$E18)),'Phased Budget'!AO18,"")))</f>
        <v/>
      </c>
      <c r="AN18" s="42" t="str">
        <f aca="false">IF($B18="","",IF(AN$5&lt;=Projects!$C$2,IF(OR(IF($D18="",FALSE(),AND(AN$5&gt;=DATE(YEAR($D18),MONTH($D18),1),AN$5&lt;=$E18)),N('WIP Log'!AL18)&lt;&gt;0),N('WIP Log'!AL18),""),IF(IF($D18="",FALSE(),AND(AN$5&gt;=DATE(YEAR($D18),MONTH($D18),1),AN$5&lt;=$E18)),'Phased Budget'!AP18,"")))</f>
        <v/>
      </c>
      <c r="AO18" s="42" t="str">
        <f aca="false">IF($B18="","",IF(AO$5&lt;=Projects!$C$2,IF(OR(IF($D18="",FALSE(),AND(AO$5&gt;=DATE(YEAR($D18),MONTH($D18),1),AO$5&lt;=$E18)),N('WIP Log'!AM18)&lt;&gt;0),N('WIP Log'!AM18),""),IF(IF($D18="",FALSE(),AND(AO$5&gt;=DATE(YEAR($D18),MONTH($D18),1),AO$5&lt;=$E18)),'Phased Budget'!AQ18,"")))</f>
        <v/>
      </c>
    </row>
    <row r="19" customFormat="false" ht="15" hidden="false" customHeight="false" outlineLevel="0" collapsed="false">
      <c r="A19" s="20" t="n">
        <v>14</v>
      </c>
      <c r="B19" s="40" t="str">
        <f aca="false">IF(Projects!B19="","",Projects!B19)</f>
        <v/>
      </c>
      <c r="C19" s="40" t="str">
        <f aca="false">IF(Projects!C19="","",Projects!C19)</f>
        <v/>
      </c>
      <c r="D19" s="41" t="str">
        <f aca="false">IF(Projects!D19="","",Projects!D19)</f>
        <v/>
      </c>
      <c r="E19" s="41" t="str">
        <f aca="false">IF(Projects!F19="","",Projects!F19)</f>
        <v/>
      </c>
      <c r="F19" s="42" t="str">
        <f aca="false">IF($B19="","",IF(F$5&lt;=Projects!$C$2,IF(OR(IF($D19="",FALSE(),AND(F$5&gt;=DATE(YEAR($D19),MONTH($D19),1),F$5&lt;=$E19)),N('WIP Log'!D19)&lt;&gt;0),N('WIP Log'!D19),""),IF(IF($D19="",FALSE(),AND(F$5&gt;=DATE(YEAR($D19),MONTH($D19),1),F$5&lt;=$E19)),'Phased Budget'!H19,"")))</f>
        <v/>
      </c>
      <c r="G19" s="42" t="str">
        <f aca="false">IF($B19="","",IF(G$5&lt;=Projects!$C$2,IF(OR(IF($D19="",FALSE(),AND(G$5&gt;=DATE(YEAR($D19),MONTH($D19),1),G$5&lt;=$E19)),N('WIP Log'!E19)&lt;&gt;0),N('WIP Log'!E19),""),IF(IF($D19="",FALSE(),AND(G$5&gt;=DATE(YEAR($D19),MONTH($D19),1),G$5&lt;=$E19)),'Phased Budget'!I19,"")))</f>
        <v/>
      </c>
      <c r="H19" s="42" t="str">
        <f aca="false">IF($B19="","",IF(H$5&lt;=Projects!$C$2,IF(OR(IF($D19="",FALSE(),AND(H$5&gt;=DATE(YEAR($D19),MONTH($D19),1),H$5&lt;=$E19)),N('WIP Log'!F19)&lt;&gt;0),N('WIP Log'!F19),""),IF(IF($D19="",FALSE(),AND(H$5&gt;=DATE(YEAR($D19),MONTH($D19),1),H$5&lt;=$E19)),'Phased Budget'!J19,"")))</f>
        <v/>
      </c>
      <c r="I19" s="42" t="str">
        <f aca="false">IF($B19="","",IF(I$5&lt;=Projects!$C$2,IF(OR(IF($D19="",FALSE(),AND(I$5&gt;=DATE(YEAR($D19),MONTH($D19),1),I$5&lt;=$E19)),N('WIP Log'!G19)&lt;&gt;0),N('WIP Log'!G19),""),IF(IF($D19="",FALSE(),AND(I$5&gt;=DATE(YEAR($D19),MONTH($D19),1),I$5&lt;=$E19)),'Phased Budget'!K19,"")))</f>
        <v/>
      </c>
      <c r="J19" s="42" t="str">
        <f aca="false">IF($B19="","",IF(J$5&lt;=Projects!$C$2,IF(OR(IF($D19="",FALSE(),AND(J$5&gt;=DATE(YEAR($D19),MONTH($D19),1),J$5&lt;=$E19)),N('WIP Log'!H19)&lt;&gt;0),N('WIP Log'!H19),""),IF(IF($D19="",FALSE(),AND(J$5&gt;=DATE(YEAR($D19),MONTH($D19),1),J$5&lt;=$E19)),'Phased Budget'!L19,"")))</f>
        <v/>
      </c>
      <c r="K19" s="42" t="str">
        <f aca="false">IF($B19="","",IF(K$5&lt;=Projects!$C$2,IF(OR(IF($D19="",FALSE(),AND(K$5&gt;=DATE(YEAR($D19),MONTH($D19),1),K$5&lt;=$E19)),N('WIP Log'!I19)&lt;&gt;0),N('WIP Log'!I19),""),IF(IF($D19="",FALSE(),AND(K$5&gt;=DATE(YEAR($D19),MONTH($D19),1),K$5&lt;=$E19)),'Phased Budget'!M19,"")))</f>
        <v/>
      </c>
      <c r="L19" s="42" t="str">
        <f aca="false">IF($B19="","",IF(L$5&lt;=Projects!$C$2,IF(OR(IF($D19="",FALSE(),AND(L$5&gt;=DATE(YEAR($D19),MONTH($D19),1),L$5&lt;=$E19)),N('WIP Log'!J19)&lt;&gt;0),N('WIP Log'!J19),""),IF(IF($D19="",FALSE(),AND(L$5&gt;=DATE(YEAR($D19),MONTH($D19),1),L$5&lt;=$E19)),'Phased Budget'!N19,"")))</f>
        <v/>
      </c>
      <c r="M19" s="42" t="str">
        <f aca="false">IF($B19="","",IF(M$5&lt;=Projects!$C$2,IF(OR(IF($D19="",FALSE(),AND(M$5&gt;=DATE(YEAR($D19),MONTH($D19),1),M$5&lt;=$E19)),N('WIP Log'!K19)&lt;&gt;0),N('WIP Log'!K19),""),IF(IF($D19="",FALSE(),AND(M$5&gt;=DATE(YEAR($D19),MONTH($D19),1),M$5&lt;=$E19)),'Phased Budget'!O19,"")))</f>
        <v/>
      </c>
      <c r="N19" s="42" t="str">
        <f aca="false">IF($B19="","",IF(N$5&lt;=Projects!$C$2,IF(OR(IF($D19="",FALSE(),AND(N$5&gt;=DATE(YEAR($D19),MONTH($D19),1),N$5&lt;=$E19)),N('WIP Log'!L19)&lt;&gt;0),N('WIP Log'!L19),""),IF(IF($D19="",FALSE(),AND(N$5&gt;=DATE(YEAR($D19),MONTH($D19),1),N$5&lt;=$E19)),'Phased Budget'!P19,"")))</f>
        <v/>
      </c>
      <c r="O19" s="42" t="str">
        <f aca="false">IF($B19="","",IF(O$5&lt;=Projects!$C$2,IF(OR(IF($D19="",FALSE(),AND(O$5&gt;=DATE(YEAR($D19),MONTH($D19),1),O$5&lt;=$E19)),N('WIP Log'!M19)&lt;&gt;0),N('WIP Log'!M19),""),IF(IF($D19="",FALSE(),AND(O$5&gt;=DATE(YEAR($D19),MONTH($D19),1),O$5&lt;=$E19)),'Phased Budget'!Q19,"")))</f>
        <v/>
      </c>
      <c r="P19" s="42" t="str">
        <f aca="false">IF($B19="","",IF(P$5&lt;=Projects!$C$2,IF(OR(IF($D19="",FALSE(),AND(P$5&gt;=DATE(YEAR($D19),MONTH($D19),1),P$5&lt;=$E19)),N('WIP Log'!N19)&lt;&gt;0),N('WIP Log'!N19),""),IF(IF($D19="",FALSE(),AND(P$5&gt;=DATE(YEAR($D19),MONTH($D19),1),P$5&lt;=$E19)),'Phased Budget'!R19,"")))</f>
        <v/>
      </c>
      <c r="Q19" s="42" t="str">
        <f aca="false">IF($B19="","",IF(Q$5&lt;=Projects!$C$2,IF(OR(IF($D19="",FALSE(),AND(Q$5&gt;=DATE(YEAR($D19),MONTH($D19),1),Q$5&lt;=$E19)),N('WIP Log'!O19)&lt;&gt;0),N('WIP Log'!O19),""),IF(IF($D19="",FALSE(),AND(Q$5&gt;=DATE(YEAR($D19),MONTH($D19),1),Q$5&lt;=$E19)),'Phased Budget'!S19,"")))</f>
        <v/>
      </c>
      <c r="R19" s="42" t="str">
        <f aca="false">IF($B19="","",IF(R$5&lt;=Projects!$C$2,IF(OR(IF($D19="",FALSE(),AND(R$5&gt;=DATE(YEAR($D19),MONTH($D19),1),R$5&lt;=$E19)),N('WIP Log'!P19)&lt;&gt;0),N('WIP Log'!P19),""),IF(IF($D19="",FALSE(),AND(R$5&gt;=DATE(YEAR($D19),MONTH($D19),1),R$5&lt;=$E19)),'Phased Budget'!T19,"")))</f>
        <v/>
      </c>
      <c r="S19" s="42" t="str">
        <f aca="false">IF($B19="","",IF(S$5&lt;=Projects!$C$2,IF(OR(IF($D19="",FALSE(),AND(S$5&gt;=DATE(YEAR($D19),MONTH($D19),1),S$5&lt;=$E19)),N('WIP Log'!Q19)&lt;&gt;0),N('WIP Log'!Q19),""),IF(IF($D19="",FALSE(),AND(S$5&gt;=DATE(YEAR($D19),MONTH($D19),1),S$5&lt;=$E19)),'Phased Budget'!U19,"")))</f>
        <v/>
      </c>
      <c r="T19" s="42" t="str">
        <f aca="false">IF($B19="","",IF(T$5&lt;=Projects!$C$2,IF(OR(IF($D19="",FALSE(),AND(T$5&gt;=DATE(YEAR($D19),MONTH($D19),1),T$5&lt;=$E19)),N('WIP Log'!R19)&lt;&gt;0),N('WIP Log'!R19),""),IF(IF($D19="",FALSE(),AND(T$5&gt;=DATE(YEAR($D19),MONTH($D19),1),T$5&lt;=$E19)),'Phased Budget'!V19,"")))</f>
        <v/>
      </c>
      <c r="U19" s="42" t="str">
        <f aca="false">IF($B19="","",IF(U$5&lt;=Projects!$C$2,IF(OR(IF($D19="",FALSE(),AND(U$5&gt;=DATE(YEAR($D19),MONTH($D19),1),U$5&lt;=$E19)),N('WIP Log'!S19)&lt;&gt;0),N('WIP Log'!S19),""),IF(IF($D19="",FALSE(),AND(U$5&gt;=DATE(YEAR($D19),MONTH($D19),1),U$5&lt;=$E19)),'Phased Budget'!W19,"")))</f>
        <v/>
      </c>
      <c r="V19" s="42" t="str">
        <f aca="false">IF($B19="","",IF(V$5&lt;=Projects!$C$2,IF(OR(IF($D19="",FALSE(),AND(V$5&gt;=DATE(YEAR($D19),MONTH($D19),1),V$5&lt;=$E19)),N('WIP Log'!T19)&lt;&gt;0),N('WIP Log'!T19),""),IF(IF($D19="",FALSE(),AND(V$5&gt;=DATE(YEAR($D19),MONTH($D19),1),V$5&lt;=$E19)),'Phased Budget'!X19,"")))</f>
        <v/>
      </c>
      <c r="W19" s="42" t="str">
        <f aca="false">IF($B19="","",IF(W$5&lt;=Projects!$C$2,IF(OR(IF($D19="",FALSE(),AND(W$5&gt;=DATE(YEAR($D19),MONTH($D19),1),W$5&lt;=$E19)),N('WIP Log'!U19)&lt;&gt;0),N('WIP Log'!U19),""),IF(IF($D19="",FALSE(),AND(W$5&gt;=DATE(YEAR($D19),MONTH($D19),1),W$5&lt;=$E19)),'Phased Budget'!Y19,"")))</f>
        <v/>
      </c>
      <c r="X19" s="42" t="str">
        <f aca="false">IF($B19="","",IF(X$5&lt;=Projects!$C$2,IF(OR(IF($D19="",FALSE(),AND(X$5&gt;=DATE(YEAR($D19),MONTH($D19),1),X$5&lt;=$E19)),N('WIP Log'!V19)&lt;&gt;0),N('WIP Log'!V19),""),IF(IF($D19="",FALSE(),AND(X$5&gt;=DATE(YEAR($D19),MONTH($D19),1),X$5&lt;=$E19)),'Phased Budget'!Z19,"")))</f>
        <v/>
      </c>
      <c r="Y19" s="42" t="str">
        <f aca="false">IF($B19="","",IF(Y$5&lt;=Projects!$C$2,IF(OR(IF($D19="",FALSE(),AND(Y$5&gt;=DATE(YEAR($D19),MONTH($D19),1),Y$5&lt;=$E19)),N('WIP Log'!W19)&lt;&gt;0),N('WIP Log'!W19),""),IF(IF($D19="",FALSE(),AND(Y$5&gt;=DATE(YEAR($D19),MONTH($D19),1),Y$5&lt;=$E19)),'Phased Budget'!AA19,"")))</f>
        <v/>
      </c>
      <c r="Z19" s="42" t="str">
        <f aca="false">IF($B19="","",IF(Z$5&lt;=Projects!$C$2,IF(OR(IF($D19="",FALSE(),AND(Z$5&gt;=DATE(YEAR($D19),MONTH($D19),1),Z$5&lt;=$E19)),N('WIP Log'!X19)&lt;&gt;0),N('WIP Log'!X19),""),IF(IF($D19="",FALSE(),AND(Z$5&gt;=DATE(YEAR($D19),MONTH($D19),1),Z$5&lt;=$E19)),'Phased Budget'!AB19,"")))</f>
        <v/>
      </c>
      <c r="AA19" s="42" t="str">
        <f aca="false">IF($B19="","",IF(AA$5&lt;=Projects!$C$2,IF(OR(IF($D19="",FALSE(),AND(AA$5&gt;=DATE(YEAR($D19),MONTH($D19),1),AA$5&lt;=$E19)),N('WIP Log'!Y19)&lt;&gt;0),N('WIP Log'!Y19),""),IF(IF($D19="",FALSE(),AND(AA$5&gt;=DATE(YEAR($D19),MONTH($D19),1),AA$5&lt;=$E19)),'Phased Budget'!AC19,"")))</f>
        <v/>
      </c>
      <c r="AB19" s="42" t="str">
        <f aca="false">IF($B19="","",IF(AB$5&lt;=Projects!$C$2,IF(OR(IF($D19="",FALSE(),AND(AB$5&gt;=DATE(YEAR($D19),MONTH($D19),1),AB$5&lt;=$E19)),N('WIP Log'!Z19)&lt;&gt;0),N('WIP Log'!Z19),""),IF(IF($D19="",FALSE(),AND(AB$5&gt;=DATE(YEAR($D19),MONTH($D19),1),AB$5&lt;=$E19)),'Phased Budget'!AD19,"")))</f>
        <v/>
      </c>
      <c r="AC19" s="42" t="str">
        <f aca="false">IF($B19="","",IF(AC$5&lt;=Projects!$C$2,IF(OR(IF($D19="",FALSE(),AND(AC$5&gt;=DATE(YEAR($D19),MONTH($D19),1),AC$5&lt;=$E19)),N('WIP Log'!AA19)&lt;&gt;0),N('WIP Log'!AA19),""),IF(IF($D19="",FALSE(),AND(AC$5&gt;=DATE(YEAR($D19),MONTH($D19),1),AC$5&lt;=$E19)),'Phased Budget'!AE19,"")))</f>
        <v/>
      </c>
      <c r="AD19" s="42" t="str">
        <f aca="false">IF($B19="","",IF(AD$5&lt;=Projects!$C$2,IF(OR(IF($D19="",FALSE(),AND(AD$5&gt;=DATE(YEAR($D19),MONTH($D19),1),AD$5&lt;=$E19)),N('WIP Log'!AB19)&lt;&gt;0),N('WIP Log'!AB19),""),IF(IF($D19="",FALSE(),AND(AD$5&gt;=DATE(YEAR($D19),MONTH($D19),1),AD$5&lt;=$E19)),'Phased Budget'!AF19,"")))</f>
        <v/>
      </c>
      <c r="AE19" s="42" t="str">
        <f aca="false">IF($B19="","",IF(AE$5&lt;=Projects!$C$2,IF(OR(IF($D19="",FALSE(),AND(AE$5&gt;=DATE(YEAR($D19),MONTH($D19),1),AE$5&lt;=$E19)),N('WIP Log'!AC19)&lt;&gt;0),N('WIP Log'!AC19),""),IF(IF($D19="",FALSE(),AND(AE$5&gt;=DATE(YEAR($D19),MONTH($D19),1),AE$5&lt;=$E19)),'Phased Budget'!AG19,"")))</f>
        <v/>
      </c>
      <c r="AF19" s="42" t="str">
        <f aca="false">IF($B19="","",IF(AF$5&lt;=Projects!$C$2,IF(OR(IF($D19="",FALSE(),AND(AF$5&gt;=DATE(YEAR($D19),MONTH($D19),1),AF$5&lt;=$E19)),N('WIP Log'!AD19)&lt;&gt;0),N('WIP Log'!AD19),""),IF(IF($D19="",FALSE(),AND(AF$5&gt;=DATE(YEAR($D19),MONTH($D19),1),AF$5&lt;=$E19)),'Phased Budget'!AH19,"")))</f>
        <v/>
      </c>
      <c r="AG19" s="42" t="str">
        <f aca="false">IF($B19="","",IF(AG$5&lt;=Projects!$C$2,IF(OR(IF($D19="",FALSE(),AND(AG$5&gt;=DATE(YEAR($D19),MONTH($D19),1),AG$5&lt;=$E19)),N('WIP Log'!AE19)&lt;&gt;0),N('WIP Log'!AE19),""),IF(IF($D19="",FALSE(),AND(AG$5&gt;=DATE(YEAR($D19),MONTH($D19),1),AG$5&lt;=$E19)),'Phased Budget'!AI19,"")))</f>
        <v/>
      </c>
      <c r="AH19" s="42" t="str">
        <f aca="false">IF($B19="","",IF(AH$5&lt;=Projects!$C$2,IF(OR(IF($D19="",FALSE(),AND(AH$5&gt;=DATE(YEAR($D19),MONTH($D19),1),AH$5&lt;=$E19)),N('WIP Log'!AF19)&lt;&gt;0),N('WIP Log'!AF19),""),IF(IF($D19="",FALSE(),AND(AH$5&gt;=DATE(YEAR($D19),MONTH($D19),1),AH$5&lt;=$E19)),'Phased Budget'!AJ19,"")))</f>
        <v/>
      </c>
      <c r="AI19" s="42" t="str">
        <f aca="false">IF($B19="","",IF(AI$5&lt;=Projects!$C$2,IF(OR(IF($D19="",FALSE(),AND(AI$5&gt;=DATE(YEAR($D19),MONTH($D19),1),AI$5&lt;=$E19)),N('WIP Log'!AG19)&lt;&gt;0),N('WIP Log'!AG19),""),IF(IF($D19="",FALSE(),AND(AI$5&gt;=DATE(YEAR($D19),MONTH($D19),1),AI$5&lt;=$E19)),'Phased Budget'!AK19,"")))</f>
        <v/>
      </c>
      <c r="AJ19" s="42" t="str">
        <f aca="false">IF($B19="","",IF(AJ$5&lt;=Projects!$C$2,IF(OR(IF($D19="",FALSE(),AND(AJ$5&gt;=DATE(YEAR($D19),MONTH($D19),1),AJ$5&lt;=$E19)),N('WIP Log'!AH19)&lt;&gt;0),N('WIP Log'!AH19),""),IF(IF($D19="",FALSE(),AND(AJ$5&gt;=DATE(YEAR($D19),MONTH($D19),1),AJ$5&lt;=$E19)),'Phased Budget'!AL19,"")))</f>
        <v/>
      </c>
      <c r="AK19" s="42" t="str">
        <f aca="false">IF($B19="","",IF(AK$5&lt;=Projects!$C$2,IF(OR(IF($D19="",FALSE(),AND(AK$5&gt;=DATE(YEAR($D19),MONTH($D19),1),AK$5&lt;=$E19)),N('WIP Log'!AI19)&lt;&gt;0),N('WIP Log'!AI19),""),IF(IF($D19="",FALSE(),AND(AK$5&gt;=DATE(YEAR($D19),MONTH($D19),1),AK$5&lt;=$E19)),'Phased Budget'!AM19,"")))</f>
        <v/>
      </c>
      <c r="AL19" s="42" t="str">
        <f aca="false">IF($B19="","",IF(AL$5&lt;=Projects!$C$2,IF(OR(IF($D19="",FALSE(),AND(AL$5&gt;=DATE(YEAR($D19),MONTH($D19),1),AL$5&lt;=$E19)),N('WIP Log'!AJ19)&lt;&gt;0),N('WIP Log'!AJ19),""),IF(IF($D19="",FALSE(),AND(AL$5&gt;=DATE(YEAR($D19),MONTH($D19),1),AL$5&lt;=$E19)),'Phased Budget'!AN19,"")))</f>
        <v/>
      </c>
      <c r="AM19" s="42" t="str">
        <f aca="false">IF($B19="","",IF(AM$5&lt;=Projects!$C$2,IF(OR(IF($D19="",FALSE(),AND(AM$5&gt;=DATE(YEAR($D19),MONTH($D19),1),AM$5&lt;=$E19)),N('WIP Log'!AK19)&lt;&gt;0),N('WIP Log'!AK19),""),IF(IF($D19="",FALSE(),AND(AM$5&gt;=DATE(YEAR($D19),MONTH($D19),1),AM$5&lt;=$E19)),'Phased Budget'!AO19,"")))</f>
        <v/>
      </c>
      <c r="AN19" s="42" t="str">
        <f aca="false">IF($B19="","",IF(AN$5&lt;=Projects!$C$2,IF(OR(IF($D19="",FALSE(),AND(AN$5&gt;=DATE(YEAR($D19),MONTH($D19),1),AN$5&lt;=$E19)),N('WIP Log'!AL19)&lt;&gt;0),N('WIP Log'!AL19),""),IF(IF($D19="",FALSE(),AND(AN$5&gt;=DATE(YEAR($D19),MONTH($D19),1),AN$5&lt;=$E19)),'Phased Budget'!AP19,"")))</f>
        <v/>
      </c>
      <c r="AO19" s="42" t="str">
        <f aca="false">IF($B19="","",IF(AO$5&lt;=Projects!$C$2,IF(OR(IF($D19="",FALSE(),AND(AO$5&gt;=DATE(YEAR($D19),MONTH($D19),1),AO$5&lt;=$E19)),N('WIP Log'!AM19)&lt;&gt;0),N('WIP Log'!AM19),""),IF(IF($D19="",FALSE(),AND(AO$5&gt;=DATE(YEAR($D19),MONTH($D19),1),AO$5&lt;=$E19)),'Phased Budget'!AQ19,"")))</f>
        <v/>
      </c>
    </row>
    <row r="20" customFormat="false" ht="15" hidden="false" customHeight="false" outlineLevel="0" collapsed="false">
      <c r="A20" s="20" t="n">
        <v>15</v>
      </c>
      <c r="B20" s="40" t="str">
        <f aca="false">IF(Projects!B20="","",Projects!B20)</f>
        <v/>
      </c>
      <c r="C20" s="40" t="str">
        <f aca="false">IF(Projects!C20="","",Projects!C20)</f>
        <v/>
      </c>
      <c r="D20" s="41" t="str">
        <f aca="false">IF(Projects!D20="","",Projects!D20)</f>
        <v/>
      </c>
      <c r="E20" s="41" t="str">
        <f aca="false">IF(Projects!F20="","",Projects!F20)</f>
        <v/>
      </c>
      <c r="F20" s="42" t="str">
        <f aca="false">IF($B20="","",IF(F$5&lt;=Projects!$C$2,IF(OR(IF($D20="",FALSE(),AND(F$5&gt;=DATE(YEAR($D20),MONTH($D20),1),F$5&lt;=$E20)),N('WIP Log'!D20)&lt;&gt;0),N('WIP Log'!D20),""),IF(IF($D20="",FALSE(),AND(F$5&gt;=DATE(YEAR($D20),MONTH($D20),1),F$5&lt;=$E20)),'Phased Budget'!H20,"")))</f>
        <v/>
      </c>
      <c r="G20" s="42" t="str">
        <f aca="false">IF($B20="","",IF(G$5&lt;=Projects!$C$2,IF(OR(IF($D20="",FALSE(),AND(G$5&gt;=DATE(YEAR($D20),MONTH($D20),1),G$5&lt;=$E20)),N('WIP Log'!E20)&lt;&gt;0),N('WIP Log'!E20),""),IF(IF($D20="",FALSE(),AND(G$5&gt;=DATE(YEAR($D20),MONTH($D20),1),G$5&lt;=$E20)),'Phased Budget'!I20,"")))</f>
        <v/>
      </c>
      <c r="H20" s="42" t="str">
        <f aca="false">IF($B20="","",IF(H$5&lt;=Projects!$C$2,IF(OR(IF($D20="",FALSE(),AND(H$5&gt;=DATE(YEAR($D20),MONTH($D20),1),H$5&lt;=$E20)),N('WIP Log'!F20)&lt;&gt;0),N('WIP Log'!F20),""),IF(IF($D20="",FALSE(),AND(H$5&gt;=DATE(YEAR($D20),MONTH($D20),1),H$5&lt;=$E20)),'Phased Budget'!J20,"")))</f>
        <v/>
      </c>
      <c r="I20" s="42" t="str">
        <f aca="false">IF($B20="","",IF(I$5&lt;=Projects!$C$2,IF(OR(IF($D20="",FALSE(),AND(I$5&gt;=DATE(YEAR($D20),MONTH($D20),1),I$5&lt;=$E20)),N('WIP Log'!G20)&lt;&gt;0),N('WIP Log'!G20),""),IF(IF($D20="",FALSE(),AND(I$5&gt;=DATE(YEAR($D20),MONTH($D20),1),I$5&lt;=$E20)),'Phased Budget'!K20,"")))</f>
        <v/>
      </c>
      <c r="J20" s="42" t="str">
        <f aca="false">IF($B20="","",IF(J$5&lt;=Projects!$C$2,IF(OR(IF($D20="",FALSE(),AND(J$5&gt;=DATE(YEAR($D20),MONTH($D20),1),J$5&lt;=$E20)),N('WIP Log'!H20)&lt;&gt;0),N('WIP Log'!H20),""),IF(IF($D20="",FALSE(),AND(J$5&gt;=DATE(YEAR($D20),MONTH($D20),1),J$5&lt;=$E20)),'Phased Budget'!L20,"")))</f>
        <v/>
      </c>
      <c r="K20" s="42" t="str">
        <f aca="false">IF($B20="","",IF(K$5&lt;=Projects!$C$2,IF(OR(IF($D20="",FALSE(),AND(K$5&gt;=DATE(YEAR($D20),MONTH($D20),1),K$5&lt;=$E20)),N('WIP Log'!I20)&lt;&gt;0),N('WIP Log'!I20),""),IF(IF($D20="",FALSE(),AND(K$5&gt;=DATE(YEAR($D20),MONTH($D20),1),K$5&lt;=$E20)),'Phased Budget'!M20,"")))</f>
        <v/>
      </c>
      <c r="L20" s="42" t="str">
        <f aca="false">IF($B20="","",IF(L$5&lt;=Projects!$C$2,IF(OR(IF($D20="",FALSE(),AND(L$5&gt;=DATE(YEAR($D20),MONTH($D20),1),L$5&lt;=$E20)),N('WIP Log'!J20)&lt;&gt;0),N('WIP Log'!J20),""),IF(IF($D20="",FALSE(),AND(L$5&gt;=DATE(YEAR($D20),MONTH($D20),1),L$5&lt;=$E20)),'Phased Budget'!N20,"")))</f>
        <v/>
      </c>
      <c r="M20" s="42" t="str">
        <f aca="false">IF($B20="","",IF(M$5&lt;=Projects!$C$2,IF(OR(IF($D20="",FALSE(),AND(M$5&gt;=DATE(YEAR($D20),MONTH($D20),1),M$5&lt;=$E20)),N('WIP Log'!K20)&lt;&gt;0),N('WIP Log'!K20),""),IF(IF($D20="",FALSE(),AND(M$5&gt;=DATE(YEAR($D20),MONTH($D20),1),M$5&lt;=$E20)),'Phased Budget'!O20,"")))</f>
        <v/>
      </c>
      <c r="N20" s="42" t="str">
        <f aca="false">IF($B20="","",IF(N$5&lt;=Projects!$C$2,IF(OR(IF($D20="",FALSE(),AND(N$5&gt;=DATE(YEAR($D20),MONTH($D20),1),N$5&lt;=$E20)),N('WIP Log'!L20)&lt;&gt;0),N('WIP Log'!L20),""),IF(IF($D20="",FALSE(),AND(N$5&gt;=DATE(YEAR($D20),MONTH($D20),1),N$5&lt;=$E20)),'Phased Budget'!P20,"")))</f>
        <v/>
      </c>
      <c r="O20" s="42" t="str">
        <f aca="false">IF($B20="","",IF(O$5&lt;=Projects!$C$2,IF(OR(IF($D20="",FALSE(),AND(O$5&gt;=DATE(YEAR($D20),MONTH($D20),1),O$5&lt;=$E20)),N('WIP Log'!M20)&lt;&gt;0),N('WIP Log'!M20),""),IF(IF($D20="",FALSE(),AND(O$5&gt;=DATE(YEAR($D20),MONTH($D20),1),O$5&lt;=$E20)),'Phased Budget'!Q20,"")))</f>
        <v/>
      </c>
      <c r="P20" s="42" t="str">
        <f aca="false">IF($B20="","",IF(P$5&lt;=Projects!$C$2,IF(OR(IF($D20="",FALSE(),AND(P$5&gt;=DATE(YEAR($D20),MONTH($D20),1),P$5&lt;=$E20)),N('WIP Log'!N20)&lt;&gt;0),N('WIP Log'!N20),""),IF(IF($D20="",FALSE(),AND(P$5&gt;=DATE(YEAR($D20),MONTH($D20),1),P$5&lt;=$E20)),'Phased Budget'!R20,"")))</f>
        <v/>
      </c>
      <c r="Q20" s="42" t="str">
        <f aca="false">IF($B20="","",IF(Q$5&lt;=Projects!$C$2,IF(OR(IF($D20="",FALSE(),AND(Q$5&gt;=DATE(YEAR($D20),MONTH($D20),1),Q$5&lt;=$E20)),N('WIP Log'!O20)&lt;&gt;0),N('WIP Log'!O20),""),IF(IF($D20="",FALSE(),AND(Q$5&gt;=DATE(YEAR($D20),MONTH($D20),1),Q$5&lt;=$E20)),'Phased Budget'!S20,"")))</f>
        <v/>
      </c>
      <c r="R20" s="42" t="str">
        <f aca="false">IF($B20="","",IF(R$5&lt;=Projects!$C$2,IF(OR(IF($D20="",FALSE(),AND(R$5&gt;=DATE(YEAR($D20),MONTH($D20),1),R$5&lt;=$E20)),N('WIP Log'!P20)&lt;&gt;0),N('WIP Log'!P20),""),IF(IF($D20="",FALSE(),AND(R$5&gt;=DATE(YEAR($D20),MONTH($D20),1),R$5&lt;=$E20)),'Phased Budget'!T20,"")))</f>
        <v/>
      </c>
      <c r="S20" s="42" t="str">
        <f aca="false">IF($B20="","",IF(S$5&lt;=Projects!$C$2,IF(OR(IF($D20="",FALSE(),AND(S$5&gt;=DATE(YEAR($D20),MONTH($D20),1),S$5&lt;=$E20)),N('WIP Log'!Q20)&lt;&gt;0),N('WIP Log'!Q20),""),IF(IF($D20="",FALSE(),AND(S$5&gt;=DATE(YEAR($D20),MONTH($D20),1),S$5&lt;=$E20)),'Phased Budget'!U20,"")))</f>
        <v/>
      </c>
      <c r="T20" s="42" t="str">
        <f aca="false">IF($B20="","",IF(T$5&lt;=Projects!$C$2,IF(OR(IF($D20="",FALSE(),AND(T$5&gt;=DATE(YEAR($D20),MONTH($D20),1),T$5&lt;=$E20)),N('WIP Log'!R20)&lt;&gt;0),N('WIP Log'!R20),""),IF(IF($D20="",FALSE(),AND(T$5&gt;=DATE(YEAR($D20),MONTH($D20),1),T$5&lt;=$E20)),'Phased Budget'!V20,"")))</f>
        <v/>
      </c>
      <c r="U20" s="42" t="str">
        <f aca="false">IF($B20="","",IF(U$5&lt;=Projects!$C$2,IF(OR(IF($D20="",FALSE(),AND(U$5&gt;=DATE(YEAR($D20),MONTH($D20),1),U$5&lt;=$E20)),N('WIP Log'!S20)&lt;&gt;0),N('WIP Log'!S20),""),IF(IF($D20="",FALSE(),AND(U$5&gt;=DATE(YEAR($D20),MONTH($D20),1),U$5&lt;=$E20)),'Phased Budget'!W20,"")))</f>
        <v/>
      </c>
      <c r="V20" s="42" t="str">
        <f aca="false">IF($B20="","",IF(V$5&lt;=Projects!$C$2,IF(OR(IF($D20="",FALSE(),AND(V$5&gt;=DATE(YEAR($D20),MONTH($D20),1),V$5&lt;=$E20)),N('WIP Log'!T20)&lt;&gt;0),N('WIP Log'!T20),""),IF(IF($D20="",FALSE(),AND(V$5&gt;=DATE(YEAR($D20),MONTH($D20),1),V$5&lt;=$E20)),'Phased Budget'!X20,"")))</f>
        <v/>
      </c>
      <c r="W20" s="42" t="str">
        <f aca="false">IF($B20="","",IF(W$5&lt;=Projects!$C$2,IF(OR(IF($D20="",FALSE(),AND(W$5&gt;=DATE(YEAR($D20),MONTH($D20),1),W$5&lt;=$E20)),N('WIP Log'!U20)&lt;&gt;0),N('WIP Log'!U20),""),IF(IF($D20="",FALSE(),AND(W$5&gt;=DATE(YEAR($D20),MONTH($D20),1),W$5&lt;=$E20)),'Phased Budget'!Y20,"")))</f>
        <v/>
      </c>
      <c r="X20" s="42" t="str">
        <f aca="false">IF($B20="","",IF(X$5&lt;=Projects!$C$2,IF(OR(IF($D20="",FALSE(),AND(X$5&gt;=DATE(YEAR($D20),MONTH($D20),1),X$5&lt;=$E20)),N('WIP Log'!V20)&lt;&gt;0),N('WIP Log'!V20),""),IF(IF($D20="",FALSE(),AND(X$5&gt;=DATE(YEAR($D20),MONTH($D20),1),X$5&lt;=$E20)),'Phased Budget'!Z20,"")))</f>
        <v/>
      </c>
      <c r="Y20" s="42" t="str">
        <f aca="false">IF($B20="","",IF(Y$5&lt;=Projects!$C$2,IF(OR(IF($D20="",FALSE(),AND(Y$5&gt;=DATE(YEAR($D20),MONTH($D20),1),Y$5&lt;=$E20)),N('WIP Log'!W20)&lt;&gt;0),N('WIP Log'!W20),""),IF(IF($D20="",FALSE(),AND(Y$5&gt;=DATE(YEAR($D20),MONTH($D20),1),Y$5&lt;=$E20)),'Phased Budget'!AA20,"")))</f>
        <v/>
      </c>
      <c r="Z20" s="42" t="str">
        <f aca="false">IF($B20="","",IF(Z$5&lt;=Projects!$C$2,IF(OR(IF($D20="",FALSE(),AND(Z$5&gt;=DATE(YEAR($D20),MONTH($D20),1),Z$5&lt;=$E20)),N('WIP Log'!X20)&lt;&gt;0),N('WIP Log'!X20),""),IF(IF($D20="",FALSE(),AND(Z$5&gt;=DATE(YEAR($D20),MONTH($D20),1),Z$5&lt;=$E20)),'Phased Budget'!AB20,"")))</f>
        <v/>
      </c>
      <c r="AA20" s="42" t="str">
        <f aca="false">IF($B20="","",IF(AA$5&lt;=Projects!$C$2,IF(OR(IF($D20="",FALSE(),AND(AA$5&gt;=DATE(YEAR($D20),MONTH($D20),1),AA$5&lt;=$E20)),N('WIP Log'!Y20)&lt;&gt;0),N('WIP Log'!Y20),""),IF(IF($D20="",FALSE(),AND(AA$5&gt;=DATE(YEAR($D20),MONTH($D20),1),AA$5&lt;=$E20)),'Phased Budget'!AC20,"")))</f>
        <v/>
      </c>
      <c r="AB20" s="42" t="str">
        <f aca="false">IF($B20="","",IF(AB$5&lt;=Projects!$C$2,IF(OR(IF($D20="",FALSE(),AND(AB$5&gt;=DATE(YEAR($D20),MONTH($D20),1),AB$5&lt;=$E20)),N('WIP Log'!Z20)&lt;&gt;0),N('WIP Log'!Z20),""),IF(IF($D20="",FALSE(),AND(AB$5&gt;=DATE(YEAR($D20),MONTH($D20),1),AB$5&lt;=$E20)),'Phased Budget'!AD20,"")))</f>
        <v/>
      </c>
      <c r="AC20" s="42" t="str">
        <f aca="false">IF($B20="","",IF(AC$5&lt;=Projects!$C$2,IF(OR(IF($D20="",FALSE(),AND(AC$5&gt;=DATE(YEAR($D20),MONTH($D20),1),AC$5&lt;=$E20)),N('WIP Log'!AA20)&lt;&gt;0),N('WIP Log'!AA20),""),IF(IF($D20="",FALSE(),AND(AC$5&gt;=DATE(YEAR($D20),MONTH($D20),1),AC$5&lt;=$E20)),'Phased Budget'!AE20,"")))</f>
        <v/>
      </c>
      <c r="AD20" s="42" t="str">
        <f aca="false">IF($B20="","",IF(AD$5&lt;=Projects!$C$2,IF(OR(IF($D20="",FALSE(),AND(AD$5&gt;=DATE(YEAR($D20),MONTH($D20),1),AD$5&lt;=$E20)),N('WIP Log'!AB20)&lt;&gt;0),N('WIP Log'!AB20),""),IF(IF($D20="",FALSE(),AND(AD$5&gt;=DATE(YEAR($D20),MONTH($D20),1),AD$5&lt;=$E20)),'Phased Budget'!AF20,"")))</f>
        <v/>
      </c>
      <c r="AE20" s="42" t="str">
        <f aca="false">IF($B20="","",IF(AE$5&lt;=Projects!$C$2,IF(OR(IF($D20="",FALSE(),AND(AE$5&gt;=DATE(YEAR($D20),MONTH($D20),1),AE$5&lt;=$E20)),N('WIP Log'!AC20)&lt;&gt;0),N('WIP Log'!AC20),""),IF(IF($D20="",FALSE(),AND(AE$5&gt;=DATE(YEAR($D20),MONTH($D20),1),AE$5&lt;=$E20)),'Phased Budget'!AG20,"")))</f>
        <v/>
      </c>
      <c r="AF20" s="42" t="str">
        <f aca="false">IF($B20="","",IF(AF$5&lt;=Projects!$C$2,IF(OR(IF($D20="",FALSE(),AND(AF$5&gt;=DATE(YEAR($D20),MONTH($D20),1),AF$5&lt;=$E20)),N('WIP Log'!AD20)&lt;&gt;0),N('WIP Log'!AD20),""),IF(IF($D20="",FALSE(),AND(AF$5&gt;=DATE(YEAR($D20),MONTH($D20),1),AF$5&lt;=$E20)),'Phased Budget'!AH20,"")))</f>
        <v/>
      </c>
      <c r="AG20" s="42" t="str">
        <f aca="false">IF($B20="","",IF(AG$5&lt;=Projects!$C$2,IF(OR(IF($D20="",FALSE(),AND(AG$5&gt;=DATE(YEAR($D20),MONTH($D20),1),AG$5&lt;=$E20)),N('WIP Log'!AE20)&lt;&gt;0),N('WIP Log'!AE20),""),IF(IF($D20="",FALSE(),AND(AG$5&gt;=DATE(YEAR($D20),MONTH($D20),1),AG$5&lt;=$E20)),'Phased Budget'!AI20,"")))</f>
        <v/>
      </c>
      <c r="AH20" s="42" t="str">
        <f aca="false">IF($B20="","",IF(AH$5&lt;=Projects!$C$2,IF(OR(IF($D20="",FALSE(),AND(AH$5&gt;=DATE(YEAR($D20),MONTH($D20),1),AH$5&lt;=$E20)),N('WIP Log'!AF20)&lt;&gt;0),N('WIP Log'!AF20),""),IF(IF($D20="",FALSE(),AND(AH$5&gt;=DATE(YEAR($D20),MONTH($D20),1),AH$5&lt;=$E20)),'Phased Budget'!AJ20,"")))</f>
        <v/>
      </c>
      <c r="AI20" s="42" t="str">
        <f aca="false">IF($B20="","",IF(AI$5&lt;=Projects!$C$2,IF(OR(IF($D20="",FALSE(),AND(AI$5&gt;=DATE(YEAR($D20),MONTH($D20),1),AI$5&lt;=$E20)),N('WIP Log'!AG20)&lt;&gt;0),N('WIP Log'!AG20),""),IF(IF($D20="",FALSE(),AND(AI$5&gt;=DATE(YEAR($D20),MONTH($D20),1),AI$5&lt;=$E20)),'Phased Budget'!AK20,"")))</f>
        <v/>
      </c>
      <c r="AJ20" s="42" t="str">
        <f aca="false">IF($B20="","",IF(AJ$5&lt;=Projects!$C$2,IF(OR(IF($D20="",FALSE(),AND(AJ$5&gt;=DATE(YEAR($D20),MONTH($D20),1),AJ$5&lt;=$E20)),N('WIP Log'!AH20)&lt;&gt;0),N('WIP Log'!AH20),""),IF(IF($D20="",FALSE(),AND(AJ$5&gt;=DATE(YEAR($D20),MONTH($D20),1),AJ$5&lt;=$E20)),'Phased Budget'!AL20,"")))</f>
        <v/>
      </c>
      <c r="AK20" s="42" t="str">
        <f aca="false">IF($B20="","",IF(AK$5&lt;=Projects!$C$2,IF(OR(IF($D20="",FALSE(),AND(AK$5&gt;=DATE(YEAR($D20),MONTH($D20),1),AK$5&lt;=$E20)),N('WIP Log'!AI20)&lt;&gt;0),N('WIP Log'!AI20),""),IF(IF($D20="",FALSE(),AND(AK$5&gt;=DATE(YEAR($D20),MONTH($D20),1),AK$5&lt;=$E20)),'Phased Budget'!AM20,"")))</f>
        <v/>
      </c>
      <c r="AL20" s="42" t="str">
        <f aca="false">IF($B20="","",IF(AL$5&lt;=Projects!$C$2,IF(OR(IF($D20="",FALSE(),AND(AL$5&gt;=DATE(YEAR($D20),MONTH($D20),1),AL$5&lt;=$E20)),N('WIP Log'!AJ20)&lt;&gt;0),N('WIP Log'!AJ20),""),IF(IF($D20="",FALSE(),AND(AL$5&gt;=DATE(YEAR($D20),MONTH($D20),1),AL$5&lt;=$E20)),'Phased Budget'!AN20,"")))</f>
        <v/>
      </c>
      <c r="AM20" s="42" t="str">
        <f aca="false">IF($B20="","",IF(AM$5&lt;=Projects!$C$2,IF(OR(IF($D20="",FALSE(),AND(AM$5&gt;=DATE(YEAR($D20),MONTH($D20),1),AM$5&lt;=$E20)),N('WIP Log'!AK20)&lt;&gt;0),N('WIP Log'!AK20),""),IF(IF($D20="",FALSE(),AND(AM$5&gt;=DATE(YEAR($D20),MONTH($D20),1),AM$5&lt;=$E20)),'Phased Budget'!AO20,"")))</f>
        <v/>
      </c>
      <c r="AN20" s="42" t="str">
        <f aca="false">IF($B20="","",IF(AN$5&lt;=Projects!$C$2,IF(OR(IF($D20="",FALSE(),AND(AN$5&gt;=DATE(YEAR($D20),MONTH($D20),1),AN$5&lt;=$E20)),N('WIP Log'!AL20)&lt;&gt;0),N('WIP Log'!AL20),""),IF(IF($D20="",FALSE(),AND(AN$5&gt;=DATE(YEAR($D20),MONTH($D20),1),AN$5&lt;=$E20)),'Phased Budget'!AP20,"")))</f>
        <v/>
      </c>
      <c r="AO20" s="42" t="str">
        <f aca="false">IF($B20="","",IF(AO$5&lt;=Projects!$C$2,IF(OR(IF($D20="",FALSE(),AND(AO$5&gt;=DATE(YEAR($D20),MONTH($D20),1),AO$5&lt;=$E20)),N('WIP Log'!AM20)&lt;&gt;0),N('WIP Log'!AM20),""),IF(IF($D20="",FALSE(),AND(AO$5&gt;=DATE(YEAR($D20),MONTH($D20),1),AO$5&lt;=$E20)),'Phased Budget'!AQ20,"")))</f>
        <v/>
      </c>
    </row>
    <row r="21" customFormat="false" ht="15" hidden="false" customHeight="false" outlineLevel="0" collapsed="false">
      <c r="A21" s="20" t="n">
        <v>16</v>
      </c>
      <c r="B21" s="40" t="str">
        <f aca="false">IF(Projects!B21="","",Projects!B21)</f>
        <v/>
      </c>
      <c r="C21" s="40" t="str">
        <f aca="false">IF(Projects!C21="","",Projects!C21)</f>
        <v/>
      </c>
      <c r="D21" s="41" t="str">
        <f aca="false">IF(Projects!D21="","",Projects!D21)</f>
        <v/>
      </c>
      <c r="E21" s="41" t="str">
        <f aca="false">IF(Projects!F21="","",Projects!F21)</f>
        <v/>
      </c>
      <c r="F21" s="42" t="str">
        <f aca="false">IF($B21="","",IF(F$5&lt;=Projects!$C$2,IF(OR(IF($D21="",FALSE(),AND(F$5&gt;=DATE(YEAR($D21),MONTH($D21),1),F$5&lt;=$E21)),N('WIP Log'!D21)&lt;&gt;0),N('WIP Log'!D21),""),IF(IF($D21="",FALSE(),AND(F$5&gt;=DATE(YEAR($D21),MONTH($D21),1),F$5&lt;=$E21)),'Phased Budget'!H21,"")))</f>
        <v/>
      </c>
      <c r="G21" s="42" t="str">
        <f aca="false">IF($B21="","",IF(G$5&lt;=Projects!$C$2,IF(OR(IF($D21="",FALSE(),AND(G$5&gt;=DATE(YEAR($D21),MONTH($D21),1),G$5&lt;=$E21)),N('WIP Log'!E21)&lt;&gt;0),N('WIP Log'!E21),""),IF(IF($D21="",FALSE(),AND(G$5&gt;=DATE(YEAR($D21),MONTH($D21),1),G$5&lt;=$E21)),'Phased Budget'!I21,"")))</f>
        <v/>
      </c>
      <c r="H21" s="42" t="str">
        <f aca="false">IF($B21="","",IF(H$5&lt;=Projects!$C$2,IF(OR(IF($D21="",FALSE(),AND(H$5&gt;=DATE(YEAR($D21),MONTH($D21),1),H$5&lt;=$E21)),N('WIP Log'!F21)&lt;&gt;0),N('WIP Log'!F21),""),IF(IF($D21="",FALSE(),AND(H$5&gt;=DATE(YEAR($D21),MONTH($D21),1),H$5&lt;=$E21)),'Phased Budget'!J21,"")))</f>
        <v/>
      </c>
      <c r="I21" s="42" t="str">
        <f aca="false">IF($B21="","",IF(I$5&lt;=Projects!$C$2,IF(OR(IF($D21="",FALSE(),AND(I$5&gt;=DATE(YEAR($D21),MONTH($D21),1),I$5&lt;=$E21)),N('WIP Log'!G21)&lt;&gt;0),N('WIP Log'!G21),""),IF(IF($D21="",FALSE(),AND(I$5&gt;=DATE(YEAR($D21),MONTH($D21),1),I$5&lt;=$E21)),'Phased Budget'!K21,"")))</f>
        <v/>
      </c>
      <c r="J21" s="42" t="str">
        <f aca="false">IF($B21="","",IF(J$5&lt;=Projects!$C$2,IF(OR(IF($D21="",FALSE(),AND(J$5&gt;=DATE(YEAR($D21),MONTH($D21),1),J$5&lt;=$E21)),N('WIP Log'!H21)&lt;&gt;0),N('WIP Log'!H21),""),IF(IF($D21="",FALSE(),AND(J$5&gt;=DATE(YEAR($D21),MONTH($D21),1),J$5&lt;=$E21)),'Phased Budget'!L21,"")))</f>
        <v/>
      </c>
      <c r="K21" s="42" t="str">
        <f aca="false">IF($B21="","",IF(K$5&lt;=Projects!$C$2,IF(OR(IF($D21="",FALSE(),AND(K$5&gt;=DATE(YEAR($D21),MONTH($D21),1),K$5&lt;=$E21)),N('WIP Log'!I21)&lt;&gt;0),N('WIP Log'!I21),""),IF(IF($D21="",FALSE(),AND(K$5&gt;=DATE(YEAR($D21),MONTH($D21),1),K$5&lt;=$E21)),'Phased Budget'!M21,"")))</f>
        <v/>
      </c>
      <c r="L21" s="42" t="str">
        <f aca="false">IF($B21="","",IF(L$5&lt;=Projects!$C$2,IF(OR(IF($D21="",FALSE(),AND(L$5&gt;=DATE(YEAR($D21),MONTH($D21),1),L$5&lt;=$E21)),N('WIP Log'!J21)&lt;&gt;0),N('WIP Log'!J21),""),IF(IF($D21="",FALSE(),AND(L$5&gt;=DATE(YEAR($D21),MONTH($D21),1),L$5&lt;=$E21)),'Phased Budget'!N21,"")))</f>
        <v/>
      </c>
      <c r="M21" s="42" t="str">
        <f aca="false">IF($B21="","",IF(M$5&lt;=Projects!$C$2,IF(OR(IF($D21="",FALSE(),AND(M$5&gt;=DATE(YEAR($D21),MONTH($D21),1),M$5&lt;=$E21)),N('WIP Log'!K21)&lt;&gt;0),N('WIP Log'!K21),""),IF(IF($D21="",FALSE(),AND(M$5&gt;=DATE(YEAR($D21),MONTH($D21),1),M$5&lt;=$E21)),'Phased Budget'!O21,"")))</f>
        <v/>
      </c>
      <c r="N21" s="42" t="str">
        <f aca="false">IF($B21="","",IF(N$5&lt;=Projects!$C$2,IF(OR(IF($D21="",FALSE(),AND(N$5&gt;=DATE(YEAR($D21),MONTH($D21),1),N$5&lt;=$E21)),N('WIP Log'!L21)&lt;&gt;0),N('WIP Log'!L21),""),IF(IF($D21="",FALSE(),AND(N$5&gt;=DATE(YEAR($D21),MONTH($D21),1),N$5&lt;=$E21)),'Phased Budget'!P21,"")))</f>
        <v/>
      </c>
      <c r="O21" s="42" t="str">
        <f aca="false">IF($B21="","",IF(O$5&lt;=Projects!$C$2,IF(OR(IF($D21="",FALSE(),AND(O$5&gt;=DATE(YEAR($D21),MONTH($D21),1),O$5&lt;=$E21)),N('WIP Log'!M21)&lt;&gt;0),N('WIP Log'!M21),""),IF(IF($D21="",FALSE(),AND(O$5&gt;=DATE(YEAR($D21),MONTH($D21),1),O$5&lt;=$E21)),'Phased Budget'!Q21,"")))</f>
        <v/>
      </c>
      <c r="P21" s="42" t="str">
        <f aca="false">IF($B21="","",IF(P$5&lt;=Projects!$C$2,IF(OR(IF($D21="",FALSE(),AND(P$5&gt;=DATE(YEAR($D21),MONTH($D21),1),P$5&lt;=$E21)),N('WIP Log'!N21)&lt;&gt;0),N('WIP Log'!N21),""),IF(IF($D21="",FALSE(),AND(P$5&gt;=DATE(YEAR($D21),MONTH($D21),1),P$5&lt;=$E21)),'Phased Budget'!R21,"")))</f>
        <v/>
      </c>
      <c r="Q21" s="42" t="str">
        <f aca="false">IF($B21="","",IF(Q$5&lt;=Projects!$C$2,IF(OR(IF($D21="",FALSE(),AND(Q$5&gt;=DATE(YEAR($D21),MONTH($D21),1),Q$5&lt;=$E21)),N('WIP Log'!O21)&lt;&gt;0),N('WIP Log'!O21),""),IF(IF($D21="",FALSE(),AND(Q$5&gt;=DATE(YEAR($D21),MONTH($D21),1),Q$5&lt;=$E21)),'Phased Budget'!S21,"")))</f>
        <v/>
      </c>
      <c r="R21" s="42" t="str">
        <f aca="false">IF($B21="","",IF(R$5&lt;=Projects!$C$2,IF(OR(IF($D21="",FALSE(),AND(R$5&gt;=DATE(YEAR($D21),MONTH($D21),1),R$5&lt;=$E21)),N('WIP Log'!P21)&lt;&gt;0),N('WIP Log'!P21),""),IF(IF($D21="",FALSE(),AND(R$5&gt;=DATE(YEAR($D21),MONTH($D21),1),R$5&lt;=$E21)),'Phased Budget'!T21,"")))</f>
        <v/>
      </c>
      <c r="S21" s="42" t="str">
        <f aca="false">IF($B21="","",IF(S$5&lt;=Projects!$C$2,IF(OR(IF($D21="",FALSE(),AND(S$5&gt;=DATE(YEAR($D21),MONTH($D21),1),S$5&lt;=$E21)),N('WIP Log'!Q21)&lt;&gt;0),N('WIP Log'!Q21),""),IF(IF($D21="",FALSE(),AND(S$5&gt;=DATE(YEAR($D21),MONTH($D21),1),S$5&lt;=$E21)),'Phased Budget'!U21,"")))</f>
        <v/>
      </c>
      <c r="T21" s="42" t="str">
        <f aca="false">IF($B21="","",IF(T$5&lt;=Projects!$C$2,IF(OR(IF($D21="",FALSE(),AND(T$5&gt;=DATE(YEAR($D21),MONTH($D21),1),T$5&lt;=$E21)),N('WIP Log'!R21)&lt;&gt;0),N('WIP Log'!R21),""),IF(IF($D21="",FALSE(),AND(T$5&gt;=DATE(YEAR($D21),MONTH($D21),1),T$5&lt;=$E21)),'Phased Budget'!V21,"")))</f>
        <v/>
      </c>
      <c r="U21" s="42" t="str">
        <f aca="false">IF($B21="","",IF(U$5&lt;=Projects!$C$2,IF(OR(IF($D21="",FALSE(),AND(U$5&gt;=DATE(YEAR($D21),MONTH($D21),1),U$5&lt;=$E21)),N('WIP Log'!S21)&lt;&gt;0),N('WIP Log'!S21),""),IF(IF($D21="",FALSE(),AND(U$5&gt;=DATE(YEAR($D21),MONTH($D21),1),U$5&lt;=$E21)),'Phased Budget'!W21,"")))</f>
        <v/>
      </c>
      <c r="V21" s="42" t="str">
        <f aca="false">IF($B21="","",IF(V$5&lt;=Projects!$C$2,IF(OR(IF($D21="",FALSE(),AND(V$5&gt;=DATE(YEAR($D21),MONTH($D21),1),V$5&lt;=$E21)),N('WIP Log'!T21)&lt;&gt;0),N('WIP Log'!T21),""),IF(IF($D21="",FALSE(),AND(V$5&gt;=DATE(YEAR($D21),MONTH($D21),1),V$5&lt;=$E21)),'Phased Budget'!X21,"")))</f>
        <v/>
      </c>
      <c r="W21" s="42" t="str">
        <f aca="false">IF($B21="","",IF(W$5&lt;=Projects!$C$2,IF(OR(IF($D21="",FALSE(),AND(W$5&gt;=DATE(YEAR($D21),MONTH($D21),1),W$5&lt;=$E21)),N('WIP Log'!U21)&lt;&gt;0),N('WIP Log'!U21),""),IF(IF($D21="",FALSE(),AND(W$5&gt;=DATE(YEAR($D21),MONTH($D21),1),W$5&lt;=$E21)),'Phased Budget'!Y21,"")))</f>
        <v/>
      </c>
      <c r="X21" s="42" t="str">
        <f aca="false">IF($B21="","",IF(X$5&lt;=Projects!$C$2,IF(OR(IF($D21="",FALSE(),AND(X$5&gt;=DATE(YEAR($D21),MONTH($D21),1),X$5&lt;=$E21)),N('WIP Log'!V21)&lt;&gt;0),N('WIP Log'!V21),""),IF(IF($D21="",FALSE(),AND(X$5&gt;=DATE(YEAR($D21),MONTH($D21),1),X$5&lt;=$E21)),'Phased Budget'!Z21,"")))</f>
        <v/>
      </c>
      <c r="Y21" s="42" t="str">
        <f aca="false">IF($B21="","",IF(Y$5&lt;=Projects!$C$2,IF(OR(IF($D21="",FALSE(),AND(Y$5&gt;=DATE(YEAR($D21),MONTH($D21),1),Y$5&lt;=$E21)),N('WIP Log'!W21)&lt;&gt;0),N('WIP Log'!W21),""),IF(IF($D21="",FALSE(),AND(Y$5&gt;=DATE(YEAR($D21),MONTH($D21),1),Y$5&lt;=$E21)),'Phased Budget'!AA21,"")))</f>
        <v/>
      </c>
      <c r="Z21" s="42" t="str">
        <f aca="false">IF($B21="","",IF(Z$5&lt;=Projects!$C$2,IF(OR(IF($D21="",FALSE(),AND(Z$5&gt;=DATE(YEAR($D21),MONTH($D21),1),Z$5&lt;=$E21)),N('WIP Log'!X21)&lt;&gt;0),N('WIP Log'!X21),""),IF(IF($D21="",FALSE(),AND(Z$5&gt;=DATE(YEAR($D21),MONTH($D21),1),Z$5&lt;=$E21)),'Phased Budget'!AB21,"")))</f>
        <v/>
      </c>
      <c r="AA21" s="42" t="str">
        <f aca="false">IF($B21="","",IF(AA$5&lt;=Projects!$C$2,IF(OR(IF($D21="",FALSE(),AND(AA$5&gt;=DATE(YEAR($D21),MONTH($D21),1),AA$5&lt;=$E21)),N('WIP Log'!Y21)&lt;&gt;0),N('WIP Log'!Y21),""),IF(IF($D21="",FALSE(),AND(AA$5&gt;=DATE(YEAR($D21),MONTH($D21),1),AA$5&lt;=$E21)),'Phased Budget'!AC21,"")))</f>
        <v/>
      </c>
      <c r="AB21" s="42" t="str">
        <f aca="false">IF($B21="","",IF(AB$5&lt;=Projects!$C$2,IF(OR(IF($D21="",FALSE(),AND(AB$5&gt;=DATE(YEAR($D21),MONTH($D21),1),AB$5&lt;=$E21)),N('WIP Log'!Z21)&lt;&gt;0),N('WIP Log'!Z21),""),IF(IF($D21="",FALSE(),AND(AB$5&gt;=DATE(YEAR($D21),MONTH($D21),1),AB$5&lt;=$E21)),'Phased Budget'!AD21,"")))</f>
        <v/>
      </c>
      <c r="AC21" s="42" t="str">
        <f aca="false">IF($B21="","",IF(AC$5&lt;=Projects!$C$2,IF(OR(IF($D21="",FALSE(),AND(AC$5&gt;=DATE(YEAR($D21),MONTH($D21),1),AC$5&lt;=$E21)),N('WIP Log'!AA21)&lt;&gt;0),N('WIP Log'!AA21),""),IF(IF($D21="",FALSE(),AND(AC$5&gt;=DATE(YEAR($D21),MONTH($D21),1),AC$5&lt;=$E21)),'Phased Budget'!AE21,"")))</f>
        <v/>
      </c>
      <c r="AD21" s="42" t="str">
        <f aca="false">IF($B21="","",IF(AD$5&lt;=Projects!$C$2,IF(OR(IF($D21="",FALSE(),AND(AD$5&gt;=DATE(YEAR($D21),MONTH($D21),1),AD$5&lt;=$E21)),N('WIP Log'!AB21)&lt;&gt;0),N('WIP Log'!AB21),""),IF(IF($D21="",FALSE(),AND(AD$5&gt;=DATE(YEAR($D21),MONTH($D21),1),AD$5&lt;=$E21)),'Phased Budget'!AF21,"")))</f>
        <v/>
      </c>
      <c r="AE21" s="42" t="str">
        <f aca="false">IF($B21="","",IF(AE$5&lt;=Projects!$C$2,IF(OR(IF($D21="",FALSE(),AND(AE$5&gt;=DATE(YEAR($D21),MONTH($D21),1),AE$5&lt;=$E21)),N('WIP Log'!AC21)&lt;&gt;0),N('WIP Log'!AC21),""),IF(IF($D21="",FALSE(),AND(AE$5&gt;=DATE(YEAR($D21),MONTH($D21),1),AE$5&lt;=$E21)),'Phased Budget'!AG21,"")))</f>
        <v/>
      </c>
      <c r="AF21" s="42" t="str">
        <f aca="false">IF($B21="","",IF(AF$5&lt;=Projects!$C$2,IF(OR(IF($D21="",FALSE(),AND(AF$5&gt;=DATE(YEAR($D21),MONTH($D21),1),AF$5&lt;=$E21)),N('WIP Log'!AD21)&lt;&gt;0),N('WIP Log'!AD21),""),IF(IF($D21="",FALSE(),AND(AF$5&gt;=DATE(YEAR($D21),MONTH($D21),1),AF$5&lt;=$E21)),'Phased Budget'!AH21,"")))</f>
        <v/>
      </c>
      <c r="AG21" s="42" t="str">
        <f aca="false">IF($B21="","",IF(AG$5&lt;=Projects!$C$2,IF(OR(IF($D21="",FALSE(),AND(AG$5&gt;=DATE(YEAR($D21),MONTH($D21),1),AG$5&lt;=$E21)),N('WIP Log'!AE21)&lt;&gt;0),N('WIP Log'!AE21),""),IF(IF($D21="",FALSE(),AND(AG$5&gt;=DATE(YEAR($D21),MONTH($D21),1),AG$5&lt;=$E21)),'Phased Budget'!AI21,"")))</f>
        <v/>
      </c>
      <c r="AH21" s="42" t="str">
        <f aca="false">IF($B21="","",IF(AH$5&lt;=Projects!$C$2,IF(OR(IF($D21="",FALSE(),AND(AH$5&gt;=DATE(YEAR($D21),MONTH($D21),1),AH$5&lt;=$E21)),N('WIP Log'!AF21)&lt;&gt;0),N('WIP Log'!AF21),""),IF(IF($D21="",FALSE(),AND(AH$5&gt;=DATE(YEAR($D21),MONTH($D21),1),AH$5&lt;=$E21)),'Phased Budget'!AJ21,"")))</f>
        <v/>
      </c>
      <c r="AI21" s="42" t="str">
        <f aca="false">IF($B21="","",IF(AI$5&lt;=Projects!$C$2,IF(OR(IF($D21="",FALSE(),AND(AI$5&gt;=DATE(YEAR($D21),MONTH($D21),1),AI$5&lt;=$E21)),N('WIP Log'!AG21)&lt;&gt;0),N('WIP Log'!AG21),""),IF(IF($D21="",FALSE(),AND(AI$5&gt;=DATE(YEAR($D21),MONTH($D21),1),AI$5&lt;=$E21)),'Phased Budget'!AK21,"")))</f>
        <v/>
      </c>
      <c r="AJ21" s="42" t="str">
        <f aca="false">IF($B21="","",IF(AJ$5&lt;=Projects!$C$2,IF(OR(IF($D21="",FALSE(),AND(AJ$5&gt;=DATE(YEAR($D21),MONTH($D21),1),AJ$5&lt;=$E21)),N('WIP Log'!AH21)&lt;&gt;0),N('WIP Log'!AH21),""),IF(IF($D21="",FALSE(),AND(AJ$5&gt;=DATE(YEAR($D21),MONTH($D21),1),AJ$5&lt;=$E21)),'Phased Budget'!AL21,"")))</f>
        <v/>
      </c>
      <c r="AK21" s="42" t="str">
        <f aca="false">IF($B21="","",IF(AK$5&lt;=Projects!$C$2,IF(OR(IF($D21="",FALSE(),AND(AK$5&gt;=DATE(YEAR($D21),MONTH($D21),1),AK$5&lt;=$E21)),N('WIP Log'!AI21)&lt;&gt;0),N('WIP Log'!AI21),""),IF(IF($D21="",FALSE(),AND(AK$5&gt;=DATE(YEAR($D21),MONTH($D21),1),AK$5&lt;=$E21)),'Phased Budget'!AM21,"")))</f>
        <v/>
      </c>
      <c r="AL21" s="42" t="str">
        <f aca="false">IF($B21="","",IF(AL$5&lt;=Projects!$C$2,IF(OR(IF($D21="",FALSE(),AND(AL$5&gt;=DATE(YEAR($D21),MONTH($D21),1),AL$5&lt;=$E21)),N('WIP Log'!AJ21)&lt;&gt;0),N('WIP Log'!AJ21),""),IF(IF($D21="",FALSE(),AND(AL$5&gt;=DATE(YEAR($D21),MONTH($D21),1),AL$5&lt;=$E21)),'Phased Budget'!AN21,"")))</f>
        <v/>
      </c>
      <c r="AM21" s="42" t="str">
        <f aca="false">IF($B21="","",IF(AM$5&lt;=Projects!$C$2,IF(OR(IF($D21="",FALSE(),AND(AM$5&gt;=DATE(YEAR($D21),MONTH($D21),1),AM$5&lt;=$E21)),N('WIP Log'!AK21)&lt;&gt;0),N('WIP Log'!AK21),""),IF(IF($D21="",FALSE(),AND(AM$5&gt;=DATE(YEAR($D21),MONTH($D21),1),AM$5&lt;=$E21)),'Phased Budget'!AO21,"")))</f>
        <v/>
      </c>
      <c r="AN21" s="42" t="str">
        <f aca="false">IF($B21="","",IF(AN$5&lt;=Projects!$C$2,IF(OR(IF($D21="",FALSE(),AND(AN$5&gt;=DATE(YEAR($D21),MONTH($D21),1),AN$5&lt;=$E21)),N('WIP Log'!AL21)&lt;&gt;0),N('WIP Log'!AL21),""),IF(IF($D21="",FALSE(),AND(AN$5&gt;=DATE(YEAR($D21),MONTH($D21),1),AN$5&lt;=$E21)),'Phased Budget'!AP21,"")))</f>
        <v/>
      </c>
      <c r="AO21" s="42" t="str">
        <f aca="false">IF($B21="","",IF(AO$5&lt;=Projects!$C$2,IF(OR(IF($D21="",FALSE(),AND(AO$5&gt;=DATE(YEAR($D21),MONTH($D21),1),AO$5&lt;=$E21)),N('WIP Log'!AM21)&lt;&gt;0),N('WIP Log'!AM21),""),IF(IF($D21="",FALSE(),AND(AO$5&gt;=DATE(YEAR($D21),MONTH($D21),1),AO$5&lt;=$E21)),'Phased Budget'!AQ21,"")))</f>
        <v/>
      </c>
    </row>
    <row r="22" customFormat="false" ht="15" hidden="false" customHeight="false" outlineLevel="0" collapsed="false">
      <c r="A22" s="20" t="n">
        <v>17</v>
      </c>
      <c r="B22" s="40" t="str">
        <f aca="false">IF(Projects!B22="","",Projects!B22)</f>
        <v/>
      </c>
      <c r="C22" s="40" t="str">
        <f aca="false">IF(Projects!C22="","",Projects!C22)</f>
        <v/>
      </c>
      <c r="D22" s="41" t="str">
        <f aca="false">IF(Projects!D22="","",Projects!D22)</f>
        <v/>
      </c>
      <c r="E22" s="41" t="str">
        <f aca="false">IF(Projects!F22="","",Projects!F22)</f>
        <v/>
      </c>
      <c r="F22" s="42" t="str">
        <f aca="false">IF($B22="","",IF(F$5&lt;=Projects!$C$2,IF(OR(IF($D22="",FALSE(),AND(F$5&gt;=DATE(YEAR($D22),MONTH($D22),1),F$5&lt;=$E22)),N('WIP Log'!D22)&lt;&gt;0),N('WIP Log'!D22),""),IF(IF($D22="",FALSE(),AND(F$5&gt;=DATE(YEAR($D22),MONTH($D22),1),F$5&lt;=$E22)),'Phased Budget'!H22,"")))</f>
        <v/>
      </c>
      <c r="G22" s="42" t="str">
        <f aca="false">IF($B22="","",IF(G$5&lt;=Projects!$C$2,IF(OR(IF($D22="",FALSE(),AND(G$5&gt;=DATE(YEAR($D22),MONTH($D22),1),G$5&lt;=$E22)),N('WIP Log'!E22)&lt;&gt;0),N('WIP Log'!E22),""),IF(IF($D22="",FALSE(),AND(G$5&gt;=DATE(YEAR($D22),MONTH($D22),1),G$5&lt;=$E22)),'Phased Budget'!I22,"")))</f>
        <v/>
      </c>
      <c r="H22" s="42" t="str">
        <f aca="false">IF($B22="","",IF(H$5&lt;=Projects!$C$2,IF(OR(IF($D22="",FALSE(),AND(H$5&gt;=DATE(YEAR($D22),MONTH($D22),1),H$5&lt;=$E22)),N('WIP Log'!F22)&lt;&gt;0),N('WIP Log'!F22),""),IF(IF($D22="",FALSE(),AND(H$5&gt;=DATE(YEAR($D22),MONTH($D22),1),H$5&lt;=$E22)),'Phased Budget'!J22,"")))</f>
        <v/>
      </c>
      <c r="I22" s="42" t="str">
        <f aca="false">IF($B22="","",IF(I$5&lt;=Projects!$C$2,IF(OR(IF($D22="",FALSE(),AND(I$5&gt;=DATE(YEAR($D22),MONTH($D22),1),I$5&lt;=$E22)),N('WIP Log'!G22)&lt;&gt;0),N('WIP Log'!G22),""),IF(IF($D22="",FALSE(),AND(I$5&gt;=DATE(YEAR($D22),MONTH($D22),1),I$5&lt;=$E22)),'Phased Budget'!K22,"")))</f>
        <v/>
      </c>
      <c r="J22" s="42" t="str">
        <f aca="false">IF($B22="","",IF(J$5&lt;=Projects!$C$2,IF(OR(IF($D22="",FALSE(),AND(J$5&gt;=DATE(YEAR($D22),MONTH($D22),1),J$5&lt;=$E22)),N('WIP Log'!H22)&lt;&gt;0),N('WIP Log'!H22),""),IF(IF($D22="",FALSE(),AND(J$5&gt;=DATE(YEAR($D22),MONTH($D22),1),J$5&lt;=$E22)),'Phased Budget'!L22,"")))</f>
        <v/>
      </c>
      <c r="K22" s="42" t="str">
        <f aca="false">IF($B22="","",IF(K$5&lt;=Projects!$C$2,IF(OR(IF($D22="",FALSE(),AND(K$5&gt;=DATE(YEAR($D22),MONTH($D22),1),K$5&lt;=$E22)),N('WIP Log'!I22)&lt;&gt;0),N('WIP Log'!I22),""),IF(IF($D22="",FALSE(),AND(K$5&gt;=DATE(YEAR($D22),MONTH($D22),1),K$5&lt;=$E22)),'Phased Budget'!M22,"")))</f>
        <v/>
      </c>
      <c r="L22" s="42" t="str">
        <f aca="false">IF($B22="","",IF(L$5&lt;=Projects!$C$2,IF(OR(IF($D22="",FALSE(),AND(L$5&gt;=DATE(YEAR($D22),MONTH($D22),1),L$5&lt;=$E22)),N('WIP Log'!J22)&lt;&gt;0),N('WIP Log'!J22),""),IF(IF($D22="",FALSE(),AND(L$5&gt;=DATE(YEAR($D22),MONTH($D22),1),L$5&lt;=$E22)),'Phased Budget'!N22,"")))</f>
        <v/>
      </c>
      <c r="M22" s="42" t="str">
        <f aca="false">IF($B22="","",IF(M$5&lt;=Projects!$C$2,IF(OR(IF($D22="",FALSE(),AND(M$5&gt;=DATE(YEAR($D22),MONTH($D22),1),M$5&lt;=$E22)),N('WIP Log'!K22)&lt;&gt;0),N('WIP Log'!K22),""),IF(IF($D22="",FALSE(),AND(M$5&gt;=DATE(YEAR($D22),MONTH($D22),1),M$5&lt;=$E22)),'Phased Budget'!O22,"")))</f>
        <v/>
      </c>
      <c r="N22" s="42" t="str">
        <f aca="false">IF($B22="","",IF(N$5&lt;=Projects!$C$2,IF(OR(IF($D22="",FALSE(),AND(N$5&gt;=DATE(YEAR($D22),MONTH($D22),1),N$5&lt;=$E22)),N('WIP Log'!L22)&lt;&gt;0),N('WIP Log'!L22),""),IF(IF($D22="",FALSE(),AND(N$5&gt;=DATE(YEAR($D22),MONTH($D22),1),N$5&lt;=$E22)),'Phased Budget'!P22,"")))</f>
        <v/>
      </c>
      <c r="O22" s="42" t="str">
        <f aca="false">IF($B22="","",IF(O$5&lt;=Projects!$C$2,IF(OR(IF($D22="",FALSE(),AND(O$5&gt;=DATE(YEAR($D22),MONTH($D22),1),O$5&lt;=$E22)),N('WIP Log'!M22)&lt;&gt;0),N('WIP Log'!M22),""),IF(IF($D22="",FALSE(),AND(O$5&gt;=DATE(YEAR($D22),MONTH($D22),1),O$5&lt;=$E22)),'Phased Budget'!Q22,"")))</f>
        <v/>
      </c>
      <c r="P22" s="42" t="str">
        <f aca="false">IF($B22="","",IF(P$5&lt;=Projects!$C$2,IF(OR(IF($D22="",FALSE(),AND(P$5&gt;=DATE(YEAR($D22),MONTH($D22),1),P$5&lt;=$E22)),N('WIP Log'!N22)&lt;&gt;0),N('WIP Log'!N22),""),IF(IF($D22="",FALSE(),AND(P$5&gt;=DATE(YEAR($D22),MONTH($D22),1),P$5&lt;=$E22)),'Phased Budget'!R22,"")))</f>
        <v/>
      </c>
      <c r="Q22" s="42" t="str">
        <f aca="false">IF($B22="","",IF(Q$5&lt;=Projects!$C$2,IF(OR(IF($D22="",FALSE(),AND(Q$5&gt;=DATE(YEAR($D22),MONTH($D22),1),Q$5&lt;=$E22)),N('WIP Log'!O22)&lt;&gt;0),N('WIP Log'!O22),""),IF(IF($D22="",FALSE(),AND(Q$5&gt;=DATE(YEAR($D22),MONTH($D22),1),Q$5&lt;=$E22)),'Phased Budget'!S22,"")))</f>
        <v/>
      </c>
      <c r="R22" s="42" t="str">
        <f aca="false">IF($B22="","",IF(R$5&lt;=Projects!$C$2,IF(OR(IF($D22="",FALSE(),AND(R$5&gt;=DATE(YEAR($D22),MONTH($D22),1),R$5&lt;=$E22)),N('WIP Log'!P22)&lt;&gt;0),N('WIP Log'!P22),""),IF(IF($D22="",FALSE(),AND(R$5&gt;=DATE(YEAR($D22),MONTH($D22),1),R$5&lt;=$E22)),'Phased Budget'!T22,"")))</f>
        <v/>
      </c>
      <c r="S22" s="42" t="str">
        <f aca="false">IF($B22="","",IF(S$5&lt;=Projects!$C$2,IF(OR(IF($D22="",FALSE(),AND(S$5&gt;=DATE(YEAR($D22),MONTH($D22),1),S$5&lt;=$E22)),N('WIP Log'!Q22)&lt;&gt;0),N('WIP Log'!Q22),""),IF(IF($D22="",FALSE(),AND(S$5&gt;=DATE(YEAR($D22),MONTH($D22),1),S$5&lt;=$E22)),'Phased Budget'!U22,"")))</f>
        <v/>
      </c>
      <c r="T22" s="42" t="str">
        <f aca="false">IF($B22="","",IF(T$5&lt;=Projects!$C$2,IF(OR(IF($D22="",FALSE(),AND(T$5&gt;=DATE(YEAR($D22),MONTH($D22),1),T$5&lt;=$E22)),N('WIP Log'!R22)&lt;&gt;0),N('WIP Log'!R22),""),IF(IF($D22="",FALSE(),AND(T$5&gt;=DATE(YEAR($D22),MONTH($D22),1),T$5&lt;=$E22)),'Phased Budget'!V22,"")))</f>
        <v/>
      </c>
      <c r="U22" s="42" t="str">
        <f aca="false">IF($B22="","",IF(U$5&lt;=Projects!$C$2,IF(OR(IF($D22="",FALSE(),AND(U$5&gt;=DATE(YEAR($D22),MONTH($D22),1),U$5&lt;=$E22)),N('WIP Log'!S22)&lt;&gt;0),N('WIP Log'!S22),""),IF(IF($D22="",FALSE(),AND(U$5&gt;=DATE(YEAR($D22),MONTH($D22),1),U$5&lt;=$E22)),'Phased Budget'!W22,"")))</f>
        <v/>
      </c>
      <c r="V22" s="42" t="str">
        <f aca="false">IF($B22="","",IF(V$5&lt;=Projects!$C$2,IF(OR(IF($D22="",FALSE(),AND(V$5&gt;=DATE(YEAR($D22),MONTH($D22),1),V$5&lt;=$E22)),N('WIP Log'!T22)&lt;&gt;0),N('WIP Log'!T22),""),IF(IF($D22="",FALSE(),AND(V$5&gt;=DATE(YEAR($D22),MONTH($D22),1),V$5&lt;=$E22)),'Phased Budget'!X22,"")))</f>
        <v/>
      </c>
      <c r="W22" s="42" t="str">
        <f aca="false">IF($B22="","",IF(W$5&lt;=Projects!$C$2,IF(OR(IF($D22="",FALSE(),AND(W$5&gt;=DATE(YEAR($D22),MONTH($D22),1),W$5&lt;=$E22)),N('WIP Log'!U22)&lt;&gt;0),N('WIP Log'!U22),""),IF(IF($D22="",FALSE(),AND(W$5&gt;=DATE(YEAR($D22),MONTH($D22),1),W$5&lt;=$E22)),'Phased Budget'!Y22,"")))</f>
        <v/>
      </c>
      <c r="X22" s="42" t="str">
        <f aca="false">IF($B22="","",IF(X$5&lt;=Projects!$C$2,IF(OR(IF($D22="",FALSE(),AND(X$5&gt;=DATE(YEAR($D22),MONTH($D22),1),X$5&lt;=$E22)),N('WIP Log'!V22)&lt;&gt;0),N('WIP Log'!V22),""),IF(IF($D22="",FALSE(),AND(X$5&gt;=DATE(YEAR($D22),MONTH($D22),1),X$5&lt;=$E22)),'Phased Budget'!Z22,"")))</f>
        <v/>
      </c>
      <c r="Y22" s="42" t="str">
        <f aca="false">IF($B22="","",IF(Y$5&lt;=Projects!$C$2,IF(OR(IF($D22="",FALSE(),AND(Y$5&gt;=DATE(YEAR($D22),MONTH($D22),1),Y$5&lt;=$E22)),N('WIP Log'!W22)&lt;&gt;0),N('WIP Log'!W22),""),IF(IF($D22="",FALSE(),AND(Y$5&gt;=DATE(YEAR($D22),MONTH($D22),1),Y$5&lt;=$E22)),'Phased Budget'!AA22,"")))</f>
        <v/>
      </c>
      <c r="Z22" s="42" t="str">
        <f aca="false">IF($B22="","",IF(Z$5&lt;=Projects!$C$2,IF(OR(IF($D22="",FALSE(),AND(Z$5&gt;=DATE(YEAR($D22),MONTH($D22),1),Z$5&lt;=$E22)),N('WIP Log'!X22)&lt;&gt;0),N('WIP Log'!X22),""),IF(IF($D22="",FALSE(),AND(Z$5&gt;=DATE(YEAR($D22),MONTH($D22),1),Z$5&lt;=$E22)),'Phased Budget'!AB22,"")))</f>
        <v/>
      </c>
      <c r="AA22" s="42" t="str">
        <f aca="false">IF($B22="","",IF(AA$5&lt;=Projects!$C$2,IF(OR(IF($D22="",FALSE(),AND(AA$5&gt;=DATE(YEAR($D22),MONTH($D22),1),AA$5&lt;=$E22)),N('WIP Log'!Y22)&lt;&gt;0),N('WIP Log'!Y22),""),IF(IF($D22="",FALSE(),AND(AA$5&gt;=DATE(YEAR($D22),MONTH($D22),1),AA$5&lt;=$E22)),'Phased Budget'!AC22,"")))</f>
        <v/>
      </c>
      <c r="AB22" s="42" t="str">
        <f aca="false">IF($B22="","",IF(AB$5&lt;=Projects!$C$2,IF(OR(IF($D22="",FALSE(),AND(AB$5&gt;=DATE(YEAR($D22),MONTH($D22),1),AB$5&lt;=$E22)),N('WIP Log'!Z22)&lt;&gt;0),N('WIP Log'!Z22),""),IF(IF($D22="",FALSE(),AND(AB$5&gt;=DATE(YEAR($D22),MONTH($D22),1),AB$5&lt;=$E22)),'Phased Budget'!AD22,"")))</f>
        <v/>
      </c>
      <c r="AC22" s="42" t="str">
        <f aca="false">IF($B22="","",IF(AC$5&lt;=Projects!$C$2,IF(OR(IF($D22="",FALSE(),AND(AC$5&gt;=DATE(YEAR($D22),MONTH($D22),1),AC$5&lt;=$E22)),N('WIP Log'!AA22)&lt;&gt;0),N('WIP Log'!AA22),""),IF(IF($D22="",FALSE(),AND(AC$5&gt;=DATE(YEAR($D22),MONTH($D22),1),AC$5&lt;=$E22)),'Phased Budget'!AE22,"")))</f>
        <v/>
      </c>
      <c r="AD22" s="42" t="str">
        <f aca="false">IF($B22="","",IF(AD$5&lt;=Projects!$C$2,IF(OR(IF($D22="",FALSE(),AND(AD$5&gt;=DATE(YEAR($D22),MONTH($D22),1),AD$5&lt;=$E22)),N('WIP Log'!AB22)&lt;&gt;0),N('WIP Log'!AB22),""),IF(IF($D22="",FALSE(),AND(AD$5&gt;=DATE(YEAR($D22),MONTH($D22),1),AD$5&lt;=$E22)),'Phased Budget'!AF22,"")))</f>
        <v/>
      </c>
      <c r="AE22" s="42" t="str">
        <f aca="false">IF($B22="","",IF(AE$5&lt;=Projects!$C$2,IF(OR(IF($D22="",FALSE(),AND(AE$5&gt;=DATE(YEAR($D22),MONTH($D22),1),AE$5&lt;=$E22)),N('WIP Log'!AC22)&lt;&gt;0),N('WIP Log'!AC22),""),IF(IF($D22="",FALSE(),AND(AE$5&gt;=DATE(YEAR($D22),MONTH($D22),1),AE$5&lt;=$E22)),'Phased Budget'!AG22,"")))</f>
        <v/>
      </c>
      <c r="AF22" s="42" t="str">
        <f aca="false">IF($B22="","",IF(AF$5&lt;=Projects!$C$2,IF(OR(IF($D22="",FALSE(),AND(AF$5&gt;=DATE(YEAR($D22),MONTH($D22),1),AF$5&lt;=$E22)),N('WIP Log'!AD22)&lt;&gt;0),N('WIP Log'!AD22),""),IF(IF($D22="",FALSE(),AND(AF$5&gt;=DATE(YEAR($D22),MONTH($D22),1),AF$5&lt;=$E22)),'Phased Budget'!AH22,"")))</f>
        <v/>
      </c>
      <c r="AG22" s="42" t="str">
        <f aca="false">IF($B22="","",IF(AG$5&lt;=Projects!$C$2,IF(OR(IF($D22="",FALSE(),AND(AG$5&gt;=DATE(YEAR($D22),MONTH($D22),1),AG$5&lt;=$E22)),N('WIP Log'!AE22)&lt;&gt;0),N('WIP Log'!AE22),""),IF(IF($D22="",FALSE(),AND(AG$5&gt;=DATE(YEAR($D22),MONTH($D22),1),AG$5&lt;=$E22)),'Phased Budget'!AI22,"")))</f>
        <v/>
      </c>
      <c r="AH22" s="42" t="str">
        <f aca="false">IF($B22="","",IF(AH$5&lt;=Projects!$C$2,IF(OR(IF($D22="",FALSE(),AND(AH$5&gt;=DATE(YEAR($D22),MONTH($D22),1),AH$5&lt;=$E22)),N('WIP Log'!AF22)&lt;&gt;0),N('WIP Log'!AF22),""),IF(IF($D22="",FALSE(),AND(AH$5&gt;=DATE(YEAR($D22),MONTH($D22),1),AH$5&lt;=$E22)),'Phased Budget'!AJ22,"")))</f>
        <v/>
      </c>
      <c r="AI22" s="42" t="str">
        <f aca="false">IF($B22="","",IF(AI$5&lt;=Projects!$C$2,IF(OR(IF($D22="",FALSE(),AND(AI$5&gt;=DATE(YEAR($D22),MONTH($D22),1),AI$5&lt;=$E22)),N('WIP Log'!AG22)&lt;&gt;0),N('WIP Log'!AG22),""),IF(IF($D22="",FALSE(),AND(AI$5&gt;=DATE(YEAR($D22),MONTH($D22),1),AI$5&lt;=$E22)),'Phased Budget'!AK22,"")))</f>
        <v/>
      </c>
      <c r="AJ22" s="42" t="str">
        <f aca="false">IF($B22="","",IF(AJ$5&lt;=Projects!$C$2,IF(OR(IF($D22="",FALSE(),AND(AJ$5&gt;=DATE(YEAR($D22),MONTH($D22),1),AJ$5&lt;=$E22)),N('WIP Log'!AH22)&lt;&gt;0),N('WIP Log'!AH22),""),IF(IF($D22="",FALSE(),AND(AJ$5&gt;=DATE(YEAR($D22),MONTH($D22),1),AJ$5&lt;=$E22)),'Phased Budget'!AL22,"")))</f>
        <v/>
      </c>
      <c r="AK22" s="42" t="str">
        <f aca="false">IF($B22="","",IF(AK$5&lt;=Projects!$C$2,IF(OR(IF($D22="",FALSE(),AND(AK$5&gt;=DATE(YEAR($D22),MONTH($D22),1),AK$5&lt;=$E22)),N('WIP Log'!AI22)&lt;&gt;0),N('WIP Log'!AI22),""),IF(IF($D22="",FALSE(),AND(AK$5&gt;=DATE(YEAR($D22),MONTH($D22),1),AK$5&lt;=$E22)),'Phased Budget'!AM22,"")))</f>
        <v/>
      </c>
      <c r="AL22" s="42" t="str">
        <f aca="false">IF($B22="","",IF(AL$5&lt;=Projects!$C$2,IF(OR(IF($D22="",FALSE(),AND(AL$5&gt;=DATE(YEAR($D22),MONTH($D22),1),AL$5&lt;=$E22)),N('WIP Log'!AJ22)&lt;&gt;0),N('WIP Log'!AJ22),""),IF(IF($D22="",FALSE(),AND(AL$5&gt;=DATE(YEAR($D22),MONTH($D22),1),AL$5&lt;=$E22)),'Phased Budget'!AN22,"")))</f>
        <v/>
      </c>
      <c r="AM22" s="42" t="str">
        <f aca="false">IF($B22="","",IF(AM$5&lt;=Projects!$C$2,IF(OR(IF($D22="",FALSE(),AND(AM$5&gt;=DATE(YEAR($D22),MONTH($D22),1),AM$5&lt;=$E22)),N('WIP Log'!AK22)&lt;&gt;0),N('WIP Log'!AK22),""),IF(IF($D22="",FALSE(),AND(AM$5&gt;=DATE(YEAR($D22),MONTH($D22),1),AM$5&lt;=$E22)),'Phased Budget'!AO22,"")))</f>
        <v/>
      </c>
      <c r="AN22" s="42" t="str">
        <f aca="false">IF($B22="","",IF(AN$5&lt;=Projects!$C$2,IF(OR(IF($D22="",FALSE(),AND(AN$5&gt;=DATE(YEAR($D22),MONTH($D22),1),AN$5&lt;=$E22)),N('WIP Log'!AL22)&lt;&gt;0),N('WIP Log'!AL22),""),IF(IF($D22="",FALSE(),AND(AN$5&gt;=DATE(YEAR($D22),MONTH($D22),1),AN$5&lt;=$E22)),'Phased Budget'!AP22,"")))</f>
        <v/>
      </c>
      <c r="AO22" s="42" t="str">
        <f aca="false">IF($B22="","",IF(AO$5&lt;=Projects!$C$2,IF(OR(IF($D22="",FALSE(),AND(AO$5&gt;=DATE(YEAR($D22),MONTH($D22),1),AO$5&lt;=$E22)),N('WIP Log'!AM22)&lt;&gt;0),N('WIP Log'!AM22),""),IF(IF($D22="",FALSE(),AND(AO$5&gt;=DATE(YEAR($D22),MONTH($D22),1),AO$5&lt;=$E22)),'Phased Budget'!AQ22,"")))</f>
        <v/>
      </c>
    </row>
    <row r="23" customFormat="false" ht="15" hidden="false" customHeight="false" outlineLevel="0" collapsed="false">
      <c r="A23" s="20" t="n">
        <v>18</v>
      </c>
      <c r="B23" s="40" t="str">
        <f aca="false">IF(Projects!B23="","",Projects!B23)</f>
        <v/>
      </c>
      <c r="C23" s="40" t="str">
        <f aca="false">IF(Projects!C23="","",Projects!C23)</f>
        <v/>
      </c>
      <c r="D23" s="41" t="str">
        <f aca="false">IF(Projects!D23="","",Projects!D23)</f>
        <v/>
      </c>
      <c r="E23" s="41" t="str">
        <f aca="false">IF(Projects!F23="","",Projects!F23)</f>
        <v/>
      </c>
      <c r="F23" s="42" t="str">
        <f aca="false">IF($B23="","",IF(F$5&lt;=Projects!$C$2,IF(OR(IF($D23="",FALSE(),AND(F$5&gt;=DATE(YEAR($D23),MONTH($D23),1),F$5&lt;=$E23)),N('WIP Log'!D23)&lt;&gt;0),N('WIP Log'!D23),""),IF(IF($D23="",FALSE(),AND(F$5&gt;=DATE(YEAR($D23),MONTH($D23),1),F$5&lt;=$E23)),'Phased Budget'!H23,"")))</f>
        <v/>
      </c>
      <c r="G23" s="42" t="str">
        <f aca="false">IF($B23="","",IF(G$5&lt;=Projects!$C$2,IF(OR(IF($D23="",FALSE(),AND(G$5&gt;=DATE(YEAR($D23),MONTH($D23),1),G$5&lt;=$E23)),N('WIP Log'!E23)&lt;&gt;0),N('WIP Log'!E23),""),IF(IF($D23="",FALSE(),AND(G$5&gt;=DATE(YEAR($D23),MONTH($D23),1),G$5&lt;=$E23)),'Phased Budget'!I23,"")))</f>
        <v/>
      </c>
      <c r="H23" s="42" t="str">
        <f aca="false">IF($B23="","",IF(H$5&lt;=Projects!$C$2,IF(OR(IF($D23="",FALSE(),AND(H$5&gt;=DATE(YEAR($D23),MONTH($D23),1),H$5&lt;=$E23)),N('WIP Log'!F23)&lt;&gt;0),N('WIP Log'!F23),""),IF(IF($D23="",FALSE(),AND(H$5&gt;=DATE(YEAR($D23),MONTH($D23),1),H$5&lt;=$E23)),'Phased Budget'!J23,"")))</f>
        <v/>
      </c>
      <c r="I23" s="42" t="str">
        <f aca="false">IF($B23="","",IF(I$5&lt;=Projects!$C$2,IF(OR(IF($D23="",FALSE(),AND(I$5&gt;=DATE(YEAR($D23),MONTH($D23),1),I$5&lt;=$E23)),N('WIP Log'!G23)&lt;&gt;0),N('WIP Log'!G23),""),IF(IF($D23="",FALSE(),AND(I$5&gt;=DATE(YEAR($D23),MONTH($D23),1),I$5&lt;=$E23)),'Phased Budget'!K23,"")))</f>
        <v/>
      </c>
      <c r="J23" s="42" t="str">
        <f aca="false">IF($B23="","",IF(J$5&lt;=Projects!$C$2,IF(OR(IF($D23="",FALSE(),AND(J$5&gt;=DATE(YEAR($D23),MONTH($D23),1),J$5&lt;=$E23)),N('WIP Log'!H23)&lt;&gt;0),N('WIP Log'!H23),""),IF(IF($D23="",FALSE(),AND(J$5&gt;=DATE(YEAR($D23),MONTH($D23),1),J$5&lt;=$E23)),'Phased Budget'!L23,"")))</f>
        <v/>
      </c>
      <c r="K23" s="42" t="str">
        <f aca="false">IF($B23="","",IF(K$5&lt;=Projects!$C$2,IF(OR(IF($D23="",FALSE(),AND(K$5&gt;=DATE(YEAR($D23),MONTH($D23),1),K$5&lt;=$E23)),N('WIP Log'!I23)&lt;&gt;0),N('WIP Log'!I23),""),IF(IF($D23="",FALSE(),AND(K$5&gt;=DATE(YEAR($D23),MONTH($D23),1),K$5&lt;=$E23)),'Phased Budget'!M23,"")))</f>
        <v/>
      </c>
      <c r="L23" s="42" t="str">
        <f aca="false">IF($B23="","",IF(L$5&lt;=Projects!$C$2,IF(OR(IF($D23="",FALSE(),AND(L$5&gt;=DATE(YEAR($D23),MONTH($D23),1),L$5&lt;=$E23)),N('WIP Log'!J23)&lt;&gt;0),N('WIP Log'!J23),""),IF(IF($D23="",FALSE(),AND(L$5&gt;=DATE(YEAR($D23),MONTH($D23),1),L$5&lt;=$E23)),'Phased Budget'!N23,"")))</f>
        <v/>
      </c>
      <c r="M23" s="42" t="str">
        <f aca="false">IF($B23="","",IF(M$5&lt;=Projects!$C$2,IF(OR(IF($D23="",FALSE(),AND(M$5&gt;=DATE(YEAR($D23),MONTH($D23),1),M$5&lt;=$E23)),N('WIP Log'!K23)&lt;&gt;0),N('WIP Log'!K23),""),IF(IF($D23="",FALSE(),AND(M$5&gt;=DATE(YEAR($D23),MONTH($D23),1),M$5&lt;=$E23)),'Phased Budget'!O23,"")))</f>
        <v/>
      </c>
      <c r="N23" s="42" t="str">
        <f aca="false">IF($B23="","",IF(N$5&lt;=Projects!$C$2,IF(OR(IF($D23="",FALSE(),AND(N$5&gt;=DATE(YEAR($D23),MONTH($D23),1),N$5&lt;=$E23)),N('WIP Log'!L23)&lt;&gt;0),N('WIP Log'!L23),""),IF(IF($D23="",FALSE(),AND(N$5&gt;=DATE(YEAR($D23),MONTH($D23),1),N$5&lt;=$E23)),'Phased Budget'!P23,"")))</f>
        <v/>
      </c>
      <c r="O23" s="42" t="str">
        <f aca="false">IF($B23="","",IF(O$5&lt;=Projects!$C$2,IF(OR(IF($D23="",FALSE(),AND(O$5&gt;=DATE(YEAR($D23),MONTH($D23),1),O$5&lt;=$E23)),N('WIP Log'!M23)&lt;&gt;0),N('WIP Log'!M23),""),IF(IF($D23="",FALSE(),AND(O$5&gt;=DATE(YEAR($D23),MONTH($D23),1),O$5&lt;=$E23)),'Phased Budget'!Q23,"")))</f>
        <v/>
      </c>
      <c r="P23" s="42" t="str">
        <f aca="false">IF($B23="","",IF(P$5&lt;=Projects!$C$2,IF(OR(IF($D23="",FALSE(),AND(P$5&gt;=DATE(YEAR($D23),MONTH($D23),1),P$5&lt;=$E23)),N('WIP Log'!N23)&lt;&gt;0),N('WIP Log'!N23),""),IF(IF($D23="",FALSE(),AND(P$5&gt;=DATE(YEAR($D23),MONTH($D23),1),P$5&lt;=$E23)),'Phased Budget'!R23,"")))</f>
        <v/>
      </c>
      <c r="Q23" s="42" t="str">
        <f aca="false">IF($B23="","",IF(Q$5&lt;=Projects!$C$2,IF(OR(IF($D23="",FALSE(),AND(Q$5&gt;=DATE(YEAR($D23),MONTH($D23),1),Q$5&lt;=$E23)),N('WIP Log'!O23)&lt;&gt;0),N('WIP Log'!O23),""),IF(IF($D23="",FALSE(),AND(Q$5&gt;=DATE(YEAR($D23),MONTH($D23),1),Q$5&lt;=$E23)),'Phased Budget'!S23,"")))</f>
        <v/>
      </c>
      <c r="R23" s="42" t="str">
        <f aca="false">IF($B23="","",IF(R$5&lt;=Projects!$C$2,IF(OR(IF($D23="",FALSE(),AND(R$5&gt;=DATE(YEAR($D23),MONTH($D23),1),R$5&lt;=$E23)),N('WIP Log'!P23)&lt;&gt;0),N('WIP Log'!P23),""),IF(IF($D23="",FALSE(),AND(R$5&gt;=DATE(YEAR($D23),MONTH($D23),1),R$5&lt;=$E23)),'Phased Budget'!T23,"")))</f>
        <v/>
      </c>
      <c r="S23" s="42" t="str">
        <f aca="false">IF($B23="","",IF(S$5&lt;=Projects!$C$2,IF(OR(IF($D23="",FALSE(),AND(S$5&gt;=DATE(YEAR($D23),MONTH($D23),1),S$5&lt;=$E23)),N('WIP Log'!Q23)&lt;&gt;0),N('WIP Log'!Q23),""),IF(IF($D23="",FALSE(),AND(S$5&gt;=DATE(YEAR($D23),MONTH($D23),1),S$5&lt;=$E23)),'Phased Budget'!U23,"")))</f>
        <v/>
      </c>
      <c r="T23" s="42" t="str">
        <f aca="false">IF($B23="","",IF(T$5&lt;=Projects!$C$2,IF(OR(IF($D23="",FALSE(),AND(T$5&gt;=DATE(YEAR($D23),MONTH($D23),1),T$5&lt;=$E23)),N('WIP Log'!R23)&lt;&gt;0),N('WIP Log'!R23),""),IF(IF($D23="",FALSE(),AND(T$5&gt;=DATE(YEAR($D23),MONTH($D23),1),T$5&lt;=$E23)),'Phased Budget'!V23,"")))</f>
        <v/>
      </c>
      <c r="U23" s="42" t="str">
        <f aca="false">IF($B23="","",IF(U$5&lt;=Projects!$C$2,IF(OR(IF($D23="",FALSE(),AND(U$5&gt;=DATE(YEAR($D23),MONTH($D23),1),U$5&lt;=$E23)),N('WIP Log'!S23)&lt;&gt;0),N('WIP Log'!S23),""),IF(IF($D23="",FALSE(),AND(U$5&gt;=DATE(YEAR($D23),MONTH($D23),1),U$5&lt;=$E23)),'Phased Budget'!W23,"")))</f>
        <v/>
      </c>
      <c r="V23" s="42" t="str">
        <f aca="false">IF($B23="","",IF(V$5&lt;=Projects!$C$2,IF(OR(IF($D23="",FALSE(),AND(V$5&gt;=DATE(YEAR($D23),MONTH($D23),1),V$5&lt;=$E23)),N('WIP Log'!T23)&lt;&gt;0),N('WIP Log'!T23),""),IF(IF($D23="",FALSE(),AND(V$5&gt;=DATE(YEAR($D23),MONTH($D23),1),V$5&lt;=$E23)),'Phased Budget'!X23,"")))</f>
        <v/>
      </c>
      <c r="W23" s="42" t="str">
        <f aca="false">IF($B23="","",IF(W$5&lt;=Projects!$C$2,IF(OR(IF($D23="",FALSE(),AND(W$5&gt;=DATE(YEAR($D23),MONTH($D23),1),W$5&lt;=$E23)),N('WIP Log'!U23)&lt;&gt;0),N('WIP Log'!U23),""),IF(IF($D23="",FALSE(),AND(W$5&gt;=DATE(YEAR($D23),MONTH($D23),1),W$5&lt;=$E23)),'Phased Budget'!Y23,"")))</f>
        <v/>
      </c>
      <c r="X23" s="42" t="str">
        <f aca="false">IF($B23="","",IF(X$5&lt;=Projects!$C$2,IF(OR(IF($D23="",FALSE(),AND(X$5&gt;=DATE(YEAR($D23),MONTH($D23),1),X$5&lt;=$E23)),N('WIP Log'!V23)&lt;&gt;0),N('WIP Log'!V23),""),IF(IF($D23="",FALSE(),AND(X$5&gt;=DATE(YEAR($D23),MONTH($D23),1),X$5&lt;=$E23)),'Phased Budget'!Z23,"")))</f>
        <v/>
      </c>
      <c r="Y23" s="42" t="str">
        <f aca="false">IF($B23="","",IF(Y$5&lt;=Projects!$C$2,IF(OR(IF($D23="",FALSE(),AND(Y$5&gt;=DATE(YEAR($D23),MONTH($D23),1),Y$5&lt;=$E23)),N('WIP Log'!W23)&lt;&gt;0),N('WIP Log'!W23),""),IF(IF($D23="",FALSE(),AND(Y$5&gt;=DATE(YEAR($D23),MONTH($D23),1),Y$5&lt;=$E23)),'Phased Budget'!AA23,"")))</f>
        <v/>
      </c>
      <c r="Z23" s="42" t="str">
        <f aca="false">IF($B23="","",IF(Z$5&lt;=Projects!$C$2,IF(OR(IF($D23="",FALSE(),AND(Z$5&gt;=DATE(YEAR($D23),MONTH($D23),1),Z$5&lt;=$E23)),N('WIP Log'!X23)&lt;&gt;0),N('WIP Log'!X23),""),IF(IF($D23="",FALSE(),AND(Z$5&gt;=DATE(YEAR($D23),MONTH($D23),1),Z$5&lt;=$E23)),'Phased Budget'!AB23,"")))</f>
        <v/>
      </c>
      <c r="AA23" s="42" t="str">
        <f aca="false">IF($B23="","",IF(AA$5&lt;=Projects!$C$2,IF(OR(IF($D23="",FALSE(),AND(AA$5&gt;=DATE(YEAR($D23),MONTH($D23),1),AA$5&lt;=$E23)),N('WIP Log'!Y23)&lt;&gt;0),N('WIP Log'!Y23),""),IF(IF($D23="",FALSE(),AND(AA$5&gt;=DATE(YEAR($D23),MONTH($D23),1),AA$5&lt;=$E23)),'Phased Budget'!AC23,"")))</f>
        <v/>
      </c>
      <c r="AB23" s="42" t="str">
        <f aca="false">IF($B23="","",IF(AB$5&lt;=Projects!$C$2,IF(OR(IF($D23="",FALSE(),AND(AB$5&gt;=DATE(YEAR($D23),MONTH($D23),1),AB$5&lt;=$E23)),N('WIP Log'!Z23)&lt;&gt;0),N('WIP Log'!Z23),""),IF(IF($D23="",FALSE(),AND(AB$5&gt;=DATE(YEAR($D23),MONTH($D23),1),AB$5&lt;=$E23)),'Phased Budget'!AD23,"")))</f>
        <v/>
      </c>
      <c r="AC23" s="42" t="str">
        <f aca="false">IF($B23="","",IF(AC$5&lt;=Projects!$C$2,IF(OR(IF($D23="",FALSE(),AND(AC$5&gt;=DATE(YEAR($D23),MONTH($D23),1),AC$5&lt;=$E23)),N('WIP Log'!AA23)&lt;&gt;0),N('WIP Log'!AA23),""),IF(IF($D23="",FALSE(),AND(AC$5&gt;=DATE(YEAR($D23),MONTH($D23),1),AC$5&lt;=$E23)),'Phased Budget'!AE23,"")))</f>
        <v/>
      </c>
      <c r="AD23" s="42" t="str">
        <f aca="false">IF($B23="","",IF(AD$5&lt;=Projects!$C$2,IF(OR(IF($D23="",FALSE(),AND(AD$5&gt;=DATE(YEAR($D23),MONTH($D23),1),AD$5&lt;=$E23)),N('WIP Log'!AB23)&lt;&gt;0),N('WIP Log'!AB23),""),IF(IF($D23="",FALSE(),AND(AD$5&gt;=DATE(YEAR($D23),MONTH($D23),1),AD$5&lt;=$E23)),'Phased Budget'!AF23,"")))</f>
        <v/>
      </c>
      <c r="AE23" s="42" t="str">
        <f aca="false">IF($B23="","",IF(AE$5&lt;=Projects!$C$2,IF(OR(IF($D23="",FALSE(),AND(AE$5&gt;=DATE(YEAR($D23),MONTH($D23),1),AE$5&lt;=$E23)),N('WIP Log'!AC23)&lt;&gt;0),N('WIP Log'!AC23),""),IF(IF($D23="",FALSE(),AND(AE$5&gt;=DATE(YEAR($D23),MONTH($D23),1),AE$5&lt;=$E23)),'Phased Budget'!AG23,"")))</f>
        <v/>
      </c>
      <c r="AF23" s="42" t="str">
        <f aca="false">IF($B23="","",IF(AF$5&lt;=Projects!$C$2,IF(OR(IF($D23="",FALSE(),AND(AF$5&gt;=DATE(YEAR($D23),MONTH($D23),1),AF$5&lt;=$E23)),N('WIP Log'!AD23)&lt;&gt;0),N('WIP Log'!AD23),""),IF(IF($D23="",FALSE(),AND(AF$5&gt;=DATE(YEAR($D23),MONTH($D23),1),AF$5&lt;=$E23)),'Phased Budget'!AH23,"")))</f>
        <v/>
      </c>
      <c r="AG23" s="42" t="str">
        <f aca="false">IF($B23="","",IF(AG$5&lt;=Projects!$C$2,IF(OR(IF($D23="",FALSE(),AND(AG$5&gt;=DATE(YEAR($D23),MONTH($D23),1),AG$5&lt;=$E23)),N('WIP Log'!AE23)&lt;&gt;0),N('WIP Log'!AE23),""),IF(IF($D23="",FALSE(),AND(AG$5&gt;=DATE(YEAR($D23),MONTH($D23),1),AG$5&lt;=$E23)),'Phased Budget'!AI23,"")))</f>
        <v/>
      </c>
      <c r="AH23" s="42" t="str">
        <f aca="false">IF($B23="","",IF(AH$5&lt;=Projects!$C$2,IF(OR(IF($D23="",FALSE(),AND(AH$5&gt;=DATE(YEAR($D23),MONTH($D23),1),AH$5&lt;=$E23)),N('WIP Log'!AF23)&lt;&gt;0),N('WIP Log'!AF23),""),IF(IF($D23="",FALSE(),AND(AH$5&gt;=DATE(YEAR($D23),MONTH($D23),1),AH$5&lt;=$E23)),'Phased Budget'!AJ23,"")))</f>
        <v/>
      </c>
      <c r="AI23" s="42" t="str">
        <f aca="false">IF($B23="","",IF(AI$5&lt;=Projects!$C$2,IF(OR(IF($D23="",FALSE(),AND(AI$5&gt;=DATE(YEAR($D23),MONTH($D23),1),AI$5&lt;=$E23)),N('WIP Log'!AG23)&lt;&gt;0),N('WIP Log'!AG23),""),IF(IF($D23="",FALSE(),AND(AI$5&gt;=DATE(YEAR($D23),MONTH($D23),1),AI$5&lt;=$E23)),'Phased Budget'!AK23,"")))</f>
        <v/>
      </c>
      <c r="AJ23" s="42" t="str">
        <f aca="false">IF($B23="","",IF(AJ$5&lt;=Projects!$C$2,IF(OR(IF($D23="",FALSE(),AND(AJ$5&gt;=DATE(YEAR($D23),MONTH($D23),1),AJ$5&lt;=$E23)),N('WIP Log'!AH23)&lt;&gt;0),N('WIP Log'!AH23),""),IF(IF($D23="",FALSE(),AND(AJ$5&gt;=DATE(YEAR($D23),MONTH($D23),1),AJ$5&lt;=$E23)),'Phased Budget'!AL23,"")))</f>
        <v/>
      </c>
      <c r="AK23" s="42" t="str">
        <f aca="false">IF($B23="","",IF(AK$5&lt;=Projects!$C$2,IF(OR(IF($D23="",FALSE(),AND(AK$5&gt;=DATE(YEAR($D23),MONTH($D23),1),AK$5&lt;=$E23)),N('WIP Log'!AI23)&lt;&gt;0),N('WIP Log'!AI23),""),IF(IF($D23="",FALSE(),AND(AK$5&gt;=DATE(YEAR($D23),MONTH($D23),1),AK$5&lt;=$E23)),'Phased Budget'!AM23,"")))</f>
        <v/>
      </c>
      <c r="AL23" s="42" t="str">
        <f aca="false">IF($B23="","",IF(AL$5&lt;=Projects!$C$2,IF(OR(IF($D23="",FALSE(),AND(AL$5&gt;=DATE(YEAR($D23),MONTH($D23),1),AL$5&lt;=$E23)),N('WIP Log'!AJ23)&lt;&gt;0),N('WIP Log'!AJ23),""),IF(IF($D23="",FALSE(),AND(AL$5&gt;=DATE(YEAR($D23),MONTH($D23),1),AL$5&lt;=$E23)),'Phased Budget'!AN23,"")))</f>
        <v/>
      </c>
      <c r="AM23" s="42" t="str">
        <f aca="false">IF($B23="","",IF(AM$5&lt;=Projects!$C$2,IF(OR(IF($D23="",FALSE(),AND(AM$5&gt;=DATE(YEAR($D23),MONTH($D23),1),AM$5&lt;=$E23)),N('WIP Log'!AK23)&lt;&gt;0),N('WIP Log'!AK23),""),IF(IF($D23="",FALSE(),AND(AM$5&gt;=DATE(YEAR($D23),MONTH($D23),1),AM$5&lt;=$E23)),'Phased Budget'!AO23,"")))</f>
        <v/>
      </c>
      <c r="AN23" s="42" t="str">
        <f aca="false">IF($B23="","",IF(AN$5&lt;=Projects!$C$2,IF(OR(IF($D23="",FALSE(),AND(AN$5&gt;=DATE(YEAR($D23),MONTH($D23),1),AN$5&lt;=$E23)),N('WIP Log'!AL23)&lt;&gt;0),N('WIP Log'!AL23),""),IF(IF($D23="",FALSE(),AND(AN$5&gt;=DATE(YEAR($D23),MONTH($D23),1),AN$5&lt;=$E23)),'Phased Budget'!AP23,"")))</f>
        <v/>
      </c>
      <c r="AO23" s="42" t="str">
        <f aca="false">IF($B23="","",IF(AO$5&lt;=Projects!$C$2,IF(OR(IF($D23="",FALSE(),AND(AO$5&gt;=DATE(YEAR($D23),MONTH($D23),1),AO$5&lt;=$E23)),N('WIP Log'!AM23)&lt;&gt;0),N('WIP Log'!AM23),""),IF(IF($D23="",FALSE(),AND(AO$5&gt;=DATE(YEAR($D23),MONTH($D23),1),AO$5&lt;=$E23)),'Phased Budget'!AQ23,"")))</f>
        <v/>
      </c>
    </row>
    <row r="24" customFormat="false" ht="15" hidden="false" customHeight="false" outlineLevel="0" collapsed="false">
      <c r="A24" s="20" t="n">
        <v>19</v>
      </c>
      <c r="B24" s="40" t="str">
        <f aca="false">IF(Projects!B24="","",Projects!B24)</f>
        <v/>
      </c>
      <c r="C24" s="40" t="str">
        <f aca="false">IF(Projects!C24="","",Projects!C24)</f>
        <v/>
      </c>
      <c r="D24" s="41" t="str">
        <f aca="false">IF(Projects!D24="","",Projects!D24)</f>
        <v/>
      </c>
      <c r="E24" s="41" t="str">
        <f aca="false">IF(Projects!F24="","",Projects!F24)</f>
        <v/>
      </c>
      <c r="F24" s="42" t="str">
        <f aca="false">IF($B24="","",IF(F$5&lt;=Projects!$C$2,IF(OR(IF($D24="",FALSE(),AND(F$5&gt;=DATE(YEAR($D24),MONTH($D24),1),F$5&lt;=$E24)),N('WIP Log'!D24)&lt;&gt;0),N('WIP Log'!D24),""),IF(IF($D24="",FALSE(),AND(F$5&gt;=DATE(YEAR($D24),MONTH($D24),1),F$5&lt;=$E24)),'Phased Budget'!H24,"")))</f>
        <v/>
      </c>
      <c r="G24" s="42" t="str">
        <f aca="false">IF($B24="","",IF(G$5&lt;=Projects!$C$2,IF(OR(IF($D24="",FALSE(),AND(G$5&gt;=DATE(YEAR($D24),MONTH($D24),1),G$5&lt;=$E24)),N('WIP Log'!E24)&lt;&gt;0),N('WIP Log'!E24),""),IF(IF($D24="",FALSE(),AND(G$5&gt;=DATE(YEAR($D24),MONTH($D24),1),G$5&lt;=$E24)),'Phased Budget'!I24,"")))</f>
        <v/>
      </c>
      <c r="H24" s="42" t="str">
        <f aca="false">IF($B24="","",IF(H$5&lt;=Projects!$C$2,IF(OR(IF($D24="",FALSE(),AND(H$5&gt;=DATE(YEAR($D24),MONTH($D24),1),H$5&lt;=$E24)),N('WIP Log'!F24)&lt;&gt;0),N('WIP Log'!F24),""),IF(IF($D24="",FALSE(),AND(H$5&gt;=DATE(YEAR($D24),MONTH($D24),1),H$5&lt;=$E24)),'Phased Budget'!J24,"")))</f>
        <v/>
      </c>
      <c r="I24" s="42" t="str">
        <f aca="false">IF($B24="","",IF(I$5&lt;=Projects!$C$2,IF(OR(IF($D24="",FALSE(),AND(I$5&gt;=DATE(YEAR($D24),MONTH($D24),1),I$5&lt;=$E24)),N('WIP Log'!G24)&lt;&gt;0),N('WIP Log'!G24),""),IF(IF($D24="",FALSE(),AND(I$5&gt;=DATE(YEAR($D24),MONTH($D24),1),I$5&lt;=$E24)),'Phased Budget'!K24,"")))</f>
        <v/>
      </c>
      <c r="J24" s="42" t="str">
        <f aca="false">IF($B24="","",IF(J$5&lt;=Projects!$C$2,IF(OR(IF($D24="",FALSE(),AND(J$5&gt;=DATE(YEAR($D24),MONTH($D24),1),J$5&lt;=$E24)),N('WIP Log'!H24)&lt;&gt;0),N('WIP Log'!H24),""),IF(IF($D24="",FALSE(),AND(J$5&gt;=DATE(YEAR($D24),MONTH($D24),1),J$5&lt;=$E24)),'Phased Budget'!L24,"")))</f>
        <v/>
      </c>
      <c r="K24" s="42" t="str">
        <f aca="false">IF($B24="","",IF(K$5&lt;=Projects!$C$2,IF(OR(IF($D24="",FALSE(),AND(K$5&gt;=DATE(YEAR($D24),MONTH($D24),1),K$5&lt;=$E24)),N('WIP Log'!I24)&lt;&gt;0),N('WIP Log'!I24),""),IF(IF($D24="",FALSE(),AND(K$5&gt;=DATE(YEAR($D24),MONTH($D24),1),K$5&lt;=$E24)),'Phased Budget'!M24,"")))</f>
        <v/>
      </c>
      <c r="L24" s="42" t="str">
        <f aca="false">IF($B24="","",IF(L$5&lt;=Projects!$C$2,IF(OR(IF($D24="",FALSE(),AND(L$5&gt;=DATE(YEAR($D24),MONTH($D24),1),L$5&lt;=$E24)),N('WIP Log'!J24)&lt;&gt;0),N('WIP Log'!J24),""),IF(IF($D24="",FALSE(),AND(L$5&gt;=DATE(YEAR($D24),MONTH($D24),1),L$5&lt;=$E24)),'Phased Budget'!N24,"")))</f>
        <v/>
      </c>
      <c r="M24" s="42" t="str">
        <f aca="false">IF($B24="","",IF(M$5&lt;=Projects!$C$2,IF(OR(IF($D24="",FALSE(),AND(M$5&gt;=DATE(YEAR($D24),MONTH($D24),1),M$5&lt;=$E24)),N('WIP Log'!K24)&lt;&gt;0),N('WIP Log'!K24),""),IF(IF($D24="",FALSE(),AND(M$5&gt;=DATE(YEAR($D24),MONTH($D24),1),M$5&lt;=$E24)),'Phased Budget'!O24,"")))</f>
        <v/>
      </c>
      <c r="N24" s="42" t="str">
        <f aca="false">IF($B24="","",IF(N$5&lt;=Projects!$C$2,IF(OR(IF($D24="",FALSE(),AND(N$5&gt;=DATE(YEAR($D24),MONTH($D24),1),N$5&lt;=$E24)),N('WIP Log'!L24)&lt;&gt;0),N('WIP Log'!L24),""),IF(IF($D24="",FALSE(),AND(N$5&gt;=DATE(YEAR($D24),MONTH($D24),1),N$5&lt;=$E24)),'Phased Budget'!P24,"")))</f>
        <v/>
      </c>
      <c r="O24" s="42" t="str">
        <f aca="false">IF($B24="","",IF(O$5&lt;=Projects!$C$2,IF(OR(IF($D24="",FALSE(),AND(O$5&gt;=DATE(YEAR($D24),MONTH($D24),1),O$5&lt;=$E24)),N('WIP Log'!M24)&lt;&gt;0),N('WIP Log'!M24),""),IF(IF($D24="",FALSE(),AND(O$5&gt;=DATE(YEAR($D24),MONTH($D24),1),O$5&lt;=$E24)),'Phased Budget'!Q24,"")))</f>
        <v/>
      </c>
      <c r="P24" s="42" t="str">
        <f aca="false">IF($B24="","",IF(P$5&lt;=Projects!$C$2,IF(OR(IF($D24="",FALSE(),AND(P$5&gt;=DATE(YEAR($D24),MONTH($D24),1),P$5&lt;=$E24)),N('WIP Log'!N24)&lt;&gt;0),N('WIP Log'!N24),""),IF(IF($D24="",FALSE(),AND(P$5&gt;=DATE(YEAR($D24),MONTH($D24),1),P$5&lt;=$E24)),'Phased Budget'!R24,"")))</f>
        <v/>
      </c>
      <c r="Q24" s="42" t="str">
        <f aca="false">IF($B24="","",IF(Q$5&lt;=Projects!$C$2,IF(OR(IF($D24="",FALSE(),AND(Q$5&gt;=DATE(YEAR($D24),MONTH($D24),1),Q$5&lt;=$E24)),N('WIP Log'!O24)&lt;&gt;0),N('WIP Log'!O24),""),IF(IF($D24="",FALSE(),AND(Q$5&gt;=DATE(YEAR($D24),MONTH($D24),1),Q$5&lt;=$E24)),'Phased Budget'!S24,"")))</f>
        <v/>
      </c>
      <c r="R24" s="42" t="str">
        <f aca="false">IF($B24="","",IF(R$5&lt;=Projects!$C$2,IF(OR(IF($D24="",FALSE(),AND(R$5&gt;=DATE(YEAR($D24),MONTH($D24),1),R$5&lt;=$E24)),N('WIP Log'!P24)&lt;&gt;0),N('WIP Log'!P24),""),IF(IF($D24="",FALSE(),AND(R$5&gt;=DATE(YEAR($D24),MONTH($D24),1),R$5&lt;=$E24)),'Phased Budget'!T24,"")))</f>
        <v/>
      </c>
      <c r="S24" s="42" t="str">
        <f aca="false">IF($B24="","",IF(S$5&lt;=Projects!$C$2,IF(OR(IF($D24="",FALSE(),AND(S$5&gt;=DATE(YEAR($D24),MONTH($D24),1),S$5&lt;=$E24)),N('WIP Log'!Q24)&lt;&gt;0),N('WIP Log'!Q24),""),IF(IF($D24="",FALSE(),AND(S$5&gt;=DATE(YEAR($D24),MONTH($D24),1),S$5&lt;=$E24)),'Phased Budget'!U24,"")))</f>
        <v/>
      </c>
      <c r="T24" s="42" t="str">
        <f aca="false">IF($B24="","",IF(T$5&lt;=Projects!$C$2,IF(OR(IF($D24="",FALSE(),AND(T$5&gt;=DATE(YEAR($D24),MONTH($D24),1),T$5&lt;=$E24)),N('WIP Log'!R24)&lt;&gt;0),N('WIP Log'!R24),""),IF(IF($D24="",FALSE(),AND(T$5&gt;=DATE(YEAR($D24),MONTH($D24),1),T$5&lt;=$E24)),'Phased Budget'!V24,"")))</f>
        <v/>
      </c>
      <c r="U24" s="42" t="str">
        <f aca="false">IF($B24="","",IF(U$5&lt;=Projects!$C$2,IF(OR(IF($D24="",FALSE(),AND(U$5&gt;=DATE(YEAR($D24),MONTH($D24),1),U$5&lt;=$E24)),N('WIP Log'!S24)&lt;&gt;0),N('WIP Log'!S24),""),IF(IF($D24="",FALSE(),AND(U$5&gt;=DATE(YEAR($D24),MONTH($D24),1),U$5&lt;=$E24)),'Phased Budget'!W24,"")))</f>
        <v/>
      </c>
      <c r="V24" s="42" t="str">
        <f aca="false">IF($B24="","",IF(V$5&lt;=Projects!$C$2,IF(OR(IF($D24="",FALSE(),AND(V$5&gt;=DATE(YEAR($D24),MONTH($D24),1),V$5&lt;=$E24)),N('WIP Log'!T24)&lt;&gt;0),N('WIP Log'!T24),""),IF(IF($D24="",FALSE(),AND(V$5&gt;=DATE(YEAR($D24),MONTH($D24),1),V$5&lt;=$E24)),'Phased Budget'!X24,"")))</f>
        <v/>
      </c>
      <c r="W24" s="42" t="str">
        <f aca="false">IF($B24="","",IF(W$5&lt;=Projects!$C$2,IF(OR(IF($D24="",FALSE(),AND(W$5&gt;=DATE(YEAR($D24),MONTH($D24),1),W$5&lt;=$E24)),N('WIP Log'!U24)&lt;&gt;0),N('WIP Log'!U24),""),IF(IF($D24="",FALSE(),AND(W$5&gt;=DATE(YEAR($D24),MONTH($D24),1),W$5&lt;=$E24)),'Phased Budget'!Y24,"")))</f>
        <v/>
      </c>
      <c r="X24" s="42" t="str">
        <f aca="false">IF($B24="","",IF(X$5&lt;=Projects!$C$2,IF(OR(IF($D24="",FALSE(),AND(X$5&gt;=DATE(YEAR($D24),MONTH($D24),1),X$5&lt;=$E24)),N('WIP Log'!V24)&lt;&gt;0),N('WIP Log'!V24),""),IF(IF($D24="",FALSE(),AND(X$5&gt;=DATE(YEAR($D24),MONTH($D24),1),X$5&lt;=$E24)),'Phased Budget'!Z24,"")))</f>
        <v/>
      </c>
      <c r="Y24" s="42" t="str">
        <f aca="false">IF($B24="","",IF(Y$5&lt;=Projects!$C$2,IF(OR(IF($D24="",FALSE(),AND(Y$5&gt;=DATE(YEAR($D24),MONTH($D24),1),Y$5&lt;=$E24)),N('WIP Log'!W24)&lt;&gt;0),N('WIP Log'!W24),""),IF(IF($D24="",FALSE(),AND(Y$5&gt;=DATE(YEAR($D24),MONTH($D24),1),Y$5&lt;=$E24)),'Phased Budget'!AA24,"")))</f>
        <v/>
      </c>
      <c r="Z24" s="42" t="str">
        <f aca="false">IF($B24="","",IF(Z$5&lt;=Projects!$C$2,IF(OR(IF($D24="",FALSE(),AND(Z$5&gt;=DATE(YEAR($D24),MONTH($D24),1),Z$5&lt;=$E24)),N('WIP Log'!X24)&lt;&gt;0),N('WIP Log'!X24),""),IF(IF($D24="",FALSE(),AND(Z$5&gt;=DATE(YEAR($D24),MONTH($D24),1),Z$5&lt;=$E24)),'Phased Budget'!AB24,"")))</f>
        <v/>
      </c>
      <c r="AA24" s="42" t="str">
        <f aca="false">IF($B24="","",IF(AA$5&lt;=Projects!$C$2,IF(OR(IF($D24="",FALSE(),AND(AA$5&gt;=DATE(YEAR($D24),MONTH($D24),1),AA$5&lt;=$E24)),N('WIP Log'!Y24)&lt;&gt;0),N('WIP Log'!Y24),""),IF(IF($D24="",FALSE(),AND(AA$5&gt;=DATE(YEAR($D24),MONTH($D24),1),AA$5&lt;=$E24)),'Phased Budget'!AC24,"")))</f>
        <v/>
      </c>
      <c r="AB24" s="42" t="str">
        <f aca="false">IF($B24="","",IF(AB$5&lt;=Projects!$C$2,IF(OR(IF($D24="",FALSE(),AND(AB$5&gt;=DATE(YEAR($D24),MONTH($D24),1),AB$5&lt;=$E24)),N('WIP Log'!Z24)&lt;&gt;0),N('WIP Log'!Z24),""),IF(IF($D24="",FALSE(),AND(AB$5&gt;=DATE(YEAR($D24),MONTH($D24),1),AB$5&lt;=$E24)),'Phased Budget'!AD24,"")))</f>
        <v/>
      </c>
      <c r="AC24" s="42" t="str">
        <f aca="false">IF($B24="","",IF(AC$5&lt;=Projects!$C$2,IF(OR(IF($D24="",FALSE(),AND(AC$5&gt;=DATE(YEAR($D24),MONTH($D24),1),AC$5&lt;=$E24)),N('WIP Log'!AA24)&lt;&gt;0),N('WIP Log'!AA24),""),IF(IF($D24="",FALSE(),AND(AC$5&gt;=DATE(YEAR($D24),MONTH($D24),1),AC$5&lt;=$E24)),'Phased Budget'!AE24,"")))</f>
        <v/>
      </c>
      <c r="AD24" s="42" t="str">
        <f aca="false">IF($B24="","",IF(AD$5&lt;=Projects!$C$2,IF(OR(IF($D24="",FALSE(),AND(AD$5&gt;=DATE(YEAR($D24),MONTH($D24),1),AD$5&lt;=$E24)),N('WIP Log'!AB24)&lt;&gt;0),N('WIP Log'!AB24),""),IF(IF($D24="",FALSE(),AND(AD$5&gt;=DATE(YEAR($D24),MONTH($D24),1),AD$5&lt;=$E24)),'Phased Budget'!AF24,"")))</f>
        <v/>
      </c>
      <c r="AE24" s="42" t="str">
        <f aca="false">IF($B24="","",IF(AE$5&lt;=Projects!$C$2,IF(OR(IF($D24="",FALSE(),AND(AE$5&gt;=DATE(YEAR($D24),MONTH($D24),1),AE$5&lt;=$E24)),N('WIP Log'!AC24)&lt;&gt;0),N('WIP Log'!AC24),""),IF(IF($D24="",FALSE(),AND(AE$5&gt;=DATE(YEAR($D24),MONTH($D24),1),AE$5&lt;=$E24)),'Phased Budget'!AG24,"")))</f>
        <v/>
      </c>
      <c r="AF24" s="42" t="str">
        <f aca="false">IF($B24="","",IF(AF$5&lt;=Projects!$C$2,IF(OR(IF($D24="",FALSE(),AND(AF$5&gt;=DATE(YEAR($D24),MONTH($D24),1),AF$5&lt;=$E24)),N('WIP Log'!AD24)&lt;&gt;0),N('WIP Log'!AD24),""),IF(IF($D24="",FALSE(),AND(AF$5&gt;=DATE(YEAR($D24),MONTH($D24),1),AF$5&lt;=$E24)),'Phased Budget'!AH24,"")))</f>
        <v/>
      </c>
      <c r="AG24" s="42" t="str">
        <f aca="false">IF($B24="","",IF(AG$5&lt;=Projects!$C$2,IF(OR(IF($D24="",FALSE(),AND(AG$5&gt;=DATE(YEAR($D24),MONTH($D24),1),AG$5&lt;=$E24)),N('WIP Log'!AE24)&lt;&gt;0),N('WIP Log'!AE24),""),IF(IF($D24="",FALSE(),AND(AG$5&gt;=DATE(YEAR($D24),MONTH($D24),1),AG$5&lt;=$E24)),'Phased Budget'!AI24,"")))</f>
        <v/>
      </c>
      <c r="AH24" s="42" t="str">
        <f aca="false">IF($B24="","",IF(AH$5&lt;=Projects!$C$2,IF(OR(IF($D24="",FALSE(),AND(AH$5&gt;=DATE(YEAR($D24),MONTH($D24),1),AH$5&lt;=$E24)),N('WIP Log'!AF24)&lt;&gt;0),N('WIP Log'!AF24),""),IF(IF($D24="",FALSE(),AND(AH$5&gt;=DATE(YEAR($D24),MONTH($D24),1),AH$5&lt;=$E24)),'Phased Budget'!AJ24,"")))</f>
        <v/>
      </c>
      <c r="AI24" s="42" t="str">
        <f aca="false">IF($B24="","",IF(AI$5&lt;=Projects!$C$2,IF(OR(IF($D24="",FALSE(),AND(AI$5&gt;=DATE(YEAR($D24),MONTH($D24),1),AI$5&lt;=$E24)),N('WIP Log'!AG24)&lt;&gt;0),N('WIP Log'!AG24),""),IF(IF($D24="",FALSE(),AND(AI$5&gt;=DATE(YEAR($D24),MONTH($D24),1),AI$5&lt;=$E24)),'Phased Budget'!AK24,"")))</f>
        <v/>
      </c>
      <c r="AJ24" s="42" t="str">
        <f aca="false">IF($B24="","",IF(AJ$5&lt;=Projects!$C$2,IF(OR(IF($D24="",FALSE(),AND(AJ$5&gt;=DATE(YEAR($D24),MONTH($D24),1),AJ$5&lt;=$E24)),N('WIP Log'!AH24)&lt;&gt;0),N('WIP Log'!AH24),""),IF(IF($D24="",FALSE(),AND(AJ$5&gt;=DATE(YEAR($D24),MONTH($D24),1),AJ$5&lt;=$E24)),'Phased Budget'!AL24,"")))</f>
        <v/>
      </c>
      <c r="AK24" s="42" t="str">
        <f aca="false">IF($B24="","",IF(AK$5&lt;=Projects!$C$2,IF(OR(IF($D24="",FALSE(),AND(AK$5&gt;=DATE(YEAR($D24),MONTH($D24),1),AK$5&lt;=$E24)),N('WIP Log'!AI24)&lt;&gt;0),N('WIP Log'!AI24),""),IF(IF($D24="",FALSE(),AND(AK$5&gt;=DATE(YEAR($D24),MONTH($D24),1),AK$5&lt;=$E24)),'Phased Budget'!AM24,"")))</f>
        <v/>
      </c>
      <c r="AL24" s="42" t="str">
        <f aca="false">IF($B24="","",IF(AL$5&lt;=Projects!$C$2,IF(OR(IF($D24="",FALSE(),AND(AL$5&gt;=DATE(YEAR($D24),MONTH($D24),1),AL$5&lt;=$E24)),N('WIP Log'!AJ24)&lt;&gt;0),N('WIP Log'!AJ24),""),IF(IF($D24="",FALSE(),AND(AL$5&gt;=DATE(YEAR($D24),MONTH($D24),1),AL$5&lt;=$E24)),'Phased Budget'!AN24,"")))</f>
        <v/>
      </c>
      <c r="AM24" s="42" t="str">
        <f aca="false">IF($B24="","",IF(AM$5&lt;=Projects!$C$2,IF(OR(IF($D24="",FALSE(),AND(AM$5&gt;=DATE(YEAR($D24),MONTH($D24),1),AM$5&lt;=$E24)),N('WIP Log'!AK24)&lt;&gt;0),N('WIP Log'!AK24),""),IF(IF($D24="",FALSE(),AND(AM$5&gt;=DATE(YEAR($D24),MONTH($D24),1),AM$5&lt;=$E24)),'Phased Budget'!AO24,"")))</f>
        <v/>
      </c>
      <c r="AN24" s="42" t="str">
        <f aca="false">IF($B24="","",IF(AN$5&lt;=Projects!$C$2,IF(OR(IF($D24="",FALSE(),AND(AN$5&gt;=DATE(YEAR($D24),MONTH($D24),1),AN$5&lt;=$E24)),N('WIP Log'!AL24)&lt;&gt;0),N('WIP Log'!AL24),""),IF(IF($D24="",FALSE(),AND(AN$5&gt;=DATE(YEAR($D24),MONTH($D24),1),AN$5&lt;=$E24)),'Phased Budget'!AP24,"")))</f>
        <v/>
      </c>
      <c r="AO24" s="42" t="str">
        <f aca="false">IF($B24="","",IF(AO$5&lt;=Projects!$C$2,IF(OR(IF($D24="",FALSE(),AND(AO$5&gt;=DATE(YEAR($D24),MONTH($D24),1),AO$5&lt;=$E24)),N('WIP Log'!AM24)&lt;&gt;0),N('WIP Log'!AM24),""),IF(IF($D24="",FALSE(),AND(AO$5&gt;=DATE(YEAR($D24),MONTH($D24),1),AO$5&lt;=$E24)),'Phased Budget'!AQ24,"")))</f>
        <v/>
      </c>
    </row>
    <row r="25" customFormat="false" ht="15" hidden="false" customHeight="false" outlineLevel="0" collapsed="false">
      <c r="A25" s="20" t="n">
        <v>20</v>
      </c>
      <c r="B25" s="40" t="str">
        <f aca="false">IF(Projects!B25="","",Projects!B25)</f>
        <v/>
      </c>
      <c r="C25" s="40" t="str">
        <f aca="false">IF(Projects!C25="","",Projects!C25)</f>
        <v/>
      </c>
      <c r="D25" s="41" t="str">
        <f aca="false">IF(Projects!D25="","",Projects!D25)</f>
        <v/>
      </c>
      <c r="E25" s="41" t="str">
        <f aca="false">IF(Projects!F25="","",Projects!F25)</f>
        <v/>
      </c>
      <c r="F25" s="42" t="str">
        <f aca="false">IF($B25="","",IF(F$5&lt;=Projects!$C$2,IF(OR(IF($D25="",FALSE(),AND(F$5&gt;=DATE(YEAR($D25),MONTH($D25),1),F$5&lt;=$E25)),N('WIP Log'!D25)&lt;&gt;0),N('WIP Log'!D25),""),IF(IF($D25="",FALSE(),AND(F$5&gt;=DATE(YEAR($D25),MONTH($D25),1),F$5&lt;=$E25)),'Phased Budget'!H25,"")))</f>
        <v/>
      </c>
      <c r="G25" s="42" t="str">
        <f aca="false">IF($B25="","",IF(G$5&lt;=Projects!$C$2,IF(OR(IF($D25="",FALSE(),AND(G$5&gt;=DATE(YEAR($D25),MONTH($D25),1),G$5&lt;=$E25)),N('WIP Log'!E25)&lt;&gt;0),N('WIP Log'!E25),""),IF(IF($D25="",FALSE(),AND(G$5&gt;=DATE(YEAR($D25),MONTH($D25),1),G$5&lt;=$E25)),'Phased Budget'!I25,"")))</f>
        <v/>
      </c>
      <c r="H25" s="42" t="str">
        <f aca="false">IF($B25="","",IF(H$5&lt;=Projects!$C$2,IF(OR(IF($D25="",FALSE(),AND(H$5&gt;=DATE(YEAR($D25),MONTH($D25),1),H$5&lt;=$E25)),N('WIP Log'!F25)&lt;&gt;0),N('WIP Log'!F25),""),IF(IF($D25="",FALSE(),AND(H$5&gt;=DATE(YEAR($D25),MONTH($D25),1),H$5&lt;=$E25)),'Phased Budget'!J25,"")))</f>
        <v/>
      </c>
      <c r="I25" s="42" t="str">
        <f aca="false">IF($B25="","",IF(I$5&lt;=Projects!$C$2,IF(OR(IF($D25="",FALSE(),AND(I$5&gt;=DATE(YEAR($D25),MONTH($D25),1),I$5&lt;=$E25)),N('WIP Log'!G25)&lt;&gt;0),N('WIP Log'!G25),""),IF(IF($D25="",FALSE(),AND(I$5&gt;=DATE(YEAR($D25),MONTH($D25),1),I$5&lt;=$E25)),'Phased Budget'!K25,"")))</f>
        <v/>
      </c>
      <c r="J25" s="42" t="str">
        <f aca="false">IF($B25="","",IF(J$5&lt;=Projects!$C$2,IF(OR(IF($D25="",FALSE(),AND(J$5&gt;=DATE(YEAR($D25),MONTH($D25),1),J$5&lt;=$E25)),N('WIP Log'!H25)&lt;&gt;0),N('WIP Log'!H25),""),IF(IF($D25="",FALSE(),AND(J$5&gt;=DATE(YEAR($D25),MONTH($D25),1),J$5&lt;=$E25)),'Phased Budget'!L25,"")))</f>
        <v/>
      </c>
      <c r="K25" s="42" t="str">
        <f aca="false">IF($B25="","",IF(K$5&lt;=Projects!$C$2,IF(OR(IF($D25="",FALSE(),AND(K$5&gt;=DATE(YEAR($D25),MONTH($D25),1),K$5&lt;=$E25)),N('WIP Log'!I25)&lt;&gt;0),N('WIP Log'!I25),""),IF(IF($D25="",FALSE(),AND(K$5&gt;=DATE(YEAR($D25),MONTH($D25),1),K$5&lt;=$E25)),'Phased Budget'!M25,"")))</f>
        <v/>
      </c>
      <c r="L25" s="42" t="str">
        <f aca="false">IF($B25="","",IF(L$5&lt;=Projects!$C$2,IF(OR(IF($D25="",FALSE(),AND(L$5&gt;=DATE(YEAR($D25),MONTH($D25),1),L$5&lt;=$E25)),N('WIP Log'!J25)&lt;&gt;0),N('WIP Log'!J25),""),IF(IF($D25="",FALSE(),AND(L$5&gt;=DATE(YEAR($D25),MONTH($D25),1),L$5&lt;=$E25)),'Phased Budget'!N25,"")))</f>
        <v/>
      </c>
      <c r="M25" s="42" t="str">
        <f aca="false">IF($B25="","",IF(M$5&lt;=Projects!$C$2,IF(OR(IF($D25="",FALSE(),AND(M$5&gt;=DATE(YEAR($D25),MONTH($D25),1),M$5&lt;=$E25)),N('WIP Log'!K25)&lt;&gt;0),N('WIP Log'!K25),""),IF(IF($D25="",FALSE(),AND(M$5&gt;=DATE(YEAR($D25),MONTH($D25),1),M$5&lt;=$E25)),'Phased Budget'!O25,"")))</f>
        <v/>
      </c>
      <c r="N25" s="42" t="str">
        <f aca="false">IF($B25="","",IF(N$5&lt;=Projects!$C$2,IF(OR(IF($D25="",FALSE(),AND(N$5&gt;=DATE(YEAR($D25),MONTH($D25),1),N$5&lt;=$E25)),N('WIP Log'!L25)&lt;&gt;0),N('WIP Log'!L25),""),IF(IF($D25="",FALSE(),AND(N$5&gt;=DATE(YEAR($D25),MONTH($D25),1),N$5&lt;=$E25)),'Phased Budget'!P25,"")))</f>
        <v/>
      </c>
      <c r="O25" s="42" t="str">
        <f aca="false">IF($B25="","",IF(O$5&lt;=Projects!$C$2,IF(OR(IF($D25="",FALSE(),AND(O$5&gt;=DATE(YEAR($D25),MONTH($D25),1),O$5&lt;=$E25)),N('WIP Log'!M25)&lt;&gt;0),N('WIP Log'!M25),""),IF(IF($D25="",FALSE(),AND(O$5&gt;=DATE(YEAR($D25),MONTH($D25),1),O$5&lt;=$E25)),'Phased Budget'!Q25,"")))</f>
        <v/>
      </c>
      <c r="P25" s="42" t="str">
        <f aca="false">IF($B25="","",IF(P$5&lt;=Projects!$C$2,IF(OR(IF($D25="",FALSE(),AND(P$5&gt;=DATE(YEAR($D25),MONTH($D25),1),P$5&lt;=$E25)),N('WIP Log'!N25)&lt;&gt;0),N('WIP Log'!N25),""),IF(IF($D25="",FALSE(),AND(P$5&gt;=DATE(YEAR($D25),MONTH($D25),1),P$5&lt;=$E25)),'Phased Budget'!R25,"")))</f>
        <v/>
      </c>
      <c r="Q25" s="42" t="str">
        <f aca="false">IF($B25="","",IF(Q$5&lt;=Projects!$C$2,IF(OR(IF($D25="",FALSE(),AND(Q$5&gt;=DATE(YEAR($D25),MONTH($D25),1),Q$5&lt;=$E25)),N('WIP Log'!O25)&lt;&gt;0),N('WIP Log'!O25),""),IF(IF($D25="",FALSE(),AND(Q$5&gt;=DATE(YEAR($D25),MONTH($D25),1),Q$5&lt;=$E25)),'Phased Budget'!S25,"")))</f>
        <v/>
      </c>
      <c r="R25" s="42" t="str">
        <f aca="false">IF($B25="","",IF(R$5&lt;=Projects!$C$2,IF(OR(IF($D25="",FALSE(),AND(R$5&gt;=DATE(YEAR($D25),MONTH($D25),1),R$5&lt;=$E25)),N('WIP Log'!P25)&lt;&gt;0),N('WIP Log'!P25),""),IF(IF($D25="",FALSE(),AND(R$5&gt;=DATE(YEAR($D25),MONTH($D25),1),R$5&lt;=$E25)),'Phased Budget'!T25,"")))</f>
        <v/>
      </c>
      <c r="S25" s="42" t="str">
        <f aca="false">IF($B25="","",IF(S$5&lt;=Projects!$C$2,IF(OR(IF($D25="",FALSE(),AND(S$5&gt;=DATE(YEAR($D25),MONTH($D25),1),S$5&lt;=$E25)),N('WIP Log'!Q25)&lt;&gt;0),N('WIP Log'!Q25),""),IF(IF($D25="",FALSE(),AND(S$5&gt;=DATE(YEAR($D25),MONTH($D25),1),S$5&lt;=$E25)),'Phased Budget'!U25,"")))</f>
        <v/>
      </c>
      <c r="T25" s="42" t="str">
        <f aca="false">IF($B25="","",IF(T$5&lt;=Projects!$C$2,IF(OR(IF($D25="",FALSE(),AND(T$5&gt;=DATE(YEAR($D25),MONTH($D25),1),T$5&lt;=$E25)),N('WIP Log'!R25)&lt;&gt;0),N('WIP Log'!R25),""),IF(IF($D25="",FALSE(),AND(T$5&gt;=DATE(YEAR($D25),MONTH($D25),1),T$5&lt;=$E25)),'Phased Budget'!V25,"")))</f>
        <v/>
      </c>
      <c r="U25" s="42" t="str">
        <f aca="false">IF($B25="","",IF(U$5&lt;=Projects!$C$2,IF(OR(IF($D25="",FALSE(),AND(U$5&gt;=DATE(YEAR($D25),MONTH($D25),1),U$5&lt;=$E25)),N('WIP Log'!S25)&lt;&gt;0),N('WIP Log'!S25),""),IF(IF($D25="",FALSE(),AND(U$5&gt;=DATE(YEAR($D25),MONTH($D25),1),U$5&lt;=$E25)),'Phased Budget'!W25,"")))</f>
        <v/>
      </c>
      <c r="V25" s="42" t="str">
        <f aca="false">IF($B25="","",IF(V$5&lt;=Projects!$C$2,IF(OR(IF($D25="",FALSE(),AND(V$5&gt;=DATE(YEAR($D25),MONTH($D25),1),V$5&lt;=$E25)),N('WIP Log'!T25)&lt;&gt;0),N('WIP Log'!T25),""),IF(IF($D25="",FALSE(),AND(V$5&gt;=DATE(YEAR($D25),MONTH($D25),1),V$5&lt;=$E25)),'Phased Budget'!X25,"")))</f>
        <v/>
      </c>
      <c r="W25" s="42" t="str">
        <f aca="false">IF($B25="","",IF(W$5&lt;=Projects!$C$2,IF(OR(IF($D25="",FALSE(),AND(W$5&gt;=DATE(YEAR($D25),MONTH($D25),1),W$5&lt;=$E25)),N('WIP Log'!U25)&lt;&gt;0),N('WIP Log'!U25),""),IF(IF($D25="",FALSE(),AND(W$5&gt;=DATE(YEAR($D25),MONTH($D25),1),W$5&lt;=$E25)),'Phased Budget'!Y25,"")))</f>
        <v/>
      </c>
      <c r="X25" s="42" t="str">
        <f aca="false">IF($B25="","",IF(X$5&lt;=Projects!$C$2,IF(OR(IF($D25="",FALSE(),AND(X$5&gt;=DATE(YEAR($D25),MONTH($D25),1),X$5&lt;=$E25)),N('WIP Log'!V25)&lt;&gt;0),N('WIP Log'!V25),""),IF(IF($D25="",FALSE(),AND(X$5&gt;=DATE(YEAR($D25),MONTH($D25),1),X$5&lt;=$E25)),'Phased Budget'!Z25,"")))</f>
        <v/>
      </c>
      <c r="Y25" s="42" t="str">
        <f aca="false">IF($B25="","",IF(Y$5&lt;=Projects!$C$2,IF(OR(IF($D25="",FALSE(),AND(Y$5&gt;=DATE(YEAR($D25),MONTH($D25),1),Y$5&lt;=$E25)),N('WIP Log'!W25)&lt;&gt;0),N('WIP Log'!W25),""),IF(IF($D25="",FALSE(),AND(Y$5&gt;=DATE(YEAR($D25),MONTH($D25),1),Y$5&lt;=$E25)),'Phased Budget'!AA25,"")))</f>
        <v/>
      </c>
      <c r="Z25" s="42" t="str">
        <f aca="false">IF($B25="","",IF(Z$5&lt;=Projects!$C$2,IF(OR(IF($D25="",FALSE(),AND(Z$5&gt;=DATE(YEAR($D25),MONTH($D25),1),Z$5&lt;=$E25)),N('WIP Log'!X25)&lt;&gt;0),N('WIP Log'!X25),""),IF(IF($D25="",FALSE(),AND(Z$5&gt;=DATE(YEAR($D25),MONTH($D25),1),Z$5&lt;=$E25)),'Phased Budget'!AB25,"")))</f>
        <v/>
      </c>
      <c r="AA25" s="42" t="str">
        <f aca="false">IF($B25="","",IF(AA$5&lt;=Projects!$C$2,IF(OR(IF($D25="",FALSE(),AND(AA$5&gt;=DATE(YEAR($D25),MONTH($D25),1),AA$5&lt;=$E25)),N('WIP Log'!Y25)&lt;&gt;0),N('WIP Log'!Y25),""),IF(IF($D25="",FALSE(),AND(AA$5&gt;=DATE(YEAR($D25),MONTH($D25),1),AA$5&lt;=$E25)),'Phased Budget'!AC25,"")))</f>
        <v/>
      </c>
      <c r="AB25" s="42" t="str">
        <f aca="false">IF($B25="","",IF(AB$5&lt;=Projects!$C$2,IF(OR(IF($D25="",FALSE(),AND(AB$5&gt;=DATE(YEAR($D25),MONTH($D25),1),AB$5&lt;=$E25)),N('WIP Log'!Z25)&lt;&gt;0),N('WIP Log'!Z25),""),IF(IF($D25="",FALSE(),AND(AB$5&gt;=DATE(YEAR($D25),MONTH($D25),1),AB$5&lt;=$E25)),'Phased Budget'!AD25,"")))</f>
        <v/>
      </c>
      <c r="AC25" s="42" t="str">
        <f aca="false">IF($B25="","",IF(AC$5&lt;=Projects!$C$2,IF(OR(IF($D25="",FALSE(),AND(AC$5&gt;=DATE(YEAR($D25),MONTH($D25),1),AC$5&lt;=$E25)),N('WIP Log'!AA25)&lt;&gt;0),N('WIP Log'!AA25),""),IF(IF($D25="",FALSE(),AND(AC$5&gt;=DATE(YEAR($D25),MONTH($D25),1),AC$5&lt;=$E25)),'Phased Budget'!AE25,"")))</f>
        <v/>
      </c>
      <c r="AD25" s="42" t="str">
        <f aca="false">IF($B25="","",IF(AD$5&lt;=Projects!$C$2,IF(OR(IF($D25="",FALSE(),AND(AD$5&gt;=DATE(YEAR($D25),MONTH($D25),1),AD$5&lt;=$E25)),N('WIP Log'!AB25)&lt;&gt;0),N('WIP Log'!AB25),""),IF(IF($D25="",FALSE(),AND(AD$5&gt;=DATE(YEAR($D25),MONTH($D25),1),AD$5&lt;=$E25)),'Phased Budget'!AF25,"")))</f>
        <v/>
      </c>
      <c r="AE25" s="42" t="str">
        <f aca="false">IF($B25="","",IF(AE$5&lt;=Projects!$C$2,IF(OR(IF($D25="",FALSE(),AND(AE$5&gt;=DATE(YEAR($D25),MONTH($D25),1),AE$5&lt;=$E25)),N('WIP Log'!AC25)&lt;&gt;0),N('WIP Log'!AC25),""),IF(IF($D25="",FALSE(),AND(AE$5&gt;=DATE(YEAR($D25),MONTH($D25),1),AE$5&lt;=$E25)),'Phased Budget'!AG25,"")))</f>
        <v/>
      </c>
      <c r="AF25" s="42" t="str">
        <f aca="false">IF($B25="","",IF(AF$5&lt;=Projects!$C$2,IF(OR(IF($D25="",FALSE(),AND(AF$5&gt;=DATE(YEAR($D25),MONTH($D25),1),AF$5&lt;=$E25)),N('WIP Log'!AD25)&lt;&gt;0),N('WIP Log'!AD25),""),IF(IF($D25="",FALSE(),AND(AF$5&gt;=DATE(YEAR($D25),MONTH($D25),1),AF$5&lt;=$E25)),'Phased Budget'!AH25,"")))</f>
        <v/>
      </c>
      <c r="AG25" s="42" t="str">
        <f aca="false">IF($B25="","",IF(AG$5&lt;=Projects!$C$2,IF(OR(IF($D25="",FALSE(),AND(AG$5&gt;=DATE(YEAR($D25),MONTH($D25),1),AG$5&lt;=$E25)),N('WIP Log'!AE25)&lt;&gt;0),N('WIP Log'!AE25),""),IF(IF($D25="",FALSE(),AND(AG$5&gt;=DATE(YEAR($D25),MONTH($D25),1),AG$5&lt;=$E25)),'Phased Budget'!AI25,"")))</f>
        <v/>
      </c>
      <c r="AH25" s="42" t="str">
        <f aca="false">IF($B25="","",IF(AH$5&lt;=Projects!$C$2,IF(OR(IF($D25="",FALSE(),AND(AH$5&gt;=DATE(YEAR($D25),MONTH($D25),1),AH$5&lt;=$E25)),N('WIP Log'!AF25)&lt;&gt;0),N('WIP Log'!AF25),""),IF(IF($D25="",FALSE(),AND(AH$5&gt;=DATE(YEAR($D25),MONTH($D25),1),AH$5&lt;=$E25)),'Phased Budget'!AJ25,"")))</f>
        <v/>
      </c>
      <c r="AI25" s="42" t="str">
        <f aca="false">IF($B25="","",IF(AI$5&lt;=Projects!$C$2,IF(OR(IF($D25="",FALSE(),AND(AI$5&gt;=DATE(YEAR($D25),MONTH($D25),1),AI$5&lt;=$E25)),N('WIP Log'!AG25)&lt;&gt;0),N('WIP Log'!AG25),""),IF(IF($D25="",FALSE(),AND(AI$5&gt;=DATE(YEAR($D25),MONTH($D25),1),AI$5&lt;=$E25)),'Phased Budget'!AK25,"")))</f>
        <v/>
      </c>
      <c r="AJ25" s="42" t="str">
        <f aca="false">IF($B25="","",IF(AJ$5&lt;=Projects!$C$2,IF(OR(IF($D25="",FALSE(),AND(AJ$5&gt;=DATE(YEAR($D25),MONTH($D25),1),AJ$5&lt;=$E25)),N('WIP Log'!AH25)&lt;&gt;0),N('WIP Log'!AH25),""),IF(IF($D25="",FALSE(),AND(AJ$5&gt;=DATE(YEAR($D25),MONTH($D25),1),AJ$5&lt;=$E25)),'Phased Budget'!AL25,"")))</f>
        <v/>
      </c>
      <c r="AK25" s="42" t="str">
        <f aca="false">IF($B25="","",IF(AK$5&lt;=Projects!$C$2,IF(OR(IF($D25="",FALSE(),AND(AK$5&gt;=DATE(YEAR($D25),MONTH($D25),1),AK$5&lt;=$E25)),N('WIP Log'!AI25)&lt;&gt;0),N('WIP Log'!AI25),""),IF(IF($D25="",FALSE(),AND(AK$5&gt;=DATE(YEAR($D25),MONTH($D25),1),AK$5&lt;=$E25)),'Phased Budget'!AM25,"")))</f>
        <v/>
      </c>
      <c r="AL25" s="42" t="str">
        <f aca="false">IF($B25="","",IF(AL$5&lt;=Projects!$C$2,IF(OR(IF($D25="",FALSE(),AND(AL$5&gt;=DATE(YEAR($D25),MONTH($D25),1),AL$5&lt;=$E25)),N('WIP Log'!AJ25)&lt;&gt;0),N('WIP Log'!AJ25),""),IF(IF($D25="",FALSE(),AND(AL$5&gt;=DATE(YEAR($D25),MONTH($D25),1),AL$5&lt;=$E25)),'Phased Budget'!AN25,"")))</f>
        <v/>
      </c>
      <c r="AM25" s="42" t="str">
        <f aca="false">IF($B25="","",IF(AM$5&lt;=Projects!$C$2,IF(OR(IF($D25="",FALSE(),AND(AM$5&gt;=DATE(YEAR($D25),MONTH($D25),1),AM$5&lt;=$E25)),N('WIP Log'!AK25)&lt;&gt;0),N('WIP Log'!AK25),""),IF(IF($D25="",FALSE(),AND(AM$5&gt;=DATE(YEAR($D25),MONTH($D25),1),AM$5&lt;=$E25)),'Phased Budget'!AO25,"")))</f>
        <v/>
      </c>
      <c r="AN25" s="42" t="str">
        <f aca="false">IF($B25="","",IF(AN$5&lt;=Projects!$C$2,IF(OR(IF($D25="",FALSE(),AND(AN$5&gt;=DATE(YEAR($D25),MONTH($D25),1),AN$5&lt;=$E25)),N('WIP Log'!AL25)&lt;&gt;0),N('WIP Log'!AL25),""),IF(IF($D25="",FALSE(),AND(AN$5&gt;=DATE(YEAR($D25),MONTH($D25),1),AN$5&lt;=$E25)),'Phased Budget'!AP25,"")))</f>
        <v/>
      </c>
      <c r="AO25" s="42" t="str">
        <f aca="false">IF($B25="","",IF(AO$5&lt;=Projects!$C$2,IF(OR(IF($D25="",FALSE(),AND(AO$5&gt;=DATE(YEAR($D25),MONTH($D25),1),AO$5&lt;=$E25)),N('WIP Log'!AM25)&lt;&gt;0),N('WIP Log'!AM25),""),IF(IF($D25="",FALSE(),AND(AO$5&gt;=DATE(YEAR($D25),MONTH($D25),1),AO$5&lt;=$E25)),'Phased Budget'!AQ25,"")))</f>
        <v/>
      </c>
    </row>
    <row r="26" customFormat="false" ht="15" hidden="false" customHeight="false" outlineLevel="0" collapsed="false">
      <c r="A26" s="20" t="n">
        <v>21</v>
      </c>
      <c r="B26" s="40" t="str">
        <f aca="false">IF(Projects!B26="","",Projects!B26)</f>
        <v/>
      </c>
      <c r="C26" s="40" t="str">
        <f aca="false">IF(Projects!C26="","",Projects!C26)</f>
        <v/>
      </c>
      <c r="D26" s="41" t="str">
        <f aca="false">IF(Projects!D26="","",Projects!D26)</f>
        <v/>
      </c>
      <c r="E26" s="41" t="str">
        <f aca="false">IF(Projects!F26="","",Projects!F26)</f>
        <v/>
      </c>
      <c r="F26" s="42" t="str">
        <f aca="false">IF($B26="","",IF(F$5&lt;=Projects!$C$2,IF(OR(IF($D26="",FALSE(),AND(F$5&gt;=DATE(YEAR($D26),MONTH($D26),1),F$5&lt;=$E26)),N('WIP Log'!D26)&lt;&gt;0),N('WIP Log'!D26),""),IF(IF($D26="",FALSE(),AND(F$5&gt;=DATE(YEAR($D26),MONTH($D26),1),F$5&lt;=$E26)),'Phased Budget'!H26,"")))</f>
        <v/>
      </c>
      <c r="G26" s="42" t="str">
        <f aca="false">IF($B26="","",IF(G$5&lt;=Projects!$C$2,IF(OR(IF($D26="",FALSE(),AND(G$5&gt;=DATE(YEAR($D26),MONTH($D26),1),G$5&lt;=$E26)),N('WIP Log'!E26)&lt;&gt;0),N('WIP Log'!E26),""),IF(IF($D26="",FALSE(),AND(G$5&gt;=DATE(YEAR($D26),MONTH($D26),1),G$5&lt;=$E26)),'Phased Budget'!I26,"")))</f>
        <v/>
      </c>
      <c r="H26" s="42" t="str">
        <f aca="false">IF($B26="","",IF(H$5&lt;=Projects!$C$2,IF(OR(IF($D26="",FALSE(),AND(H$5&gt;=DATE(YEAR($D26),MONTH($D26),1),H$5&lt;=$E26)),N('WIP Log'!F26)&lt;&gt;0),N('WIP Log'!F26),""),IF(IF($D26="",FALSE(),AND(H$5&gt;=DATE(YEAR($D26),MONTH($D26),1),H$5&lt;=$E26)),'Phased Budget'!J26,"")))</f>
        <v/>
      </c>
      <c r="I26" s="42" t="str">
        <f aca="false">IF($B26="","",IF(I$5&lt;=Projects!$C$2,IF(OR(IF($D26="",FALSE(),AND(I$5&gt;=DATE(YEAR($D26),MONTH($D26),1),I$5&lt;=$E26)),N('WIP Log'!G26)&lt;&gt;0),N('WIP Log'!G26),""),IF(IF($D26="",FALSE(),AND(I$5&gt;=DATE(YEAR($D26),MONTH($D26),1),I$5&lt;=$E26)),'Phased Budget'!K26,"")))</f>
        <v/>
      </c>
      <c r="J26" s="42" t="str">
        <f aca="false">IF($B26="","",IF(J$5&lt;=Projects!$C$2,IF(OR(IF($D26="",FALSE(),AND(J$5&gt;=DATE(YEAR($D26),MONTH($D26),1),J$5&lt;=$E26)),N('WIP Log'!H26)&lt;&gt;0),N('WIP Log'!H26),""),IF(IF($D26="",FALSE(),AND(J$5&gt;=DATE(YEAR($D26),MONTH($D26),1),J$5&lt;=$E26)),'Phased Budget'!L26,"")))</f>
        <v/>
      </c>
      <c r="K26" s="42" t="str">
        <f aca="false">IF($B26="","",IF(K$5&lt;=Projects!$C$2,IF(OR(IF($D26="",FALSE(),AND(K$5&gt;=DATE(YEAR($D26),MONTH($D26),1),K$5&lt;=$E26)),N('WIP Log'!I26)&lt;&gt;0),N('WIP Log'!I26),""),IF(IF($D26="",FALSE(),AND(K$5&gt;=DATE(YEAR($D26),MONTH($D26),1),K$5&lt;=$E26)),'Phased Budget'!M26,"")))</f>
        <v/>
      </c>
      <c r="L26" s="42" t="str">
        <f aca="false">IF($B26="","",IF(L$5&lt;=Projects!$C$2,IF(OR(IF($D26="",FALSE(),AND(L$5&gt;=DATE(YEAR($D26),MONTH($D26),1),L$5&lt;=$E26)),N('WIP Log'!J26)&lt;&gt;0),N('WIP Log'!J26),""),IF(IF($D26="",FALSE(),AND(L$5&gt;=DATE(YEAR($D26),MONTH($D26),1),L$5&lt;=$E26)),'Phased Budget'!N26,"")))</f>
        <v/>
      </c>
      <c r="M26" s="42" t="str">
        <f aca="false">IF($B26="","",IF(M$5&lt;=Projects!$C$2,IF(OR(IF($D26="",FALSE(),AND(M$5&gt;=DATE(YEAR($D26),MONTH($D26),1),M$5&lt;=$E26)),N('WIP Log'!K26)&lt;&gt;0),N('WIP Log'!K26),""),IF(IF($D26="",FALSE(),AND(M$5&gt;=DATE(YEAR($D26),MONTH($D26),1),M$5&lt;=$E26)),'Phased Budget'!O26,"")))</f>
        <v/>
      </c>
      <c r="N26" s="42" t="str">
        <f aca="false">IF($B26="","",IF(N$5&lt;=Projects!$C$2,IF(OR(IF($D26="",FALSE(),AND(N$5&gt;=DATE(YEAR($D26),MONTH($D26),1),N$5&lt;=$E26)),N('WIP Log'!L26)&lt;&gt;0),N('WIP Log'!L26),""),IF(IF($D26="",FALSE(),AND(N$5&gt;=DATE(YEAR($D26),MONTH($D26),1),N$5&lt;=$E26)),'Phased Budget'!P26,"")))</f>
        <v/>
      </c>
      <c r="O26" s="42" t="str">
        <f aca="false">IF($B26="","",IF(O$5&lt;=Projects!$C$2,IF(OR(IF($D26="",FALSE(),AND(O$5&gt;=DATE(YEAR($D26),MONTH($D26),1),O$5&lt;=$E26)),N('WIP Log'!M26)&lt;&gt;0),N('WIP Log'!M26),""),IF(IF($D26="",FALSE(),AND(O$5&gt;=DATE(YEAR($D26),MONTH($D26),1),O$5&lt;=$E26)),'Phased Budget'!Q26,"")))</f>
        <v/>
      </c>
      <c r="P26" s="42" t="str">
        <f aca="false">IF($B26="","",IF(P$5&lt;=Projects!$C$2,IF(OR(IF($D26="",FALSE(),AND(P$5&gt;=DATE(YEAR($D26),MONTH($D26),1),P$5&lt;=$E26)),N('WIP Log'!N26)&lt;&gt;0),N('WIP Log'!N26),""),IF(IF($D26="",FALSE(),AND(P$5&gt;=DATE(YEAR($D26),MONTH($D26),1),P$5&lt;=$E26)),'Phased Budget'!R26,"")))</f>
        <v/>
      </c>
      <c r="Q26" s="42" t="str">
        <f aca="false">IF($B26="","",IF(Q$5&lt;=Projects!$C$2,IF(OR(IF($D26="",FALSE(),AND(Q$5&gt;=DATE(YEAR($D26),MONTH($D26),1),Q$5&lt;=$E26)),N('WIP Log'!O26)&lt;&gt;0),N('WIP Log'!O26),""),IF(IF($D26="",FALSE(),AND(Q$5&gt;=DATE(YEAR($D26),MONTH($D26),1),Q$5&lt;=$E26)),'Phased Budget'!S26,"")))</f>
        <v/>
      </c>
      <c r="R26" s="42" t="str">
        <f aca="false">IF($B26="","",IF(R$5&lt;=Projects!$C$2,IF(OR(IF($D26="",FALSE(),AND(R$5&gt;=DATE(YEAR($D26),MONTH($D26),1),R$5&lt;=$E26)),N('WIP Log'!P26)&lt;&gt;0),N('WIP Log'!P26),""),IF(IF($D26="",FALSE(),AND(R$5&gt;=DATE(YEAR($D26),MONTH($D26),1),R$5&lt;=$E26)),'Phased Budget'!T26,"")))</f>
        <v/>
      </c>
      <c r="S26" s="42" t="str">
        <f aca="false">IF($B26="","",IF(S$5&lt;=Projects!$C$2,IF(OR(IF($D26="",FALSE(),AND(S$5&gt;=DATE(YEAR($D26),MONTH($D26),1),S$5&lt;=$E26)),N('WIP Log'!Q26)&lt;&gt;0),N('WIP Log'!Q26),""),IF(IF($D26="",FALSE(),AND(S$5&gt;=DATE(YEAR($D26),MONTH($D26),1),S$5&lt;=$E26)),'Phased Budget'!U26,"")))</f>
        <v/>
      </c>
      <c r="T26" s="42" t="str">
        <f aca="false">IF($B26="","",IF(T$5&lt;=Projects!$C$2,IF(OR(IF($D26="",FALSE(),AND(T$5&gt;=DATE(YEAR($D26),MONTH($D26),1),T$5&lt;=$E26)),N('WIP Log'!R26)&lt;&gt;0),N('WIP Log'!R26),""),IF(IF($D26="",FALSE(),AND(T$5&gt;=DATE(YEAR($D26),MONTH($D26),1),T$5&lt;=$E26)),'Phased Budget'!V26,"")))</f>
        <v/>
      </c>
      <c r="U26" s="42" t="str">
        <f aca="false">IF($B26="","",IF(U$5&lt;=Projects!$C$2,IF(OR(IF($D26="",FALSE(),AND(U$5&gt;=DATE(YEAR($D26),MONTH($D26),1),U$5&lt;=$E26)),N('WIP Log'!S26)&lt;&gt;0),N('WIP Log'!S26),""),IF(IF($D26="",FALSE(),AND(U$5&gt;=DATE(YEAR($D26),MONTH($D26),1),U$5&lt;=$E26)),'Phased Budget'!W26,"")))</f>
        <v/>
      </c>
      <c r="V26" s="42" t="str">
        <f aca="false">IF($B26="","",IF(V$5&lt;=Projects!$C$2,IF(OR(IF($D26="",FALSE(),AND(V$5&gt;=DATE(YEAR($D26),MONTH($D26),1),V$5&lt;=$E26)),N('WIP Log'!T26)&lt;&gt;0),N('WIP Log'!T26),""),IF(IF($D26="",FALSE(),AND(V$5&gt;=DATE(YEAR($D26),MONTH($D26),1),V$5&lt;=$E26)),'Phased Budget'!X26,"")))</f>
        <v/>
      </c>
      <c r="W26" s="42" t="str">
        <f aca="false">IF($B26="","",IF(W$5&lt;=Projects!$C$2,IF(OR(IF($D26="",FALSE(),AND(W$5&gt;=DATE(YEAR($D26),MONTH($D26),1),W$5&lt;=$E26)),N('WIP Log'!U26)&lt;&gt;0),N('WIP Log'!U26),""),IF(IF($D26="",FALSE(),AND(W$5&gt;=DATE(YEAR($D26),MONTH($D26),1),W$5&lt;=$E26)),'Phased Budget'!Y26,"")))</f>
        <v/>
      </c>
      <c r="X26" s="42" t="str">
        <f aca="false">IF($B26="","",IF(X$5&lt;=Projects!$C$2,IF(OR(IF($D26="",FALSE(),AND(X$5&gt;=DATE(YEAR($D26),MONTH($D26),1),X$5&lt;=$E26)),N('WIP Log'!V26)&lt;&gt;0),N('WIP Log'!V26),""),IF(IF($D26="",FALSE(),AND(X$5&gt;=DATE(YEAR($D26),MONTH($D26),1),X$5&lt;=$E26)),'Phased Budget'!Z26,"")))</f>
        <v/>
      </c>
      <c r="Y26" s="42" t="str">
        <f aca="false">IF($B26="","",IF(Y$5&lt;=Projects!$C$2,IF(OR(IF($D26="",FALSE(),AND(Y$5&gt;=DATE(YEAR($D26),MONTH($D26),1),Y$5&lt;=$E26)),N('WIP Log'!W26)&lt;&gt;0),N('WIP Log'!W26),""),IF(IF($D26="",FALSE(),AND(Y$5&gt;=DATE(YEAR($D26),MONTH($D26),1),Y$5&lt;=$E26)),'Phased Budget'!AA26,"")))</f>
        <v/>
      </c>
      <c r="Z26" s="42" t="str">
        <f aca="false">IF($B26="","",IF(Z$5&lt;=Projects!$C$2,IF(OR(IF($D26="",FALSE(),AND(Z$5&gt;=DATE(YEAR($D26),MONTH($D26),1),Z$5&lt;=$E26)),N('WIP Log'!X26)&lt;&gt;0),N('WIP Log'!X26),""),IF(IF($D26="",FALSE(),AND(Z$5&gt;=DATE(YEAR($D26),MONTH($D26),1),Z$5&lt;=$E26)),'Phased Budget'!AB26,"")))</f>
        <v/>
      </c>
      <c r="AA26" s="42" t="str">
        <f aca="false">IF($B26="","",IF(AA$5&lt;=Projects!$C$2,IF(OR(IF($D26="",FALSE(),AND(AA$5&gt;=DATE(YEAR($D26),MONTH($D26),1),AA$5&lt;=$E26)),N('WIP Log'!Y26)&lt;&gt;0),N('WIP Log'!Y26),""),IF(IF($D26="",FALSE(),AND(AA$5&gt;=DATE(YEAR($D26),MONTH($D26),1),AA$5&lt;=$E26)),'Phased Budget'!AC26,"")))</f>
        <v/>
      </c>
      <c r="AB26" s="42" t="str">
        <f aca="false">IF($B26="","",IF(AB$5&lt;=Projects!$C$2,IF(OR(IF($D26="",FALSE(),AND(AB$5&gt;=DATE(YEAR($D26),MONTH($D26),1),AB$5&lt;=$E26)),N('WIP Log'!Z26)&lt;&gt;0),N('WIP Log'!Z26),""),IF(IF($D26="",FALSE(),AND(AB$5&gt;=DATE(YEAR($D26),MONTH($D26),1),AB$5&lt;=$E26)),'Phased Budget'!AD26,"")))</f>
        <v/>
      </c>
      <c r="AC26" s="42" t="str">
        <f aca="false">IF($B26="","",IF(AC$5&lt;=Projects!$C$2,IF(OR(IF($D26="",FALSE(),AND(AC$5&gt;=DATE(YEAR($D26),MONTH($D26),1),AC$5&lt;=$E26)),N('WIP Log'!AA26)&lt;&gt;0),N('WIP Log'!AA26),""),IF(IF($D26="",FALSE(),AND(AC$5&gt;=DATE(YEAR($D26),MONTH($D26),1),AC$5&lt;=$E26)),'Phased Budget'!AE26,"")))</f>
        <v/>
      </c>
      <c r="AD26" s="42" t="str">
        <f aca="false">IF($B26="","",IF(AD$5&lt;=Projects!$C$2,IF(OR(IF($D26="",FALSE(),AND(AD$5&gt;=DATE(YEAR($D26),MONTH($D26),1),AD$5&lt;=$E26)),N('WIP Log'!AB26)&lt;&gt;0),N('WIP Log'!AB26),""),IF(IF($D26="",FALSE(),AND(AD$5&gt;=DATE(YEAR($D26),MONTH($D26),1),AD$5&lt;=$E26)),'Phased Budget'!AF26,"")))</f>
        <v/>
      </c>
      <c r="AE26" s="42" t="str">
        <f aca="false">IF($B26="","",IF(AE$5&lt;=Projects!$C$2,IF(OR(IF($D26="",FALSE(),AND(AE$5&gt;=DATE(YEAR($D26),MONTH($D26),1),AE$5&lt;=$E26)),N('WIP Log'!AC26)&lt;&gt;0),N('WIP Log'!AC26),""),IF(IF($D26="",FALSE(),AND(AE$5&gt;=DATE(YEAR($D26),MONTH($D26),1),AE$5&lt;=$E26)),'Phased Budget'!AG26,"")))</f>
        <v/>
      </c>
      <c r="AF26" s="42" t="str">
        <f aca="false">IF($B26="","",IF(AF$5&lt;=Projects!$C$2,IF(OR(IF($D26="",FALSE(),AND(AF$5&gt;=DATE(YEAR($D26),MONTH($D26),1),AF$5&lt;=$E26)),N('WIP Log'!AD26)&lt;&gt;0),N('WIP Log'!AD26),""),IF(IF($D26="",FALSE(),AND(AF$5&gt;=DATE(YEAR($D26),MONTH($D26),1),AF$5&lt;=$E26)),'Phased Budget'!AH26,"")))</f>
        <v/>
      </c>
      <c r="AG26" s="42" t="str">
        <f aca="false">IF($B26="","",IF(AG$5&lt;=Projects!$C$2,IF(OR(IF($D26="",FALSE(),AND(AG$5&gt;=DATE(YEAR($D26),MONTH($D26),1),AG$5&lt;=$E26)),N('WIP Log'!AE26)&lt;&gt;0),N('WIP Log'!AE26),""),IF(IF($D26="",FALSE(),AND(AG$5&gt;=DATE(YEAR($D26),MONTH($D26),1),AG$5&lt;=$E26)),'Phased Budget'!AI26,"")))</f>
        <v/>
      </c>
      <c r="AH26" s="42" t="str">
        <f aca="false">IF($B26="","",IF(AH$5&lt;=Projects!$C$2,IF(OR(IF($D26="",FALSE(),AND(AH$5&gt;=DATE(YEAR($D26),MONTH($D26),1),AH$5&lt;=$E26)),N('WIP Log'!AF26)&lt;&gt;0),N('WIP Log'!AF26),""),IF(IF($D26="",FALSE(),AND(AH$5&gt;=DATE(YEAR($D26),MONTH($D26),1),AH$5&lt;=$E26)),'Phased Budget'!AJ26,"")))</f>
        <v/>
      </c>
      <c r="AI26" s="42" t="str">
        <f aca="false">IF($B26="","",IF(AI$5&lt;=Projects!$C$2,IF(OR(IF($D26="",FALSE(),AND(AI$5&gt;=DATE(YEAR($D26),MONTH($D26),1),AI$5&lt;=$E26)),N('WIP Log'!AG26)&lt;&gt;0),N('WIP Log'!AG26),""),IF(IF($D26="",FALSE(),AND(AI$5&gt;=DATE(YEAR($D26),MONTH($D26),1),AI$5&lt;=$E26)),'Phased Budget'!AK26,"")))</f>
        <v/>
      </c>
      <c r="AJ26" s="42" t="str">
        <f aca="false">IF($B26="","",IF(AJ$5&lt;=Projects!$C$2,IF(OR(IF($D26="",FALSE(),AND(AJ$5&gt;=DATE(YEAR($D26),MONTH($D26),1),AJ$5&lt;=$E26)),N('WIP Log'!AH26)&lt;&gt;0),N('WIP Log'!AH26),""),IF(IF($D26="",FALSE(),AND(AJ$5&gt;=DATE(YEAR($D26),MONTH($D26),1),AJ$5&lt;=$E26)),'Phased Budget'!AL26,"")))</f>
        <v/>
      </c>
      <c r="AK26" s="42" t="str">
        <f aca="false">IF($B26="","",IF(AK$5&lt;=Projects!$C$2,IF(OR(IF($D26="",FALSE(),AND(AK$5&gt;=DATE(YEAR($D26),MONTH($D26),1),AK$5&lt;=$E26)),N('WIP Log'!AI26)&lt;&gt;0),N('WIP Log'!AI26),""),IF(IF($D26="",FALSE(),AND(AK$5&gt;=DATE(YEAR($D26),MONTH($D26),1),AK$5&lt;=$E26)),'Phased Budget'!AM26,"")))</f>
        <v/>
      </c>
      <c r="AL26" s="42" t="str">
        <f aca="false">IF($B26="","",IF(AL$5&lt;=Projects!$C$2,IF(OR(IF($D26="",FALSE(),AND(AL$5&gt;=DATE(YEAR($D26),MONTH($D26),1),AL$5&lt;=$E26)),N('WIP Log'!AJ26)&lt;&gt;0),N('WIP Log'!AJ26),""),IF(IF($D26="",FALSE(),AND(AL$5&gt;=DATE(YEAR($D26),MONTH($D26),1),AL$5&lt;=$E26)),'Phased Budget'!AN26,"")))</f>
        <v/>
      </c>
      <c r="AM26" s="42" t="str">
        <f aca="false">IF($B26="","",IF(AM$5&lt;=Projects!$C$2,IF(OR(IF($D26="",FALSE(),AND(AM$5&gt;=DATE(YEAR($D26),MONTH($D26),1),AM$5&lt;=$E26)),N('WIP Log'!AK26)&lt;&gt;0),N('WIP Log'!AK26),""),IF(IF($D26="",FALSE(),AND(AM$5&gt;=DATE(YEAR($D26),MONTH($D26),1),AM$5&lt;=$E26)),'Phased Budget'!AO26,"")))</f>
        <v/>
      </c>
      <c r="AN26" s="42" t="str">
        <f aca="false">IF($B26="","",IF(AN$5&lt;=Projects!$C$2,IF(OR(IF($D26="",FALSE(),AND(AN$5&gt;=DATE(YEAR($D26),MONTH($D26),1),AN$5&lt;=$E26)),N('WIP Log'!AL26)&lt;&gt;0),N('WIP Log'!AL26),""),IF(IF($D26="",FALSE(),AND(AN$5&gt;=DATE(YEAR($D26),MONTH($D26),1),AN$5&lt;=$E26)),'Phased Budget'!AP26,"")))</f>
        <v/>
      </c>
      <c r="AO26" s="42" t="str">
        <f aca="false">IF($B26="","",IF(AO$5&lt;=Projects!$C$2,IF(OR(IF($D26="",FALSE(),AND(AO$5&gt;=DATE(YEAR($D26),MONTH($D26),1),AO$5&lt;=$E26)),N('WIP Log'!AM26)&lt;&gt;0),N('WIP Log'!AM26),""),IF(IF($D26="",FALSE(),AND(AO$5&gt;=DATE(YEAR($D26),MONTH($D26),1),AO$5&lt;=$E26)),'Phased Budget'!AQ26,"")))</f>
        <v/>
      </c>
    </row>
    <row r="27" customFormat="false" ht="15" hidden="false" customHeight="false" outlineLevel="0" collapsed="false">
      <c r="A27" s="20" t="n">
        <v>22</v>
      </c>
      <c r="B27" s="40" t="str">
        <f aca="false">IF(Projects!B27="","",Projects!B27)</f>
        <v/>
      </c>
      <c r="C27" s="40" t="str">
        <f aca="false">IF(Projects!C27="","",Projects!C27)</f>
        <v/>
      </c>
      <c r="D27" s="41" t="str">
        <f aca="false">IF(Projects!D27="","",Projects!D27)</f>
        <v/>
      </c>
      <c r="E27" s="41" t="str">
        <f aca="false">IF(Projects!F27="","",Projects!F27)</f>
        <v/>
      </c>
      <c r="F27" s="42" t="str">
        <f aca="false">IF($B27="","",IF(F$5&lt;=Projects!$C$2,IF(OR(IF($D27="",FALSE(),AND(F$5&gt;=DATE(YEAR($D27),MONTH($D27),1),F$5&lt;=$E27)),N('WIP Log'!D27)&lt;&gt;0),N('WIP Log'!D27),""),IF(IF($D27="",FALSE(),AND(F$5&gt;=DATE(YEAR($D27),MONTH($D27),1),F$5&lt;=$E27)),'Phased Budget'!H27,"")))</f>
        <v/>
      </c>
      <c r="G27" s="42" t="str">
        <f aca="false">IF($B27="","",IF(G$5&lt;=Projects!$C$2,IF(OR(IF($D27="",FALSE(),AND(G$5&gt;=DATE(YEAR($D27),MONTH($D27),1),G$5&lt;=$E27)),N('WIP Log'!E27)&lt;&gt;0),N('WIP Log'!E27),""),IF(IF($D27="",FALSE(),AND(G$5&gt;=DATE(YEAR($D27),MONTH($D27),1),G$5&lt;=$E27)),'Phased Budget'!I27,"")))</f>
        <v/>
      </c>
      <c r="H27" s="42" t="str">
        <f aca="false">IF($B27="","",IF(H$5&lt;=Projects!$C$2,IF(OR(IF($D27="",FALSE(),AND(H$5&gt;=DATE(YEAR($D27),MONTH($D27),1),H$5&lt;=$E27)),N('WIP Log'!F27)&lt;&gt;0),N('WIP Log'!F27),""),IF(IF($D27="",FALSE(),AND(H$5&gt;=DATE(YEAR($D27),MONTH($D27),1),H$5&lt;=$E27)),'Phased Budget'!J27,"")))</f>
        <v/>
      </c>
      <c r="I27" s="42" t="str">
        <f aca="false">IF($B27="","",IF(I$5&lt;=Projects!$C$2,IF(OR(IF($D27="",FALSE(),AND(I$5&gt;=DATE(YEAR($D27),MONTH($D27),1),I$5&lt;=$E27)),N('WIP Log'!G27)&lt;&gt;0),N('WIP Log'!G27),""),IF(IF($D27="",FALSE(),AND(I$5&gt;=DATE(YEAR($D27),MONTH($D27),1),I$5&lt;=$E27)),'Phased Budget'!K27,"")))</f>
        <v/>
      </c>
      <c r="J27" s="42" t="str">
        <f aca="false">IF($B27="","",IF(J$5&lt;=Projects!$C$2,IF(OR(IF($D27="",FALSE(),AND(J$5&gt;=DATE(YEAR($D27),MONTH($D27),1),J$5&lt;=$E27)),N('WIP Log'!H27)&lt;&gt;0),N('WIP Log'!H27),""),IF(IF($D27="",FALSE(),AND(J$5&gt;=DATE(YEAR($D27),MONTH($D27),1),J$5&lt;=$E27)),'Phased Budget'!L27,"")))</f>
        <v/>
      </c>
      <c r="K27" s="42" t="str">
        <f aca="false">IF($B27="","",IF(K$5&lt;=Projects!$C$2,IF(OR(IF($D27="",FALSE(),AND(K$5&gt;=DATE(YEAR($D27),MONTH($D27),1),K$5&lt;=$E27)),N('WIP Log'!I27)&lt;&gt;0),N('WIP Log'!I27),""),IF(IF($D27="",FALSE(),AND(K$5&gt;=DATE(YEAR($D27),MONTH($D27),1),K$5&lt;=$E27)),'Phased Budget'!M27,"")))</f>
        <v/>
      </c>
      <c r="L27" s="42" t="str">
        <f aca="false">IF($B27="","",IF(L$5&lt;=Projects!$C$2,IF(OR(IF($D27="",FALSE(),AND(L$5&gt;=DATE(YEAR($D27),MONTH($D27),1),L$5&lt;=$E27)),N('WIP Log'!J27)&lt;&gt;0),N('WIP Log'!J27),""),IF(IF($D27="",FALSE(),AND(L$5&gt;=DATE(YEAR($D27),MONTH($D27),1),L$5&lt;=$E27)),'Phased Budget'!N27,"")))</f>
        <v/>
      </c>
      <c r="M27" s="42" t="str">
        <f aca="false">IF($B27="","",IF(M$5&lt;=Projects!$C$2,IF(OR(IF($D27="",FALSE(),AND(M$5&gt;=DATE(YEAR($D27),MONTH($D27),1),M$5&lt;=$E27)),N('WIP Log'!K27)&lt;&gt;0),N('WIP Log'!K27),""),IF(IF($D27="",FALSE(),AND(M$5&gt;=DATE(YEAR($D27),MONTH($D27),1),M$5&lt;=$E27)),'Phased Budget'!O27,"")))</f>
        <v/>
      </c>
      <c r="N27" s="42" t="str">
        <f aca="false">IF($B27="","",IF(N$5&lt;=Projects!$C$2,IF(OR(IF($D27="",FALSE(),AND(N$5&gt;=DATE(YEAR($D27),MONTH($D27),1),N$5&lt;=$E27)),N('WIP Log'!L27)&lt;&gt;0),N('WIP Log'!L27),""),IF(IF($D27="",FALSE(),AND(N$5&gt;=DATE(YEAR($D27),MONTH($D27),1),N$5&lt;=$E27)),'Phased Budget'!P27,"")))</f>
        <v/>
      </c>
      <c r="O27" s="42" t="str">
        <f aca="false">IF($B27="","",IF(O$5&lt;=Projects!$C$2,IF(OR(IF($D27="",FALSE(),AND(O$5&gt;=DATE(YEAR($D27),MONTH($D27),1),O$5&lt;=$E27)),N('WIP Log'!M27)&lt;&gt;0),N('WIP Log'!M27),""),IF(IF($D27="",FALSE(),AND(O$5&gt;=DATE(YEAR($D27),MONTH($D27),1),O$5&lt;=$E27)),'Phased Budget'!Q27,"")))</f>
        <v/>
      </c>
      <c r="P27" s="42" t="str">
        <f aca="false">IF($B27="","",IF(P$5&lt;=Projects!$C$2,IF(OR(IF($D27="",FALSE(),AND(P$5&gt;=DATE(YEAR($D27),MONTH($D27),1),P$5&lt;=$E27)),N('WIP Log'!N27)&lt;&gt;0),N('WIP Log'!N27),""),IF(IF($D27="",FALSE(),AND(P$5&gt;=DATE(YEAR($D27),MONTH($D27),1),P$5&lt;=$E27)),'Phased Budget'!R27,"")))</f>
        <v/>
      </c>
      <c r="Q27" s="42" t="str">
        <f aca="false">IF($B27="","",IF(Q$5&lt;=Projects!$C$2,IF(OR(IF($D27="",FALSE(),AND(Q$5&gt;=DATE(YEAR($D27),MONTH($D27),1),Q$5&lt;=$E27)),N('WIP Log'!O27)&lt;&gt;0),N('WIP Log'!O27),""),IF(IF($D27="",FALSE(),AND(Q$5&gt;=DATE(YEAR($D27),MONTH($D27),1),Q$5&lt;=$E27)),'Phased Budget'!S27,"")))</f>
        <v/>
      </c>
      <c r="R27" s="42" t="str">
        <f aca="false">IF($B27="","",IF(R$5&lt;=Projects!$C$2,IF(OR(IF($D27="",FALSE(),AND(R$5&gt;=DATE(YEAR($D27),MONTH($D27),1),R$5&lt;=$E27)),N('WIP Log'!P27)&lt;&gt;0),N('WIP Log'!P27),""),IF(IF($D27="",FALSE(),AND(R$5&gt;=DATE(YEAR($D27),MONTH($D27),1),R$5&lt;=$E27)),'Phased Budget'!T27,"")))</f>
        <v/>
      </c>
      <c r="S27" s="42" t="str">
        <f aca="false">IF($B27="","",IF(S$5&lt;=Projects!$C$2,IF(OR(IF($D27="",FALSE(),AND(S$5&gt;=DATE(YEAR($D27),MONTH($D27),1),S$5&lt;=$E27)),N('WIP Log'!Q27)&lt;&gt;0),N('WIP Log'!Q27),""),IF(IF($D27="",FALSE(),AND(S$5&gt;=DATE(YEAR($D27),MONTH($D27),1),S$5&lt;=$E27)),'Phased Budget'!U27,"")))</f>
        <v/>
      </c>
      <c r="T27" s="42" t="str">
        <f aca="false">IF($B27="","",IF(T$5&lt;=Projects!$C$2,IF(OR(IF($D27="",FALSE(),AND(T$5&gt;=DATE(YEAR($D27),MONTH($D27),1),T$5&lt;=$E27)),N('WIP Log'!R27)&lt;&gt;0),N('WIP Log'!R27),""),IF(IF($D27="",FALSE(),AND(T$5&gt;=DATE(YEAR($D27),MONTH($D27),1),T$5&lt;=$E27)),'Phased Budget'!V27,"")))</f>
        <v/>
      </c>
      <c r="U27" s="42" t="str">
        <f aca="false">IF($B27="","",IF(U$5&lt;=Projects!$C$2,IF(OR(IF($D27="",FALSE(),AND(U$5&gt;=DATE(YEAR($D27),MONTH($D27),1),U$5&lt;=$E27)),N('WIP Log'!S27)&lt;&gt;0),N('WIP Log'!S27),""),IF(IF($D27="",FALSE(),AND(U$5&gt;=DATE(YEAR($D27),MONTH($D27),1),U$5&lt;=$E27)),'Phased Budget'!W27,"")))</f>
        <v/>
      </c>
      <c r="V27" s="42" t="str">
        <f aca="false">IF($B27="","",IF(V$5&lt;=Projects!$C$2,IF(OR(IF($D27="",FALSE(),AND(V$5&gt;=DATE(YEAR($D27),MONTH($D27),1),V$5&lt;=$E27)),N('WIP Log'!T27)&lt;&gt;0),N('WIP Log'!T27),""),IF(IF($D27="",FALSE(),AND(V$5&gt;=DATE(YEAR($D27),MONTH($D27),1),V$5&lt;=$E27)),'Phased Budget'!X27,"")))</f>
        <v/>
      </c>
      <c r="W27" s="42" t="str">
        <f aca="false">IF($B27="","",IF(W$5&lt;=Projects!$C$2,IF(OR(IF($D27="",FALSE(),AND(W$5&gt;=DATE(YEAR($D27),MONTH($D27),1),W$5&lt;=$E27)),N('WIP Log'!U27)&lt;&gt;0),N('WIP Log'!U27),""),IF(IF($D27="",FALSE(),AND(W$5&gt;=DATE(YEAR($D27),MONTH($D27),1),W$5&lt;=$E27)),'Phased Budget'!Y27,"")))</f>
        <v/>
      </c>
      <c r="X27" s="42" t="str">
        <f aca="false">IF($B27="","",IF(X$5&lt;=Projects!$C$2,IF(OR(IF($D27="",FALSE(),AND(X$5&gt;=DATE(YEAR($D27),MONTH($D27),1),X$5&lt;=$E27)),N('WIP Log'!V27)&lt;&gt;0),N('WIP Log'!V27),""),IF(IF($D27="",FALSE(),AND(X$5&gt;=DATE(YEAR($D27),MONTH($D27),1),X$5&lt;=$E27)),'Phased Budget'!Z27,"")))</f>
        <v/>
      </c>
      <c r="Y27" s="42" t="str">
        <f aca="false">IF($B27="","",IF(Y$5&lt;=Projects!$C$2,IF(OR(IF($D27="",FALSE(),AND(Y$5&gt;=DATE(YEAR($D27),MONTH($D27),1),Y$5&lt;=$E27)),N('WIP Log'!W27)&lt;&gt;0),N('WIP Log'!W27),""),IF(IF($D27="",FALSE(),AND(Y$5&gt;=DATE(YEAR($D27),MONTH($D27),1),Y$5&lt;=$E27)),'Phased Budget'!AA27,"")))</f>
        <v/>
      </c>
      <c r="Z27" s="42" t="str">
        <f aca="false">IF($B27="","",IF(Z$5&lt;=Projects!$C$2,IF(OR(IF($D27="",FALSE(),AND(Z$5&gt;=DATE(YEAR($D27),MONTH($D27),1),Z$5&lt;=$E27)),N('WIP Log'!X27)&lt;&gt;0),N('WIP Log'!X27),""),IF(IF($D27="",FALSE(),AND(Z$5&gt;=DATE(YEAR($D27),MONTH($D27),1),Z$5&lt;=$E27)),'Phased Budget'!AB27,"")))</f>
        <v/>
      </c>
      <c r="AA27" s="42" t="str">
        <f aca="false">IF($B27="","",IF(AA$5&lt;=Projects!$C$2,IF(OR(IF($D27="",FALSE(),AND(AA$5&gt;=DATE(YEAR($D27),MONTH($D27),1),AA$5&lt;=$E27)),N('WIP Log'!Y27)&lt;&gt;0),N('WIP Log'!Y27),""),IF(IF($D27="",FALSE(),AND(AA$5&gt;=DATE(YEAR($D27),MONTH($D27),1),AA$5&lt;=$E27)),'Phased Budget'!AC27,"")))</f>
        <v/>
      </c>
      <c r="AB27" s="42" t="str">
        <f aca="false">IF($B27="","",IF(AB$5&lt;=Projects!$C$2,IF(OR(IF($D27="",FALSE(),AND(AB$5&gt;=DATE(YEAR($D27),MONTH($D27),1),AB$5&lt;=$E27)),N('WIP Log'!Z27)&lt;&gt;0),N('WIP Log'!Z27),""),IF(IF($D27="",FALSE(),AND(AB$5&gt;=DATE(YEAR($D27),MONTH($D27),1),AB$5&lt;=$E27)),'Phased Budget'!AD27,"")))</f>
        <v/>
      </c>
      <c r="AC27" s="42" t="str">
        <f aca="false">IF($B27="","",IF(AC$5&lt;=Projects!$C$2,IF(OR(IF($D27="",FALSE(),AND(AC$5&gt;=DATE(YEAR($D27),MONTH($D27),1),AC$5&lt;=$E27)),N('WIP Log'!AA27)&lt;&gt;0),N('WIP Log'!AA27),""),IF(IF($D27="",FALSE(),AND(AC$5&gt;=DATE(YEAR($D27),MONTH($D27),1),AC$5&lt;=$E27)),'Phased Budget'!AE27,"")))</f>
        <v/>
      </c>
      <c r="AD27" s="42" t="str">
        <f aca="false">IF($B27="","",IF(AD$5&lt;=Projects!$C$2,IF(OR(IF($D27="",FALSE(),AND(AD$5&gt;=DATE(YEAR($D27),MONTH($D27),1),AD$5&lt;=$E27)),N('WIP Log'!AB27)&lt;&gt;0),N('WIP Log'!AB27),""),IF(IF($D27="",FALSE(),AND(AD$5&gt;=DATE(YEAR($D27),MONTH($D27),1),AD$5&lt;=$E27)),'Phased Budget'!AF27,"")))</f>
        <v/>
      </c>
      <c r="AE27" s="42" t="str">
        <f aca="false">IF($B27="","",IF(AE$5&lt;=Projects!$C$2,IF(OR(IF($D27="",FALSE(),AND(AE$5&gt;=DATE(YEAR($D27),MONTH($D27),1),AE$5&lt;=$E27)),N('WIP Log'!AC27)&lt;&gt;0),N('WIP Log'!AC27),""),IF(IF($D27="",FALSE(),AND(AE$5&gt;=DATE(YEAR($D27),MONTH($D27),1),AE$5&lt;=$E27)),'Phased Budget'!AG27,"")))</f>
        <v/>
      </c>
      <c r="AF27" s="42" t="str">
        <f aca="false">IF($B27="","",IF(AF$5&lt;=Projects!$C$2,IF(OR(IF($D27="",FALSE(),AND(AF$5&gt;=DATE(YEAR($D27),MONTH($D27),1),AF$5&lt;=$E27)),N('WIP Log'!AD27)&lt;&gt;0),N('WIP Log'!AD27),""),IF(IF($D27="",FALSE(),AND(AF$5&gt;=DATE(YEAR($D27),MONTH($D27),1),AF$5&lt;=$E27)),'Phased Budget'!AH27,"")))</f>
        <v/>
      </c>
      <c r="AG27" s="42" t="str">
        <f aca="false">IF($B27="","",IF(AG$5&lt;=Projects!$C$2,IF(OR(IF($D27="",FALSE(),AND(AG$5&gt;=DATE(YEAR($D27),MONTH($D27),1),AG$5&lt;=$E27)),N('WIP Log'!AE27)&lt;&gt;0),N('WIP Log'!AE27),""),IF(IF($D27="",FALSE(),AND(AG$5&gt;=DATE(YEAR($D27),MONTH($D27),1),AG$5&lt;=$E27)),'Phased Budget'!AI27,"")))</f>
        <v/>
      </c>
      <c r="AH27" s="42" t="str">
        <f aca="false">IF($B27="","",IF(AH$5&lt;=Projects!$C$2,IF(OR(IF($D27="",FALSE(),AND(AH$5&gt;=DATE(YEAR($D27),MONTH($D27),1),AH$5&lt;=$E27)),N('WIP Log'!AF27)&lt;&gt;0),N('WIP Log'!AF27),""),IF(IF($D27="",FALSE(),AND(AH$5&gt;=DATE(YEAR($D27),MONTH($D27),1),AH$5&lt;=$E27)),'Phased Budget'!AJ27,"")))</f>
        <v/>
      </c>
      <c r="AI27" s="42" t="str">
        <f aca="false">IF($B27="","",IF(AI$5&lt;=Projects!$C$2,IF(OR(IF($D27="",FALSE(),AND(AI$5&gt;=DATE(YEAR($D27),MONTH($D27),1),AI$5&lt;=$E27)),N('WIP Log'!AG27)&lt;&gt;0),N('WIP Log'!AG27),""),IF(IF($D27="",FALSE(),AND(AI$5&gt;=DATE(YEAR($D27),MONTH($D27),1),AI$5&lt;=$E27)),'Phased Budget'!AK27,"")))</f>
        <v/>
      </c>
      <c r="AJ27" s="42" t="str">
        <f aca="false">IF($B27="","",IF(AJ$5&lt;=Projects!$C$2,IF(OR(IF($D27="",FALSE(),AND(AJ$5&gt;=DATE(YEAR($D27),MONTH($D27),1),AJ$5&lt;=$E27)),N('WIP Log'!AH27)&lt;&gt;0),N('WIP Log'!AH27),""),IF(IF($D27="",FALSE(),AND(AJ$5&gt;=DATE(YEAR($D27),MONTH($D27),1),AJ$5&lt;=$E27)),'Phased Budget'!AL27,"")))</f>
        <v/>
      </c>
      <c r="AK27" s="42" t="str">
        <f aca="false">IF($B27="","",IF(AK$5&lt;=Projects!$C$2,IF(OR(IF($D27="",FALSE(),AND(AK$5&gt;=DATE(YEAR($D27),MONTH($D27),1),AK$5&lt;=$E27)),N('WIP Log'!AI27)&lt;&gt;0),N('WIP Log'!AI27),""),IF(IF($D27="",FALSE(),AND(AK$5&gt;=DATE(YEAR($D27),MONTH($D27),1),AK$5&lt;=$E27)),'Phased Budget'!AM27,"")))</f>
        <v/>
      </c>
      <c r="AL27" s="42" t="str">
        <f aca="false">IF($B27="","",IF(AL$5&lt;=Projects!$C$2,IF(OR(IF($D27="",FALSE(),AND(AL$5&gt;=DATE(YEAR($D27),MONTH($D27),1),AL$5&lt;=$E27)),N('WIP Log'!AJ27)&lt;&gt;0),N('WIP Log'!AJ27),""),IF(IF($D27="",FALSE(),AND(AL$5&gt;=DATE(YEAR($D27),MONTH($D27),1),AL$5&lt;=$E27)),'Phased Budget'!AN27,"")))</f>
        <v/>
      </c>
      <c r="AM27" s="42" t="str">
        <f aca="false">IF($B27="","",IF(AM$5&lt;=Projects!$C$2,IF(OR(IF($D27="",FALSE(),AND(AM$5&gt;=DATE(YEAR($D27),MONTH($D27),1),AM$5&lt;=$E27)),N('WIP Log'!AK27)&lt;&gt;0),N('WIP Log'!AK27),""),IF(IF($D27="",FALSE(),AND(AM$5&gt;=DATE(YEAR($D27),MONTH($D27),1),AM$5&lt;=$E27)),'Phased Budget'!AO27,"")))</f>
        <v/>
      </c>
      <c r="AN27" s="42" t="str">
        <f aca="false">IF($B27="","",IF(AN$5&lt;=Projects!$C$2,IF(OR(IF($D27="",FALSE(),AND(AN$5&gt;=DATE(YEAR($D27),MONTH($D27),1),AN$5&lt;=$E27)),N('WIP Log'!AL27)&lt;&gt;0),N('WIP Log'!AL27),""),IF(IF($D27="",FALSE(),AND(AN$5&gt;=DATE(YEAR($D27),MONTH($D27),1),AN$5&lt;=$E27)),'Phased Budget'!AP27,"")))</f>
        <v/>
      </c>
      <c r="AO27" s="42" t="str">
        <f aca="false">IF($B27="","",IF(AO$5&lt;=Projects!$C$2,IF(OR(IF($D27="",FALSE(),AND(AO$5&gt;=DATE(YEAR($D27),MONTH($D27),1),AO$5&lt;=$E27)),N('WIP Log'!AM27)&lt;&gt;0),N('WIP Log'!AM27),""),IF(IF($D27="",FALSE(),AND(AO$5&gt;=DATE(YEAR($D27),MONTH($D27),1),AO$5&lt;=$E27)),'Phased Budget'!AQ27,"")))</f>
        <v/>
      </c>
    </row>
    <row r="28" customFormat="false" ht="15" hidden="false" customHeight="false" outlineLevel="0" collapsed="false">
      <c r="A28" s="20" t="n">
        <v>23</v>
      </c>
      <c r="B28" s="40" t="str">
        <f aca="false">IF(Projects!B28="","",Projects!B28)</f>
        <v/>
      </c>
      <c r="C28" s="40" t="str">
        <f aca="false">IF(Projects!C28="","",Projects!C28)</f>
        <v/>
      </c>
      <c r="D28" s="41" t="str">
        <f aca="false">IF(Projects!D28="","",Projects!D28)</f>
        <v/>
      </c>
      <c r="E28" s="41" t="str">
        <f aca="false">IF(Projects!F28="","",Projects!F28)</f>
        <v/>
      </c>
      <c r="F28" s="42" t="str">
        <f aca="false">IF($B28="","",IF(F$5&lt;=Projects!$C$2,IF(OR(IF($D28="",FALSE(),AND(F$5&gt;=DATE(YEAR($D28),MONTH($D28),1),F$5&lt;=$E28)),N('WIP Log'!D28)&lt;&gt;0),N('WIP Log'!D28),""),IF(IF($D28="",FALSE(),AND(F$5&gt;=DATE(YEAR($D28),MONTH($D28),1),F$5&lt;=$E28)),'Phased Budget'!H28,"")))</f>
        <v/>
      </c>
      <c r="G28" s="42" t="str">
        <f aca="false">IF($B28="","",IF(G$5&lt;=Projects!$C$2,IF(OR(IF($D28="",FALSE(),AND(G$5&gt;=DATE(YEAR($D28),MONTH($D28),1),G$5&lt;=$E28)),N('WIP Log'!E28)&lt;&gt;0),N('WIP Log'!E28),""),IF(IF($D28="",FALSE(),AND(G$5&gt;=DATE(YEAR($D28),MONTH($D28),1),G$5&lt;=$E28)),'Phased Budget'!I28,"")))</f>
        <v/>
      </c>
      <c r="H28" s="42" t="str">
        <f aca="false">IF($B28="","",IF(H$5&lt;=Projects!$C$2,IF(OR(IF($D28="",FALSE(),AND(H$5&gt;=DATE(YEAR($D28),MONTH($D28),1),H$5&lt;=$E28)),N('WIP Log'!F28)&lt;&gt;0),N('WIP Log'!F28),""),IF(IF($D28="",FALSE(),AND(H$5&gt;=DATE(YEAR($D28),MONTH($D28),1),H$5&lt;=$E28)),'Phased Budget'!J28,"")))</f>
        <v/>
      </c>
      <c r="I28" s="42" t="str">
        <f aca="false">IF($B28="","",IF(I$5&lt;=Projects!$C$2,IF(OR(IF($D28="",FALSE(),AND(I$5&gt;=DATE(YEAR($D28),MONTH($D28),1),I$5&lt;=$E28)),N('WIP Log'!G28)&lt;&gt;0),N('WIP Log'!G28),""),IF(IF($D28="",FALSE(),AND(I$5&gt;=DATE(YEAR($D28),MONTH($D28),1),I$5&lt;=$E28)),'Phased Budget'!K28,"")))</f>
        <v/>
      </c>
      <c r="J28" s="42" t="str">
        <f aca="false">IF($B28="","",IF(J$5&lt;=Projects!$C$2,IF(OR(IF($D28="",FALSE(),AND(J$5&gt;=DATE(YEAR($D28),MONTH($D28),1),J$5&lt;=$E28)),N('WIP Log'!H28)&lt;&gt;0),N('WIP Log'!H28),""),IF(IF($D28="",FALSE(),AND(J$5&gt;=DATE(YEAR($D28),MONTH($D28),1),J$5&lt;=$E28)),'Phased Budget'!L28,"")))</f>
        <v/>
      </c>
      <c r="K28" s="42" t="str">
        <f aca="false">IF($B28="","",IF(K$5&lt;=Projects!$C$2,IF(OR(IF($D28="",FALSE(),AND(K$5&gt;=DATE(YEAR($D28),MONTH($D28),1),K$5&lt;=$E28)),N('WIP Log'!I28)&lt;&gt;0),N('WIP Log'!I28),""),IF(IF($D28="",FALSE(),AND(K$5&gt;=DATE(YEAR($D28),MONTH($D28),1),K$5&lt;=$E28)),'Phased Budget'!M28,"")))</f>
        <v/>
      </c>
      <c r="L28" s="42" t="str">
        <f aca="false">IF($B28="","",IF(L$5&lt;=Projects!$C$2,IF(OR(IF($D28="",FALSE(),AND(L$5&gt;=DATE(YEAR($D28),MONTH($D28),1),L$5&lt;=$E28)),N('WIP Log'!J28)&lt;&gt;0),N('WIP Log'!J28),""),IF(IF($D28="",FALSE(),AND(L$5&gt;=DATE(YEAR($D28),MONTH($D28),1),L$5&lt;=$E28)),'Phased Budget'!N28,"")))</f>
        <v/>
      </c>
      <c r="M28" s="42" t="str">
        <f aca="false">IF($B28="","",IF(M$5&lt;=Projects!$C$2,IF(OR(IF($D28="",FALSE(),AND(M$5&gt;=DATE(YEAR($D28),MONTH($D28),1),M$5&lt;=$E28)),N('WIP Log'!K28)&lt;&gt;0),N('WIP Log'!K28),""),IF(IF($D28="",FALSE(),AND(M$5&gt;=DATE(YEAR($D28),MONTH($D28),1),M$5&lt;=$E28)),'Phased Budget'!O28,"")))</f>
        <v/>
      </c>
      <c r="N28" s="42" t="str">
        <f aca="false">IF($B28="","",IF(N$5&lt;=Projects!$C$2,IF(OR(IF($D28="",FALSE(),AND(N$5&gt;=DATE(YEAR($D28),MONTH($D28),1),N$5&lt;=$E28)),N('WIP Log'!L28)&lt;&gt;0),N('WIP Log'!L28),""),IF(IF($D28="",FALSE(),AND(N$5&gt;=DATE(YEAR($D28),MONTH($D28),1),N$5&lt;=$E28)),'Phased Budget'!P28,"")))</f>
        <v/>
      </c>
      <c r="O28" s="42" t="str">
        <f aca="false">IF($B28="","",IF(O$5&lt;=Projects!$C$2,IF(OR(IF($D28="",FALSE(),AND(O$5&gt;=DATE(YEAR($D28),MONTH($D28),1),O$5&lt;=$E28)),N('WIP Log'!M28)&lt;&gt;0),N('WIP Log'!M28),""),IF(IF($D28="",FALSE(),AND(O$5&gt;=DATE(YEAR($D28),MONTH($D28),1),O$5&lt;=$E28)),'Phased Budget'!Q28,"")))</f>
        <v/>
      </c>
      <c r="P28" s="42" t="str">
        <f aca="false">IF($B28="","",IF(P$5&lt;=Projects!$C$2,IF(OR(IF($D28="",FALSE(),AND(P$5&gt;=DATE(YEAR($D28),MONTH($D28),1),P$5&lt;=$E28)),N('WIP Log'!N28)&lt;&gt;0),N('WIP Log'!N28),""),IF(IF($D28="",FALSE(),AND(P$5&gt;=DATE(YEAR($D28),MONTH($D28),1),P$5&lt;=$E28)),'Phased Budget'!R28,"")))</f>
        <v/>
      </c>
      <c r="Q28" s="42" t="str">
        <f aca="false">IF($B28="","",IF(Q$5&lt;=Projects!$C$2,IF(OR(IF($D28="",FALSE(),AND(Q$5&gt;=DATE(YEAR($D28),MONTH($D28),1),Q$5&lt;=$E28)),N('WIP Log'!O28)&lt;&gt;0),N('WIP Log'!O28),""),IF(IF($D28="",FALSE(),AND(Q$5&gt;=DATE(YEAR($D28),MONTH($D28),1),Q$5&lt;=$E28)),'Phased Budget'!S28,"")))</f>
        <v/>
      </c>
      <c r="R28" s="42" t="str">
        <f aca="false">IF($B28="","",IF(R$5&lt;=Projects!$C$2,IF(OR(IF($D28="",FALSE(),AND(R$5&gt;=DATE(YEAR($D28),MONTH($D28),1),R$5&lt;=$E28)),N('WIP Log'!P28)&lt;&gt;0),N('WIP Log'!P28),""),IF(IF($D28="",FALSE(),AND(R$5&gt;=DATE(YEAR($D28),MONTH($D28),1),R$5&lt;=$E28)),'Phased Budget'!T28,"")))</f>
        <v/>
      </c>
      <c r="S28" s="42" t="str">
        <f aca="false">IF($B28="","",IF(S$5&lt;=Projects!$C$2,IF(OR(IF($D28="",FALSE(),AND(S$5&gt;=DATE(YEAR($D28),MONTH($D28),1),S$5&lt;=$E28)),N('WIP Log'!Q28)&lt;&gt;0),N('WIP Log'!Q28),""),IF(IF($D28="",FALSE(),AND(S$5&gt;=DATE(YEAR($D28),MONTH($D28),1),S$5&lt;=$E28)),'Phased Budget'!U28,"")))</f>
        <v/>
      </c>
      <c r="T28" s="42" t="str">
        <f aca="false">IF($B28="","",IF(T$5&lt;=Projects!$C$2,IF(OR(IF($D28="",FALSE(),AND(T$5&gt;=DATE(YEAR($D28),MONTH($D28),1),T$5&lt;=$E28)),N('WIP Log'!R28)&lt;&gt;0),N('WIP Log'!R28),""),IF(IF($D28="",FALSE(),AND(T$5&gt;=DATE(YEAR($D28),MONTH($D28),1),T$5&lt;=$E28)),'Phased Budget'!V28,"")))</f>
        <v/>
      </c>
      <c r="U28" s="42" t="str">
        <f aca="false">IF($B28="","",IF(U$5&lt;=Projects!$C$2,IF(OR(IF($D28="",FALSE(),AND(U$5&gt;=DATE(YEAR($D28),MONTH($D28),1),U$5&lt;=$E28)),N('WIP Log'!S28)&lt;&gt;0),N('WIP Log'!S28),""),IF(IF($D28="",FALSE(),AND(U$5&gt;=DATE(YEAR($D28),MONTH($D28),1),U$5&lt;=$E28)),'Phased Budget'!W28,"")))</f>
        <v/>
      </c>
      <c r="V28" s="42" t="str">
        <f aca="false">IF($B28="","",IF(V$5&lt;=Projects!$C$2,IF(OR(IF($D28="",FALSE(),AND(V$5&gt;=DATE(YEAR($D28),MONTH($D28),1),V$5&lt;=$E28)),N('WIP Log'!T28)&lt;&gt;0),N('WIP Log'!T28),""),IF(IF($D28="",FALSE(),AND(V$5&gt;=DATE(YEAR($D28),MONTH($D28),1),V$5&lt;=$E28)),'Phased Budget'!X28,"")))</f>
        <v/>
      </c>
      <c r="W28" s="42" t="str">
        <f aca="false">IF($B28="","",IF(W$5&lt;=Projects!$C$2,IF(OR(IF($D28="",FALSE(),AND(W$5&gt;=DATE(YEAR($D28),MONTH($D28),1),W$5&lt;=$E28)),N('WIP Log'!U28)&lt;&gt;0),N('WIP Log'!U28),""),IF(IF($D28="",FALSE(),AND(W$5&gt;=DATE(YEAR($D28),MONTH($D28),1),W$5&lt;=$E28)),'Phased Budget'!Y28,"")))</f>
        <v/>
      </c>
      <c r="X28" s="42" t="str">
        <f aca="false">IF($B28="","",IF(X$5&lt;=Projects!$C$2,IF(OR(IF($D28="",FALSE(),AND(X$5&gt;=DATE(YEAR($D28),MONTH($D28),1),X$5&lt;=$E28)),N('WIP Log'!V28)&lt;&gt;0),N('WIP Log'!V28),""),IF(IF($D28="",FALSE(),AND(X$5&gt;=DATE(YEAR($D28),MONTH($D28),1),X$5&lt;=$E28)),'Phased Budget'!Z28,"")))</f>
        <v/>
      </c>
      <c r="Y28" s="42" t="str">
        <f aca="false">IF($B28="","",IF(Y$5&lt;=Projects!$C$2,IF(OR(IF($D28="",FALSE(),AND(Y$5&gt;=DATE(YEAR($D28),MONTH($D28),1),Y$5&lt;=$E28)),N('WIP Log'!W28)&lt;&gt;0),N('WIP Log'!W28),""),IF(IF($D28="",FALSE(),AND(Y$5&gt;=DATE(YEAR($D28),MONTH($D28),1),Y$5&lt;=$E28)),'Phased Budget'!AA28,"")))</f>
        <v/>
      </c>
      <c r="Z28" s="42" t="str">
        <f aca="false">IF($B28="","",IF(Z$5&lt;=Projects!$C$2,IF(OR(IF($D28="",FALSE(),AND(Z$5&gt;=DATE(YEAR($D28),MONTH($D28),1),Z$5&lt;=$E28)),N('WIP Log'!X28)&lt;&gt;0),N('WIP Log'!X28),""),IF(IF($D28="",FALSE(),AND(Z$5&gt;=DATE(YEAR($D28),MONTH($D28),1),Z$5&lt;=$E28)),'Phased Budget'!AB28,"")))</f>
        <v/>
      </c>
      <c r="AA28" s="42" t="str">
        <f aca="false">IF($B28="","",IF(AA$5&lt;=Projects!$C$2,IF(OR(IF($D28="",FALSE(),AND(AA$5&gt;=DATE(YEAR($D28),MONTH($D28),1),AA$5&lt;=$E28)),N('WIP Log'!Y28)&lt;&gt;0),N('WIP Log'!Y28),""),IF(IF($D28="",FALSE(),AND(AA$5&gt;=DATE(YEAR($D28),MONTH($D28),1),AA$5&lt;=$E28)),'Phased Budget'!AC28,"")))</f>
        <v/>
      </c>
      <c r="AB28" s="42" t="str">
        <f aca="false">IF($B28="","",IF(AB$5&lt;=Projects!$C$2,IF(OR(IF($D28="",FALSE(),AND(AB$5&gt;=DATE(YEAR($D28),MONTH($D28),1),AB$5&lt;=$E28)),N('WIP Log'!Z28)&lt;&gt;0),N('WIP Log'!Z28),""),IF(IF($D28="",FALSE(),AND(AB$5&gt;=DATE(YEAR($D28),MONTH($D28),1),AB$5&lt;=$E28)),'Phased Budget'!AD28,"")))</f>
        <v/>
      </c>
      <c r="AC28" s="42" t="str">
        <f aca="false">IF($B28="","",IF(AC$5&lt;=Projects!$C$2,IF(OR(IF($D28="",FALSE(),AND(AC$5&gt;=DATE(YEAR($D28),MONTH($D28),1),AC$5&lt;=$E28)),N('WIP Log'!AA28)&lt;&gt;0),N('WIP Log'!AA28),""),IF(IF($D28="",FALSE(),AND(AC$5&gt;=DATE(YEAR($D28),MONTH($D28),1),AC$5&lt;=$E28)),'Phased Budget'!AE28,"")))</f>
        <v/>
      </c>
      <c r="AD28" s="42" t="str">
        <f aca="false">IF($B28="","",IF(AD$5&lt;=Projects!$C$2,IF(OR(IF($D28="",FALSE(),AND(AD$5&gt;=DATE(YEAR($D28),MONTH($D28),1),AD$5&lt;=$E28)),N('WIP Log'!AB28)&lt;&gt;0),N('WIP Log'!AB28),""),IF(IF($D28="",FALSE(),AND(AD$5&gt;=DATE(YEAR($D28),MONTH($D28),1),AD$5&lt;=$E28)),'Phased Budget'!AF28,"")))</f>
        <v/>
      </c>
      <c r="AE28" s="42" t="str">
        <f aca="false">IF($B28="","",IF(AE$5&lt;=Projects!$C$2,IF(OR(IF($D28="",FALSE(),AND(AE$5&gt;=DATE(YEAR($D28),MONTH($D28),1),AE$5&lt;=$E28)),N('WIP Log'!AC28)&lt;&gt;0),N('WIP Log'!AC28),""),IF(IF($D28="",FALSE(),AND(AE$5&gt;=DATE(YEAR($D28),MONTH($D28),1),AE$5&lt;=$E28)),'Phased Budget'!AG28,"")))</f>
        <v/>
      </c>
      <c r="AF28" s="42" t="str">
        <f aca="false">IF($B28="","",IF(AF$5&lt;=Projects!$C$2,IF(OR(IF($D28="",FALSE(),AND(AF$5&gt;=DATE(YEAR($D28),MONTH($D28),1),AF$5&lt;=$E28)),N('WIP Log'!AD28)&lt;&gt;0),N('WIP Log'!AD28),""),IF(IF($D28="",FALSE(),AND(AF$5&gt;=DATE(YEAR($D28),MONTH($D28),1),AF$5&lt;=$E28)),'Phased Budget'!AH28,"")))</f>
        <v/>
      </c>
      <c r="AG28" s="42" t="str">
        <f aca="false">IF($B28="","",IF(AG$5&lt;=Projects!$C$2,IF(OR(IF($D28="",FALSE(),AND(AG$5&gt;=DATE(YEAR($D28),MONTH($D28),1),AG$5&lt;=$E28)),N('WIP Log'!AE28)&lt;&gt;0),N('WIP Log'!AE28),""),IF(IF($D28="",FALSE(),AND(AG$5&gt;=DATE(YEAR($D28),MONTH($D28),1),AG$5&lt;=$E28)),'Phased Budget'!AI28,"")))</f>
        <v/>
      </c>
      <c r="AH28" s="42" t="str">
        <f aca="false">IF($B28="","",IF(AH$5&lt;=Projects!$C$2,IF(OR(IF($D28="",FALSE(),AND(AH$5&gt;=DATE(YEAR($D28),MONTH($D28),1),AH$5&lt;=$E28)),N('WIP Log'!AF28)&lt;&gt;0),N('WIP Log'!AF28),""),IF(IF($D28="",FALSE(),AND(AH$5&gt;=DATE(YEAR($D28),MONTH($D28),1),AH$5&lt;=$E28)),'Phased Budget'!AJ28,"")))</f>
        <v/>
      </c>
      <c r="AI28" s="42" t="str">
        <f aca="false">IF($B28="","",IF(AI$5&lt;=Projects!$C$2,IF(OR(IF($D28="",FALSE(),AND(AI$5&gt;=DATE(YEAR($D28),MONTH($D28),1),AI$5&lt;=$E28)),N('WIP Log'!AG28)&lt;&gt;0),N('WIP Log'!AG28),""),IF(IF($D28="",FALSE(),AND(AI$5&gt;=DATE(YEAR($D28),MONTH($D28),1),AI$5&lt;=$E28)),'Phased Budget'!AK28,"")))</f>
        <v/>
      </c>
      <c r="AJ28" s="42" t="str">
        <f aca="false">IF($B28="","",IF(AJ$5&lt;=Projects!$C$2,IF(OR(IF($D28="",FALSE(),AND(AJ$5&gt;=DATE(YEAR($D28),MONTH($D28),1),AJ$5&lt;=$E28)),N('WIP Log'!AH28)&lt;&gt;0),N('WIP Log'!AH28),""),IF(IF($D28="",FALSE(),AND(AJ$5&gt;=DATE(YEAR($D28),MONTH($D28),1),AJ$5&lt;=$E28)),'Phased Budget'!AL28,"")))</f>
        <v/>
      </c>
      <c r="AK28" s="42" t="str">
        <f aca="false">IF($B28="","",IF(AK$5&lt;=Projects!$C$2,IF(OR(IF($D28="",FALSE(),AND(AK$5&gt;=DATE(YEAR($D28),MONTH($D28),1),AK$5&lt;=$E28)),N('WIP Log'!AI28)&lt;&gt;0),N('WIP Log'!AI28),""),IF(IF($D28="",FALSE(),AND(AK$5&gt;=DATE(YEAR($D28),MONTH($D28),1),AK$5&lt;=$E28)),'Phased Budget'!AM28,"")))</f>
        <v/>
      </c>
      <c r="AL28" s="42" t="str">
        <f aca="false">IF($B28="","",IF(AL$5&lt;=Projects!$C$2,IF(OR(IF($D28="",FALSE(),AND(AL$5&gt;=DATE(YEAR($D28),MONTH($D28),1),AL$5&lt;=$E28)),N('WIP Log'!AJ28)&lt;&gt;0),N('WIP Log'!AJ28),""),IF(IF($D28="",FALSE(),AND(AL$5&gt;=DATE(YEAR($D28),MONTH($D28),1),AL$5&lt;=$E28)),'Phased Budget'!AN28,"")))</f>
        <v/>
      </c>
      <c r="AM28" s="42" t="str">
        <f aca="false">IF($B28="","",IF(AM$5&lt;=Projects!$C$2,IF(OR(IF($D28="",FALSE(),AND(AM$5&gt;=DATE(YEAR($D28),MONTH($D28),1),AM$5&lt;=$E28)),N('WIP Log'!AK28)&lt;&gt;0),N('WIP Log'!AK28),""),IF(IF($D28="",FALSE(),AND(AM$5&gt;=DATE(YEAR($D28),MONTH($D28),1),AM$5&lt;=$E28)),'Phased Budget'!AO28,"")))</f>
        <v/>
      </c>
      <c r="AN28" s="42" t="str">
        <f aca="false">IF($B28="","",IF(AN$5&lt;=Projects!$C$2,IF(OR(IF($D28="",FALSE(),AND(AN$5&gt;=DATE(YEAR($D28),MONTH($D28),1),AN$5&lt;=$E28)),N('WIP Log'!AL28)&lt;&gt;0),N('WIP Log'!AL28),""),IF(IF($D28="",FALSE(),AND(AN$5&gt;=DATE(YEAR($D28),MONTH($D28),1),AN$5&lt;=$E28)),'Phased Budget'!AP28,"")))</f>
        <v/>
      </c>
      <c r="AO28" s="42" t="str">
        <f aca="false">IF($B28="","",IF(AO$5&lt;=Projects!$C$2,IF(OR(IF($D28="",FALSE(),AND(AO$5&gt;=DATE(YEAR($D28),MONTH($D28),1),AO$5&lt;=$E28)),N('WIP Log'!AM28)&lt;&gt;0),N('WIP Log'!AM28),""),IF(IF($D28="",FALSE(),AND(AO$5&gt;=DATE(YEAR($D28),MONTH($D28),1),AO$5&lt;=$E28)),'Phased Budget'!AQ28,"")))</f>
        <v/>
      </c>
    </row>
    <row r="29" customFormat="false" ht="15" hidden="false" customHeight="false" outlineLevel="0" collapsed="false">
      <c r="A29" s="20" t="n">
        <v>24</v>
      </c>
      <c r="B29" s="40" t="str">
        <f aca="false">IF(Projects!B29="","",Projects!B29)</f>
        <v/>
      </c>
      <c r="C29" s="40" t="str">
        <f aca="false">IF(Projects!C29="","",Projects!C29)</f>
        <v/>
      </c>
      <c r="D29" s="41" t="str">
        <f aca="false">IF(Projects!D29="","",Projects!D29)</f>
        <v/>
      </c>
      <c r="E29" s="41" t="str">
        <f aca="false">IF(Projects!F29="","",Projects!F29)</f>
        <v/>
      </c>
      <c r="F29" s="42" t="str">
        <f aca="false">IF($B29="","",IF(F$5&lt;=Projects!$C$2,IF(OR(IF($D29="",FALSE(),AND(F$5&gt;=DATE(YEAR($D29),MONTH($D29),1),F$5&lt;=$E29)),N('WIP Log'!D29)&lt;&gt;0),N('WIP Log'!D29),""),IF(IF($D29="",FALSE(),AND(F$5&gt;=DATE(YEAR($D29),MONTH($D29),1),F$5&lt;=$E29)),'Phased Budget'!H29,"")))</f>
        <v/>
      </c>
      <c r="G29" s="42" t="str">
        <f aca="false">IF($B29="","",IF(G$5&lt;=Projects!$C$2,IF(OR(IF($D29="",FALSE(),AND(G$5&gt;=DATE(YEAR($D29),MONTH($D29),1),G$5&lt;=$E29)),N('WIP Log'!E29)&lt;&gt;0),N('WIP Log'!E29),""),IF(IF($D29="",FALSE(),AND(G$5&gt;=DATE(YEAR($D29),MONTH($D29),1),G$5&lt;=$E29)),'Phased Budget'!I29,"")))</f>
        <v/>
      </c>
      <c r="H29" s="42" t="str">
        <f aca="false">IF($B29="","",IF(H$5&lt;=Projects!$C$2,IF(OR(IF($D29="",FALSE(),AND(H$5&gt;=DATE(YEAR($D29),MONTH($D29),1),H$5&lt;=$E29)),N('WIP Log'!F29)&lt;&gt;0),N('WIP Log'!F29),""),IF(IF($D29="",FALSE(),AND(H$5&gt;=DATE(YEAR($D29),MONTH($D29),1),H$5&lt;=$E29)),'Phased Budget'!J29,"")))</f>
        <v/>
      </c>
      <c r="I29" s="42" t="str">
        <f aca="false">IF($B29="","",IF(I$5&lt;=Projects!$C$2,IF(OR(IF($D29="",FALSE(),AND(I$5&gt;=DATE(YEAR($D29),MONTH($D29),1),I$5&lt;=$E29)),N('WIP Log'!G29)&lt;&gt;0),N('WIP Log'!G29),""),IF(IF($D29="",FALSE(),AND(I$5&gt;=DATE(YEAR($D29),MONTH($D29),1),I$5&lt;=$E29)),'Phased Budget'!K29,"")))</f>
        <v/>
      </c>
      <c r="J29" s="42" t="str">
        <f aca="false">IF($B29="","",IF(J$5&lt;=Projects!$C$2,IF(OR(IF($D29="",FALSE(),AND(J$5&gt;=DATE(YEAR($D29),MONTH($D29),1),J$5&lt;=$E29)),N('WIP Log'!H29)&lt;&gt;0),N('WIP Log'!H29),""),IF(IF($D29="",FALSE(),AND(J$5&gt;=DATE(YEAR($D29),MONTH($D29),1),J$5&lt;=$E29)),'Phased Budget'!L29,"")))</f>
        <v/>
      </c>
      <c r="K29" s="42" t="str">
        <f aca="false">IF($B29="","",IF(K$5&lt;=Projects!$C$2,IF(OR(IF($D29="",FALSE(),AND(K$5&gt;=DATE(YEAR($D29),MONTH($D29),1),K$5&lt;=$E29)),N('WIP Log'!I29)&lt;&gt;0),N('WIP Log'!I29),""),IF(IF($D29="",FALSE(),AND(K$5&gt;=DATE(YEAR($D29),MONTH($D29),1),K$5&lt;=$E29)),'Phased Budget'!M29,"")))</f>
        <v/>
      </c>
      <c r="L29" s="42" t="str">
        <f aca="false">IF($B29="","",IF(L$5&lt;=Projects!$C$2,IF(OR(IF($D29="",FALSE(),AND(L$5&gt;=DATE(YEAR($D29),MONTH($D29),1),L$5&lt;=$E29)),N('WIP Log'!J29)&lt;&gt;0),N('WIP Log'!J29),""),IF(IF($D29="",FALSE(),AND(L$5&gt;=DATE(YEAR($D29),MONTH($D29),1),L$5&lt;=$E29)),'Phased Budget'!N29,"")))</f>
        <v/>
      </c>
      <c r="M29" s="42" t="str">
        <f aca="false">IF($B29="","",IF(M$5&lt;=Projects!$C$2,IF(OR(IF($D29="",FALSE(),AND(M$5&gt;=DATE(YEAR($D29),MONTH($D29),1),M$5&lt;=$E29)),N('WIP Log'!K29)&lt;&gt;0),N('WIP Log'!K29),""),IF(IF($D29="",FALSE(),AND(M$5&gt;=DATE(YEAR($D29),MONTH($D29),1),M$5&lt;=$E29)),'Phased Budget'!O29,"")))</f>
        <v/>
      </c>
      <c r="N29" s="42" t="str">
        <f aca="false">IF($B29="","",IF(N$5&lt;=Projects!$C$2,IF(OR(IF($D29="",FALSE(),AND(N$5&gt;=DATE(YEAR($D29),MONTH($D29),1),N$5&lt;=$E29)),N('WIP Log'!L29)&lt;&gt;0),N('WIP Log'!L29),""),IF(IF($D29="",FALSE(),AND(N$5&gt;=DATE(YEAR($D29),MONTH($D29),1),N$5&lt;=$E29)),'Phased Budget'!P29,"")))</f>
        <v/>
      </c>
      <c r="O29" s="42" t="str">
        <f aca="false">IF($B29="","",IF(O$5&lt;=Projects!$C$2,IF(OR(IF($D29="",FALSE(),AND(O$5&gt;=DATE(YEAR($D29),MONTH($D29),1),O$5&lt;=$E29)),N('WIP Log'!M29)&lt;&gt;0),N('WIP Log'!M29),""),IF(IF($D29="",FALSE(),AND(O$5&gt;=DATE(YEAR($D29),MONTH($D29),1),O$5&lt;=$E29)),'Phased Budget'!Q29,"")))</f>
        <v/>
      </c>
      <c r="P29" s="42" t="str">
        <f aca="false">IF($B29="","",IF(P$5&lt;=Projects!$C$2,IF(OR(IF($D29="",FALSE(),AND(P$5&gt;=DATE(YEAR($D29),MONTH($D29),1),P$5&lt;=$E29)),N('WIP Log'!N29)&lt;&gt;0),N('WIP Log'!N29),""),IF(IF($D29="",FALSE(),AND(P$5&gt;=DATE(YEAR($D29),MONTH($D29),1),P$5&lt;=$E29)),'Phased Budget'!R29,"")))</f>
        <v/>
      </c>
      <c r="Q29" s="42" t="str">
        <f aca="false">IF($B29="","",IF(Q$5&lt;=Projects!$C$2,IF(OR(IF($D29="",FALSE(),AND(Q$5&gt;=DATE(YEAR($D29),MONTH($D29),1),Q$5&lt;=$E29)),N('WIP Log'!O29)&lt;&gt;0),N('WIP Log'!O29),""),IF(IF($D29="",FALSE(),AND(Q$5&gt;=DATE(YEAR($D29),MONTH($D29),1),Q$5&lt;=$E29)),'Phased Budget'!S29,"")))</f>
        <v/>
      </c>
      <c r="R29" s="42" t="str">
        <f aca="false">IF($B29="","",IF(R$5&lt;=Projects!$C$2,IF(OR(IF($D29="",FALSE(),AND(R$5&gt;=DATE(YEAR($D29),MONTH($D29),1),R$5&lt;=$E29)),N('WIP Log'!P29)&lt;&gt;0),N('WIP Log'!P29),""),IF(IF($D29="",FALSE(),AND(R$5&gt;=DATE(YEAR($D29),MONTH($D29),1),R$5&lt;=$E29)),'Phased Budget'!T29,"")))</f>
        <v/>
      </c>
      <c r="S29" s="42" t="str">
        <f aca="false">IF($B29="","",IF(S$5&lt;=Projects!$C$2,IF(OR(IF($D29="",FALSE(),AND(S$5&gt;=DATE(YEAR($D29),MONTH($D29),1),S$5&lt;=$E29)),N('WIP Log'!Q29)&lt;&gt;0),N('WIP Log'!Q29),""),IF(IF($D29="",FALSE(),AND(S$5&gt;=DATE(YEAR($D29),MONTH($D29),1),S$5&lt;=$E29)),'Phased Budget'!U29,"")))</f>
        <v/>
      </c>
      <c r="T29" s="42" t="str">
        <f aca="false">IF($B29="","",IF(T$5&lt;=Projects!$C$2,IF(OR(IF($D29="",FALSE(),AND(T$5&gt;=DATE(YEAR($D29),MONTH($D29),1),T$5&lt;=$E29)),N('WIP Log'!R29)&lt;&gt;0),N('WIP Log'!R29),""),IF(IF($D29="",FALSE(),AND(T$5&gt;=DATE(YEAR($D29),MONTH($D29),1),T$5&lt;=$E29)),'Phased Budget'!V29,"")))</f>
        <v/>
      </c>
      <c r="U29" s="42" t="str">
        <f aca="false">IF($B29="","",IF(U$5&lt;=Projects!$C$2,IF(OR(IF($D29="",FALSE(),AND(U$5&gt;=DATE(YEAR($D29),MONTH($D29),1),U$5&lt;=$E29)),N('WIP Log'!S29)&lt;&gt;0),N('WIP Log'!S29),""),IF(IF($D29="",FALSE(),AND(U$5&gt;=DATE(YEAR($D29),MONTH($D29),1),U$5&lt;=$E29)),'Phased Budget'!W29,"")))</f>
        <v/>
      </c>
      <c r="V29" s="42" t="str">
        <f aca="false">IF($B29="","",IF(V$5&lt;=Projects!$C$2,IF(OR(IF($D29="",FALSE(),AND(V$5&gt;=DATE(YEAR($D29),MONTH($D29),1),V$5&lt;=$E29)),N('WIP Log'!T29)&lt;&gt;0),N('WIP Log'!T29),""),IF(IF($D29="",FALSE(),AND(V$5&gt;=DATE(YEAR($D29),MONTH($D29),1),V$5&lt;=$E29)),'Phased Budget'!X29,"")))</f>
        <v/>
      </c>
      <c r="W29" s="42" t="str">
        <f aca="false">IF($B29="","",IF(W$5&lt;=Projects!$C$2,IF(OR(IF($D29="",FALSE(),AND(W$5&gt;=DATE(YEAR($D29),MONTH($D29),1),W$5&lt;=$E29)),N('WIP Log'!U29)&lt;&gt;0),N('WIP Log'!U29),""),IF(IF($D29="",FALSE(),AND(W$5&gt;=DATE(YEAR($D29),MONTH($D29),1),W$5&lt;=$E29)),'Phased Budget'!Y29,"")))</f>
        <v/>
      </c>
      <c r="X29" s="42" t="str">
        <f aca="false">IF($B29="","",IF(X$5&lt;=Projects!$C$2,IF(OR(IF($D29="",FALSE(),AND(X$5&gt;=DATE(YEAR($D29),MONTH($D29),1),X$5&lt;=$E29)),N('WIP Log'!V29)&lt;&gt;0),N('WIP Log'!V29),""),IF(IF($D29="",FALSE(),AND(X$5&gt;=DATE(YEAR($D29),MONTH($D29),1),X$5&lt;=$E29)),'Phased Budget'!Z29,"")))</f>
        <v/>
      </c>
      <c r="Y29" s="42" t="str">
        <f aca="false">IF($B29="","",IF(Y$5&lt;=Projects!$C$2,IF(OR(IF($D29="",FALSE(),AND(Y$5&gt;=DATE(YEAR($D29),MONTH($D29),1),Y$5&lt;=$E29)),N('WIP Log'!W29)&lt;&gt;0),N('WIP Log'!W29),""),IF(IF($D29="",FALSE(),AND(Y$5&gt;=DATE(YEAR($D29),MONTH($D29),1),Y$5&lt;=$E29)),'Phased Budget'!AA29,"")))</f>
        <v/>
      </c>
      <c r="Z29" s="42" t="str">
        <f aca="false">IF($B29="","",IF(Z$5&lt;=Projects!$C$2,IF(OR(IF($D29="",FALSE(),AND(Z$5&gt;=DATE(YEAR($D29),MONTH($D29),1),Z$5&lt;=$E29)),N('WIP Log'!X29)&lt;&gt;0),N('WIP Log'!X29),""),IF(IF($D29="",FALSE(),AND(Z$5&gt;=DATE(YEAR($D29),MONTH($D29),1),Z$5&lt;=$E29)),'Phased Budget'!AB29,"")))</f>
        <v/>
      </c>
      <c r="AA29" s="42" t="str">
        <f aca="false">IF($B29="","",IF(AA$5&lt;=Projects!$C$2,IF(OR(IF($D29="",FALSE(),AND(AA$5&gt;=DATE(YEAR($D29),MONTH($D29),1),AA$5&lt;=$E29)),N('WIP Log'!Y29)&lt;&gt;0),N('WIP Log'!Y29),""),IF(IF($D29="",FALSE(),AND(AA$5&gt;=DATE(YEAR($D29),MONTH($D29),1),AA$5&lt;=$E29)),'Phased Budget'!AC29,"")))</f>
        <v/>
      </c>
      <c r="AB29" s="42" t="str">
        <f aca="false">IF($B29="","",IF(AB$5&lt;=Projects!$C$2,IF(OR(IF($D29="",FALSE(),AND(AB$5&gt;=DATE(YEAR($D29),MONTH($D29),1),AB$5&lt;=$E29)),N('WIP Log'!Z29)&lt;&gt;0),N('WIP Log'!Z29),""),IF(IF($D29="",FALSE(),AND(AB$5&gt;=DATE(YEAR($D29),MONTH($D29),1),AB$5&lt;=$E29)),'Phased Budget'!AD29,"")))</f>
        <v/>
      </c>
      <c r="AC29" s="42" t="str">
        <f aca="false">IF($B29="","",IF(AC$5&lt;=Projects!$C$2,IF(OR(IF($D29="",FALSE(),AND(AC$5&gt;=DATE(YEAR($D29),MONTH($D29),1),AC$5&lt;=$E29)),N('WIP Log'!AA29)&lt;&gt;0),N('WIP Log'!AA29),""),IF(IF($D29="",FALSE(),AND(AC$5&gt;=DATE(YEAR($D29),MONTH($D29),1),AC$5&lt;=$E29)),'Phased Budget'!AE29,"")))</f>
        <v/>
      </c>
      <c r="AD29" s="42" t="str">
        <f aca="false">IF($B29="","",IF(AD$5&lt;=Projects!$C$2,IF(OR(IF($D29="",FALSE(),AND(AD$5&gt;=DATE(YEAR($D29),MONTH($D29),1),AD$5&lt;=$E29)),N('WIP Log'!AB29)&lt;&gt;0),N('WIP Log'!AB29),""),IF(IF($D29="",FALSE(),AND(AD$5&gt;=DATE(YEAR($D29),MONTH($D29),1),AD$5&lt;=$E29)),'Phased Budget'!AF29,"")))</f>
        <v/>
      </c>
      <c r="AE29" s="42" t="str">
        <f aca="false">IF($B29="","",IF(AE$5&lt;=Projects!$C$2,IF(OR(IF($D29="",FALSE(),AND(AE$5&gt;=DATE(YEAR($D29),MONTH($D29),1),AE$5&lt;=$E29)),N('WIP Log'!AC29)&lt;&gt;0),N('WIP Log'!AC29),""),IF(IF($D29="",FALSE(),AND(AE$5&gt;=DATE(YEAR($D29),MONTH($D29),1),AE$5&lt;=$E29)),'Phased Budget'!AG29,"")))</f>
        <v/>
      </c>
      <c r="AF29" s="42" t="str">
        <f aca="false">IF($B29="","",IF(AF$5&lt;=Projects!$C$2,IF(OR(IF($D29="",FALSE(),AND(AF$5&gt;=DATE(YEAR($D29),MONTH($D29),1),AF$5&lt;=$E29)),N('WIP Log'!AD29)&lt;&gt;0),N('WIP Log'!AD29),""),IF(IF($D29="",FALSE(),AND(AF$5&gt;=DATE(YEAR($D29),MONTH($D29),1),AF$5&lt;=$E29)),'Phased Budget'!AH29,"")))</f>
        <v/>
      </c>
      <c r="AG29" s="42" t="str">
        <f aca="false">IF($B29="","",IF(AG$5&lt;=Projects!$C$2,IF(OR(IF($D29="",FALSE(),AND(AG$5&gt;=DATE(YEAR($D29),MONTH($D29),1),AG$5&lt;=$E29)),N('WIP Log'!AE29)&lt;&gt;0),N('WIP Log'!AE29),""),IF(IF($D29="",FALSE(),AND(AG$5&gt;=DATE(YEAR($D29),MONTH($D29),1),AG$5&lt;=$E29)),'Phased Budget'!AI29,"")))</f>
        <v/>
      </c>
      <c r="AH29" s="42" t="str">
        <f aca="false">IF($B29="","",IF(AH$5&lt;=Projects!$C$2,IF(OR(IF($D29="",FALSE(),AND(AH$5&gt;=DATE(YEAR($D29),MONTH($D29),1),AH$5&lt;=$E29)),N('WIP Log'!AF29)&lt;&gt;0),N('WIP Log'!AF29),""),IF(IF($D29="",FALSE(),AND(AH$5&gt;=DATE(YEAR($D29),MONTH($D29),1),AH$5&lt;=$E29)),'Phased Budget'!AJ29,"")))</f>
        <v/>
      </c>
      <c r="AI29" s="42" t="str">
        <f aca="false">IF($B29="","",IF(AI$5&lt;=Projects!$C$2,IF(OR(IF($D29="",FALSE(),AND(AI$5&gt;=DATE(YEAR($D29),MONTH($D29),1),AI$5&lt;=$E29)),N('WIP Log'!AG29)&lt;&gt;0),N('WIP Log'!AG29),""),IF(IF($D29="",FALSE(),AND(AI$5&gt;=DATE(YEAR($D29),MONTH($D29),1),AI$5&lt;=$E29)),'Phased Budget'!AK29,"")))</f>
        <v/>
      </c>
      <c r="AJ29" s="42" t="str">
        <f aca="false">IF($B29="","",IF(AJ$5&lt;=Projects!$C$2,IF(OR(IF($D29="",FALSE(),AND(AJ$5&gt;=DATE(YEAR($D29),MONTH($D29),1),AJ$5&lt;=$E29)),N('WIP Log'!AH29)&lt;&gt;0),N('WIP Log'!AH29),""),IF(IF($D29="",FALSE(),AND(AJ$5&gt;=DATE(YEAR($D29),MONTH($D29),1),AJ$5&lt;=$E29)),'Phased Budget'!AL29,"")))</f>
        <v/>
      </c>
      <c r="AK29" s="42" t="str">
        <f aca="false">IF($B29="","",IF(AK$5&lt;=Projects!$C$2,IF(OR(IF($D29="",FALSE(),AND(AK$5&gt;=DATE(YEAR($D29),MONTH($D29),1),AK$5&lt;=$E29)),N('WIP Log'!AI29)&lt;&gt;0),N('WIP Log'!AI29),""),IF(IF($D29="",FALSE(),AND(AK$5&gt;=DATE(YEAR($D29),MONTH($D29),1),AK$5&lt;=$E29)),'Phased Budget'!AM29,"")))</f>
        <v/>
      </c>
      <c r="AL29" s="42" t="str">
        <f aca="false">IF($B29="","",IF(AL$5&lt;=Projects!$C$2,IF(OR(IF($D29="",FALSE(),AND(AL$5&gt;=DATE(YEAR($D29),MONTH($D29),1),AL$5&lt;=$E29)),N('WIP Log'!AJ29)&lt;&gt;0),N('WIP Log'!AJ29),""),IF(IF($D29="",FALSE(),AND(AL$5&gt;=DATE(YEAR($D29),MONTH($D29),1),AL$5&lt;=$E29)),'Phased Budget'!AN29,"")))</f>
        <v/>
      </c>
      <c r="AM29" s="42" t="str">
        <f aca="false">IF($B29="","",IF(AM$5&lt;=Projects!$C$2,IF(OR(IF($D29="",FALSE(),AND(AM$5&gt;=DATE(YEAR($D29),MONTH($D29),1),AM$5&lt;=$E29)),N('WIP Log'!AK29)&lt;&gt;0),N('WIP Log'!AK29),""),IF(IF($D29="",FALSE(),AND(AM$5&gt;=DATE(YEAR($D29),MONTH($D29),1),AM$5&lt;=$E29)),'Phased Budget'!AO29,"")))</f>
        <v/>
      </c>
      <c r="AN29" s="42" t="str">
        <f aca="false">IF($B29="","",IF(AN$5&lt;=Projects!$C$2,IF(OR(IF($D29="",FALSE(),AND(AN$5&gt;=DATE(YEAR($D29),MONTH($D29),1),AN$5&lt;=$E29)),N('WIP Log'!AL29)&lt;&gt;0),N('WIP Log'!AL29),""),IF(IF($D29="",FALSE(),AND(AN$5&gt;=DATE(YEAR($D29),MONTH($D29),1),AN$5&lt;=$E29)),'Phased Budget'!AP29,"")))</f>
        <v/>
      </c>
      <c r="AO29" s="42" t="str">
        <f aca="false">IF($B29="","",IF(AO$5&lt;=Projects!$C$2,IF(OR(IF($D29="",FALSE(),AND(AO$5&gt;=DATE(YEAR($D29),MONTH($D29),1),AO$5&lt;=$E29)),N('WIP Log'!AM29)&lt;&gt;0),N('WIP Log'!AM29),""),IF(IF($D29="",FALSE(),AND(AO$5&gt;=DATE(YEAR($D29),MONTH($D29),1),AO$5&lt;=$E29)),'Phased Budget'!AQ29,"")))</f>
        <v/>
      </c>
    </row>
    <row r="30" customFormat="false" ht="15" hidden="false" customHeight="false" outlineLevel="0" collapsed="false">
      <c r="A30" s="20" t="n">
        <v>25</v>
      </c>
      <c r="B30" s="40" t="str">
        <f aca="false">IF(Projects!B30="","",Projects!B30)</f>
        <v/>
      </c>
      <c r="C30" s="40" t="str">
        <f aca="false">IF(Projects!C30="","",Projects!C30)</f>
        <v/>
      </c>
      <c r="D30" s="41" t="str">
        <f aca="false">IF(Projects!D30="","",Projects!D30)</f>
        <v/>
      </c>
      <c r="E30" s="41" t="str">
        <f aca="false">IF(Projects!F30="","",Projects!F30)</f>
        <v/>
      </c>
      <c r="F30" s="42" t="str">
        <f aca="false">IF($B30="","",IF(F$5&lt;=Projects!$C$2,IF(OR(IF($D30="",FALSE(),AND(F$5&gt;=DATE(YEAR($D30),MONTH($D30),1),F$5&lt;=$E30)),N('WIP Log'!D30)&lt;&gt;0),N('WIP Log'!D30),""),IF(IF($D30="",FALSE(),AND(F$5&gt;=DATE(YEAR($D30),MONTH($D30),1),F$5&lt;=$E30)),'Phased Budget'!H30,"")))</f>
        <v/>
      </c>
      <c r="G30" s="42" t="str">
        <f aca="false">IF($B30="","",IF(G$5&lt;=Projects!$C$2,IF(OR(IF($D30="",FALSE(),AND(G$5&gt;=DATE(YEAR($D30),MONTH($D30),1),G$5&lt;=$E30)),N('WIP Log'!E30)&lt;&gt;0),N('WIP Log'!E30),""),IF(IF($D30="",FALSE(),AND(G$5&gt;=DATE(YEAR($D30),MONTH($D30),1),G$5&lt;=$E30)),'Phased Budget'!I30,"")))</f>
        <v/>
      </c>
      <c r="H30" s="42" t="str">
        <f aca="false">IF($B30="","",IF(H$5&lt;=Projects!$C$2,IF(OR(IF($D30="",FALSE(),AND(H$5&gt;=DATE(YEAR($D30),MONTH($D30),1),H$5&lt;=$E30)),N('WIP Log'!F30)&lt;&gt;0),N('WIP Log'!F30),""),IF(IF($D30="",FALSE(),AND(H$5&gt;=DATE(YEAR($D30),MONTH($D30),1),H$5&lt;=$E30)),'Phased Budget'!J30,"")))</f>
        <v/>
      </c>
      <c r="I30" s="42" t="str">
        <f aca="false">IF($B30="","",IF(I$5&lt;=Projects!$C$2,IF(OR(IF($D30="",FALSE(),AND(I$5&gt;=DATE(YEAR($D30),MONTH($D30),1),I$5&lt;=$E30)),N('WIP Log'!G30)&lt;&gt;0),N('WIP Log'!G30),""),IF(IF($D30="",FALSE(),AND(I$5&gt;=DATE(YEAR($D30),MONTH($D30),1),I$5&lt;=$E30)),'Phased Budget'!K30,"")))</f>
        <v/>
      </c>
      <c r="J30" s="42" t="str">
        <f aca="false">IF($B30="","",IF(J$5&lt;=Projects!$C$2,IF(OR(IF($D30="",FALSE(),AND(J$5&gt;=DATE(YEAR($D30),MONTH($D30),1),J$5&lt;=$E30)),N('WIP Log'!H30)&lt;&gt;0),N('WIP Log'!H30),""),IF(IF($D30="",FALSE(),AND(J$5&gt;=DATE(YEAR($D30),MONTH($D30),1),J$5&lt;=$E30)),'Phased Budget'!L30,"")))</f>
        <v/>
      </c>
      <c r="K30" s="42" t="str">
        <f aca="false">IF($B30="","",IF(K$5&lt;=Projects!$C$2,IF(OR(IF($D30="",FALSE(),AND(K$5&gt;=DATE(YEAR($D30),MONTH($D30),1),K$5&lt;=$E30)),N('WIP Log'!I30)&lt;&gt;0),N('WIP Log'!I30),""),IF(IF($D30="",FALSE(),AND(K$5&gt;=DATE(YEAR($D30),MONTH($D30),1),K$5&lt;=$E30)),'Phased Budget'!M30,"")))</f>
        <v/>
      </c>
      <c r="L30" s="42" t="str">
        <f aca="false">IF($B30="","",IF(L$5&lt;=Projects!$C$2,IF(OR(IF($D30="",FALSE(),AND(L$5&gt;=DATE(YEAR($D30),MONTH($D30),1),L$5&lt;=$E30)),N('WIP Log'!J30)&lt;&gt;0),N('WIP Log'!J30),""),IF(IF($D30="",FALSE(),AND(L$5&gt;=DATE(YEAR($D30),MONTH($D30),1),L$5&lt;=$E30)),'Phased Budget'!N30,"")))</f>
        <v/>
      </c>
      <c r="M30" s="42" t="str">
        <f aca="false">IF($B30="","",IF(M$5&lt;=Projects!$C$2,IF(OR(IF($D30="",FALSE(),AND(M$5&gt;=DATE(YEAR($D30),MONTH($D30),1),M$5&lt;=$E30)),N('WIP Log'!K30)&lt;&gt;0),N('WIP Log'!K30),""),IF(IF($D30="",FALSE(),AND(M$5&gt;=DATE(YEAR($D30),MONTH($D30),1),M$5&lt;=$E30)),'Phased Budget'!O30,"")))</f>
        <v/>
      </c>
      <c r="N30" s="42" t="str">
        <f aca="false">IF($B30="","",IF(N$5&lt;=Projects!$C$2,IF(OR(IF($D30="",FALSE(),AND(N$5&gt;=DATE(YEAR($D30),MONTH($D30),1),N$5&lt;=$E30)),N('WIP Log'!L30)&lt;&gt;0),N('WIP Log'!L30),""),IF(IF($D30="",FALSE(),AND(N$5&gt;=DATE(YEAR($D30),MONTH($D30),1),N$5&lt;=$E30)),'Phased Budget'!P30,"")))</f>
        <v/>
      </c>
      <c r="O30" s="42" t="str">
        <f aca="false">IF($B30="","",IF(O$5&lt;=Projects!$C$2,IF(OR(IF($D30="",FALSE(),AND(O$5&gt;=DATE(YEAR($D30),MONTH($D30),1),O$5&lt;=$E30)),N('WIP Log'!M30)&lt;&gt;0),N('WIP Log'!M30),""),IF(IF($D30="",FALSE(),AND(O$5&gt;=DATE(YEAR($D30),MONTH($D30),1),O$5&lt;=$E30)),'Phased Budget'!Q30,"")))</f>
        <v/>
      </c>
      <c r="P30" s="42" t="str">
        <f aca="false">IF($B30="","",IF(P$5&lt;=Projects!$C$2,IF(OR(IF($D30="",FALSE(),AND(P$5&gt;=DATE(YEAR($D30),MONTH($D30),1),P$5&lt;=$E30)),N('WIP Log'!N30)&lt;&gt;0),N('WIP Log'!N30),""),IF(IF($D30="",FALSE(),AND(P$5&gt;=DATE(YEAR($D30),MONTH($D30),1),P$5&lt;=$E30)),'Phased Budget'!R30,"")))</f>
        <v/>
      </c>
      <c r="Q30" s="42" t="str">
        <f aca="false">IF($B30="","",IF(Q$5&lt;=Projects!$C$2,IF(OR(IF($D30="",FALSE(),AND(Q$5&gt;=DATE(YEAR($D30),MONTH($D30),1),Q$5&lt;=$E30)),N('WIP Log'!O30)&lt;&gt;0),N('WIP Log'!O30),""),IF(IF($D30="",FALSE(),AND(Q$5&gt;=DATE(YEAR($D30),MONTH($D30),1),Q$5&lt;=$E30)),'Phased Budget'!S30,"")))</f>
        <v/>
      </c>
      <c r="R30" s="42" t="str">
        <f aca="false">IF($B30="","",IF(R$5&lt;=Projects!$C$2,IF(OR(IF($D30="",FALSE(),AND(R$5&gt;=DATE(YEAR($D30),MONTH($D30),1),R$5&lt;=$E30)),N('WIP Log'!P30)&lt;&gt;0),N('WIP Log'!P30),""),IF(IF($D30="",FALSE(),AND(R$5&gt;=DATE(YEAR($D30),MONTH($D30),1),R$5&lt;=$E30)),'Phased Budget'!T30,"")))</f>
        <v/>
      </c>
      <c r="S30" s="42" t="str">
        <f aca="false">IF($B30="","",IF(S$5&lt;=Projects!$C$2,IF(OR(IF($D30="",FALSE(),AND(S$5&gt;=DATE(YEAR($D30),MONTH($D30),1),S$5&lt;=$E30)),N('WIP Log'!Q30)&lt;&gt;0),N('WIP Log'!Q30),""),IF(IF($D30="",FALSE(),AND(S$5&gt;=DATE(YEAR($D30),MONTH($D30),1),S$5&lt;=$E30)),'Phased Budget'!U30,"")))</f>
        <v/>
      </c>
      <c r="T30" s="42" t="str">
        <f aca="false">IF($B30="","",IF(T$5&lt;=Projects!$C$2,IF(OR(IF($D30="",FALSE(),AND(T$5&gt;=DATE(YEAR($D30),MONTH($D30),1),T$5&lt;=$E30)),N('WIP Log'!R30)&lt;&gt;0),N('WIP Log'!R30),""),IF(IF($D30="",FALSE(),AND(T$5&gt;=DATE(YEAR($D30),MONTH($D30),1),T$5&lt;=$E30)),'Phased Budget'!V30,"")))</f>
        <v/>
      </c>
      <c r="U30" s="42" t="str">
        <f aca="false">IF($B30="","",IF(U$5&lt;=Projects!$C$2,IF(OR(IF($D30="",FALSE(),AND(U$5&gt;=DATE(YEAR($D30),MONTH($D30),1),U$5&lt;=$E30)),N('WIP Log'!S30)&lt;&gt;0),N('WIP Log'!S30),""),IF(IF($D30="",FALSE(),AND(U$5&gt;=DATE(YEAR($D30),MONTH($D30),1),U$5&lt;=$E30)),'Phased Budget'!W30,"")))</f>
        <v/>
      </c>
      <c r="V30" s="42" t="str">
        <f aca="false">IF($B30="","",IF(V$5&lt;=Projects!$C$2,IF(OR(IF($D30="",FALSE(),AND(V$5&gt;=DATE(YEAR($D30),MONTH($D30),1),V$5&lt;=$E30)),N('WIP Log'!T30)&lt;&gt;0),N('WIP Log'!T30),""),IF(IF($D30="",FALSE(),AND(V$5&gt;=DATE(YEAR($D30),MONTH($D30),1),V$5&lt;=$E30)),'Phased Budget'!X30,"")))</f>
        <v/>
      </c>
      <c r="W30" s="42" t="str">
        <f aca="false">IF($B30="","",IF(W$5&lt;=Projects!$C$2,IF(OR(IF($D30="",FALSE(),AND(W$5&gt;=DATE(YEAR($D30),MONTH($D30),1),W$5&lt;=$E30)),N('WIP Log'!U30)&lt;&gt;0),N('WIP Log'!U30),""),IF(IF($D30="",FALSE(),AND(W$5&gt;=DATE(YEAR($D30),MONTH($D30),1),W$5&lt;=$E30)),'Phased Budget'!Y30,"")))</f>
        <v/>
      </c>
      <c r="X30" s="42" t="str">
        <f aca="false">IF($B30="","",IF(X$5&lt;=Projects!$C$2,IF(OR(IF($D30="",FALSE(),AND(X$5&gt;=DATE(YEAR($D30),MONTH($D30),1),X$5&lt;=$E30)),N('WIP Log'!V30)&lt;&gt;0),N('WIP Log'!V30),""),IF(IF($D30="",FALSE(),AND(X$5&gt;=DATE(YEAR($D30),MONTH($D30),1),X$5&lt;=$E30)),'Phased Budget'!Z30,"")))</f>
        <v/>
      </c>
      <c r="Y30" s="42" t="str">
        <f aca="false">IF($B30="","",IF(Y$5&lt;=Projects!$C$2,IF(OR(IF($D30="",FALSE(),AND(Y$5&gt;=DATE(YEAR($D30),MONTH($D30),1),Y$5&lt;=$E30)),N('WIP Log'!W30)&lt;&gt;0),N('WIP Log'!W30),""),IF(IF($D30="",FALSE(),AND(Y$5&gt;=DATE(YEAR($D30),MONTH($D30),1),Y$5&lt;=$E30)),'Phased Budget'!AA30,"")))</f>
        <v/>
      </c>
      <c r="Z30" s="42" t="str">
        <f aca="false">IF($B30="","",IF(Z$5&lt;=Projects!$C$2,IF(OR(IF($D30="",FALSE(),AND(Z$5&gt;=DATE(YEAR($D30),MONTH($D30),1),Z$5&lt;=$E30)),N('WIP Log'!X30)&lt;&gt;0),N('WIP Log'!X30),""),IF(IF($D30="",FALSE(),AND(Z$5&gt;=DATE(YEAR($D30),MONTH($D30),1),Z$5&lt;=$E30)),'Phased Budget'!AB30,"")))</f>
        <v/>
      </c>
      <c r="AA30" s="42" t="str">
        <f aca="false">IF($B30="","",IF(AA$5&lt;=Projects!$C$2,IF(OR(IF($D30="",FALSE(),AND(AA$5&gt;=DATE(YEAR($D30),MONTH($D30),1),AA$5&lt;=$E30)),N('WIP Log'!Y30)&lt;&gt;0),N('WIP Log'!Y30),""),IF(IF($D30="",FALSE(),AND(AA$5&gt;=DATE(YEAR($D30),MONTH($D30),1),AA$5&lt;=$E30)),'Phased Budget'!AC30,"")))</f>
        <v/>
      </c>
      <c r="AB30" s="42" t="str">
        <f aca="false">IF($B30="","",IF(AB$5&lt;=Projects!$C$2,IF(OR(IF($D30="",FALSE(),AND(AB$5&gt;=DATE(YEAR($D30),MONTH($D30),1),AB$5&lt;=$E30)),N('WIP Log'!Z30)&lt;&gt;0),N('WIP Log'!Z30),""),IF(IF($D30="",FALSE(),AND(AB$5&gt;=DATE(YEAR($D30),MONTH($D30),1),AB$5&lt;=$E30)),'Phased Budget'!AD30,"")))</f>
        <v/>
      </c>
      <c r="AC30" s="42" t="str">
        <f aca="false">IF($B30="","",IF(AC$5&lt;=Projects!$C$2,IF(OR(IF($D30="",FALSE(),AND(AC$5&gt;=DATE(YEAR($D30),MONTH($D30),1),AC$5&lt;=$E30)),N('WIP Log'!AA30)&lt;&gt;0),N('WIP Log'!AA30),""),IF(IF($D30="",FALSE(),AND(AC$5&gt;=DATE(YEAR($D30),MONTH($D30),1),AC$5&lt;=$E30)),'Phased Budget'!AE30,"")))</f>
        <v/>
      </c>
      <c r="AD30" s="42" t="str">
        <f aca="false">IF($B30="","",IF(AD$5&lt;=Projects!$C$2,IF(OR(IF($D30="",FALSE(),AND(AD$5&gt;=DATE(YEAR($D30),MONTH($D30),1),AD$5&lt;=$E30)),N('WIP Log'!AB30)&lt;&gt;0),N('WIP Log'!AB30),""),IF(IF($D30="",FALSE(),AND(AD$5&gt;=DATE(YEAR($D30),MONTH($D30),1),AD$5&lt;=$E30)),'Phased Budget'!AF30,"")))</f>
        <v/>
      </c>
      <c r="AE30" s="42" t="str">
        <f aca="false">IF($B30="","",IF(AE$5&lt;=Projects!$C$2,IF(OR(IF($D30="",FALSE(),AND(AE$5&gt;=DATE(YEAR($D30),MONTH($D30),1),AE$5&lt;=$E30)),N('WIP Log'!AC30)&lt;&gt;0),N('WIP Log'!AC30),""),IF(IF($D30="",FALSE(),AND(AE$5&gt;=DATE(YEAR($D30),MONTH($D30),1),AE$5&lt;=$E30)),'Phased Budget'!AG30,"")))</f>
        <v/>
      </c>
      <c r="AF30" s="42" t="str">
        <f aca="false">IF($B30="","",IF(AF$5&lt;=Projects!$C$2,IF(OR(IF($D30="",FALSE(),AND(AF$5&gt;=DATE(YEAR($D30),MONTH($D30),1),AF$5&lt;=$E30)),N('WIP Log'!AD30)&lt;&gt;0),N('WIP Log'!AD30),""),IF(IF($D30="",FALSE(),AND(AF$5&gt;=DATE(YEAR($D30),MONTH($D30),1),AF$5&lt;=$E30)),'Phased Budget'!AH30,"")))</f>
        <v/>
      </c>
      <c r="AG30" s="42" t="str">
        <f aca="false">IF($B30="","",IF(AG$5&lt;=Projects!$C$2,IF(OR(IF($D30="",FALSE(),AND(AG$5&gt;=DATE(YEAR($D30),MONTH($D30),1),AG$5&lt;=$E30)),N('WIP Log'!AE30)&lt;&gt;0),N('WIP Log'!AE30),""),IF(IF($D30="",FALSE(),AND(AG$5&gt;=DATE(YEAR($D30),MONTH($D30),1),AG$5&lt;=$E30)),'Phased Budget'!AI30,"")))</f>
        <v/>
      </c>
      <c r="AH30" s="42" t="str">
        <f aca="false">IF($B30="","",IF(AH$5&lt;=Projects!$C$2,IF(OR(IF($D30="",FALSE(),AND(AH$5&gt;=DATE(YEAR($D30),MONTH($D30),1),AH$5&lt;=$E30)),N('WIP Log'!AF30)&lt;&gt;0),N('WIP Log'!AF30),""),IF(IF($D30="",FALSE(),AND(AH$5&gt;=DATE(YEAR($D30),MONTH($D30),1),AH$5&lt;=$E30)),'Phased Budget'!AJ30,"")))</f>
        <v/>
      </c>
      <c r="AI30" s="42" t="str">
        <f aca="false">IF($B30="","",IF(AI$5&lt;=Projects!$C$2,IF(OR(IF($D30="",FALSE(),AND(AI$5&gt;=DATE(YEAR($D30),MONTH($D30),1),AI$5&lt;=$E30)),N('WIP Log'!AG30)&lt;&gt;0),N('WIP Log'!AG30),""),IF(IF($D30="",FALSE(),AND(AI$5&gt;=DATE(YEAR($D30),MONTH($D30),1),AI$5&lt;=$E30)),'Phased Budget'!AK30,"")))</f>
        <v/>
      </c>
      <c r="AJ30" s="42" t="str">
        <f aca="false">IF($B30="","",IF(AJ$5&lt;=Projects!$C$2,IF(OR(IF($D30="",FALSE(),AND(AJ$5&gt;=DATE(YEAR($D30),MONTH($D30),1),AJ$5&lt;=$E30)),N('WIP Log'!AH30)&lt;&gt;0),N('WIP Log'!AH30),""),IF(IF($D30="",FALSE(),AND(AJ$5&gt;=DATE(YEAR($D30),MONTH($D30),1),AJ$5&lt;=$E30)),'Phased Budget'!AL30,"")))</f>
        <v/>
      </c>
      <c r="AK30" s="42" t="str">
        <f aca="false">IF($B30="","",IF(AK$5&lt;=Projects!$C$2,IF(OR(IF($D30="",FALSE(),AND(AK$5&gt;=DATE(YEAR($D30),MONTH($D30),1),AK$5&lt;=$E30)),N('WIP Log'!AI30)&lt;&gt;0),N('WIP Log'!AI30),""),IF(IF($D30="",FALSE(),AND(AK$5&gt;=DATE(YEAR($D30),MONTH($D30),1),AK$5&lt;=$E30)),'Phased Budget'!AM30,"")))</f>
        <v/>
      </c>
      <c r="AL30" s="42" t="str">
        <f aca="false">IF($B30="","",IF(AL$5&lt;=Projects!$C$2,IF(OR(IF($D30="",FALSE(),AND(AL$5&gt;=DATE(YEAR($D30),MONTH($D30),1),AL$5&lt;=$E30)),N('WIP Log'!AJ30)&lt;&gt;0),N('WIP Log'!AJ30),""),IF(IF($D30="",FALSE(),AND(AL$5&gt;=DATE(YEAR($D30),MONTH($D30),1),AL$5&lt;=$E30)),'Phased Budget'!AN30,"")))</f>
        <v/>
      </c>
      <c r="AM30" s="42" t="str">
        <f aca="false">IF($B30="","",IF(AM$5&lt;=Projects!$C$2,IF(OR(IF($D30="",FALSE(),AND(AM$5&gt;=DATE(YEAR($D30),MONTH($D30),1),AM$5&lt;=$E30)),N('WIP Log'!AK30)&lt;&gt;0),N('WIP Log'!AK30),""),IF(IF($D30="",FALSE(),AND(AM$5&gt;=DATE(YEAR($D30),MONTH($D30),1),AM$5&lt;=$E30)),'Phased Budget'!AO30,"")))</f>
        <v/>
      </c>
      <c r="AN30" s="42" t="str">
        <f aca="false">IF($B30="","",IF(AN$5&lt;=Projects!$C$2,IF(OR(IF($D30="",FALSE(),AND(AN$5&gt;=DATE(YEAR($D30),MONTH($D30),1),AN$5&lt;=$E30)),N('WIP Log'!AL30)&lt;&gt;0),N('WIP Log'!AL30),""),IF(IF($D30="",FALSE(),AND(AN$5&gt;=DATE(YEAR($D30),MONTH($D30),1),AN$5&lt;=$E30)),'Phased Budget'!AP30,"")))</f>
        <v/>
      </c>
      <c r="AO30" s="42" t="str">
        <f aca="false">IF($B30="","",IF(AO$5&lt;=Projects!$C$2,IF(OR(IF($D30="",FALSE(),AND(AO$5&gt;=DATE(YEAR($D30),MONTH($D30),1),AO$5&lt;=$E30)),N('WIP Log'!AM30)&lt;&gt;0),N('WIP Log'!AM30),""),IF(IF($D30="",FALSE(),AND(AO$5&gt;=DATE(YEAR($D30),MONTH($D30),1),AO$5&lt;=$E30)),'Phased Budget'!AQ30,"")))</f>
        <v/>
      </c>
    </row>
    <row r="31" customFormat="false" ht="15" hidden="false" customHeight="false" outlineLevel="0" collapsed="false">
      <c r="A31" s="20" t="n">
        <v>26</v>
      </c>
      <c r="B31" s="40" t="str">
        <f aca="false">IF(Projects!B31="","",Projects!B31)</f>
        <v/>
      </c>
      <c r="C31" s="40" t="str">
        <f aca="false">IF(Projects!C31="","",Projects!C31)</f>
        <v/>
      </c>
      <c r="D31" s="41" t="str">
        <f aca="false">IF(Projects!D31="","",Projects!D31)</f>
        <v/>
      </c>
      <c r="E31" s="41" t="str">
        <f aca="false">IF(Projects!F31="","",Projects!F31)</f>
        <v/>
      </c>
      <c r="F31" s="42" t="str">
        <f aca="false">IF($B31="","",IF(F$5&lt;=Projects!$C$2,IF(OR(IF($D31="",FALSE(),AND(F$5&gt;=DATE(YEAR($D31),MONTH($D31),1),F$5&lt;=$E31)),N('WIP Log'!D31)&lt;&gt;0),N('WIP Log'!D31),""),IF(IF($D31="",FALSE(),AND(F$5&gt;=DATE(YEAR($D31),MONTH($D31),1),F$5&lt;=$E31)),'Phased Budget'!H31,"")))</f>
        <v/>
      </c>
      <c r="G31" s="42" t="str">
        <f aca="false">IF($B31="","",IF(G$5&lt;=Projects!$C$2,IF(OR(IF($D31="",FALSE(),AND(G$5&gt;=DATE(YEAR($D31),MONTH($D31),1),G$5&lt;=$E31)),N('WIP Log'!E31)&lt;&gt;0),N('WIP Log'!E31),""),IF(IF($D31="",FALSE(),AND(G$5&gt;=DATE(YEAR($D31),MONTH($D31),1),G$5&lt;=$E31)),'Phased Budget'!I31,"")))</f>
        <v/>
      </c>
      <c r="H31" s="42" t="str">
        <f aca="false">IF($B31="","",IF(H$5&lt;=Projects!$C$2,IF(OR(IF($D31="",FALSE(),AND(H$5&gt;=DATE(YEAR($D31),MONTH($D31),1),H$5&lt;=$E31)),N('WIP Log'!F31)&lt;&gt;0),N('WIP Log'!F31),""),IF(IF($D31="",FALSE(),AND(H$5&gt;=DATE(YEAR($D31),MONTH($D31),1),H$5&lt;=$E31)),'Phased Budget'!J31,"")))</f>
        <v/>
      </c>
      <c r="I31" s="42" t="str">
        <f aca="false">IF($B31="","",IF(I$5&lt;=Projects!$C$2,IF(OR(IF($D31="",FALSE(),AND(I$5&gt;=DATE(YEAR($D31),MONTH($D31),1),I$5&lt;=$E31)),N('WIP Log'!G31)&lt;&gt;0),N('WIP Log'!G31),""),IF(IF($D31="",FALSE(),AND(I$5&gt;=DATE(YEAR($D31),MONTH($D31),1),I$5&lt;=$E31)),'Phased Budget'!K31,"")))</f>
        <v/>
      </c>
      <c r="J31" s="42" t="str">
        <f aca="false">IF($B31="","",IF(J$5&lt;=Projects!$C$2,IF(OR(IF($D31="",FALSE(),AND(J$5&gt;=DATE(YEAR($D31),MONTH($D31),1),J$5&lt;=$E31)),N('WIP Log'!H31)&lt;&gt;0),N('WIP Log'!H31),""),IF(IF($D31="",FALSE(),AND(J$5&gt;=DATE(YEAR($D31),MONTH($D31),1),J$5&lt;=$E31)),'Phased Budget'!L31,"")))</f>
        <v/>
      </c>
      <c r="K31" s="42" t="str">
        <f aca="false">IF($B31="","",IF(K$5&lt;=Projects!$C$2,IF(OR(IF($D31="",FALSE(),AND(K$5&gt;=DATE(YEAR($D31),MONTH($D31),1),K$5&lt;=$E31)),N('WIP Log'!I31)&lt;&gt;0),N('WIP Log'!I31),""),IF(IF($D31="",FALSE(),AND(K$5&gt;=DATE(YEAR($D31),MONTH($D31),1),K$5&lt;=$E31)),'Phased Budget'!M31,"")))</f>
        <v/>
      </c>
      <c r="L31" s="42" t="str">
        <f aca="false">IF($B31="","",IF(L$5&lt;=Projects!$C$2,IF(OR(IF($D31="",FALSE(),AND(L$5&gt;=DATE(YEAR($D31),MONTH($D31),1),L$5&lt;=$E31)),N('WIP Log'!J31)&lt;&gt;0),N('WIP Log'!J31),""),IF(IF($D31="",FALSE(),AND(L$5&gt;=DATE(YEAR($D31),MONTH($D31),1),L$5&lt;=$E31)),'Phased Budget'!N31,"")))</f>
        <v/>
      </c>
      <c r="M31" s="42" t="str">
        <f aca="false">IF($B31="","",IF(M$5&lt;=Projects!$C$2,IF(OR(IF($D31="",FALSE(),AND(M$5&gt;=DATE(YEAR($D31),MONTH($D31),1),M$5&lt;=$E31)),N('WIP Log'!K31)&lt;&gt;0),N('WIP Log'!K31),""),IF(IF($D31="",FALSE(),AND(M$5&gt;=DATE(YEAR($D31),MONTH($D31),1),M$5&lt;=$E31)),'Phased Budget'!O31,"")))</f>
        <v/>
      </c>
      <c r="N31" s="42" t="str">
        <f aca="false">IF($B31="","",IF(N$5&lt;=Projects!$C$2,IF(OR(IF($D31="",FALSE(),AND(N$5&gt;=DATE(YEAR($D31),MONTH($D31),1),N$5&lt;=$E31)),N('WIP Log'!L31)&lt;&gt;0),N('WIP Log'!L31),""),IF(IF($D31="",FALSE(),AND(N$5&gt;=DATE(YEAR($D31),MONTH($D31),1),N$5&lt;=$E31)),'Phased Budget'!P31,"")))</f>
        <v/>
      </c>
      <c r="O31" s="42" t="str">
        <f aca="false">IF($B31="","",IF(O$5&lt;=Projects!$C$2,IF(OR(IF($D31="",FALSE(),AND(O$5&gt;=DATE(YEAR($D31),MONTH($D31),1),O$5&lt;=$E31)),N('WIP Log'!M31)&lt;&gt;0),N('WIP Log'!M31),""),IF(IF($D31="",FALSE(),AND(O$5&gt;=DATE(YEAR($D31),MONTH($D31),1),O$5&lt;=$E31)),'Phased Budget'!Q31,"")))</f>
        <v/>
      </c>
      <c r="P31" s="42" t="str">
        <f aca="false">IF($B31="","",IF(P$5&lt;=Projects!$C$2,IF(OR(IF($D31="",FALSE(),AND(P$5&gt;=DATE(YEAR($D31),MONTH($D31),1),P$5&lt;=$E31)),N('WIP Log'!N31)&lt;&gt;0),N('WIP Log'!N31),""),IF(IF($D31="",FALSE(),AND(P$5&gt;=DATE(YEAR($D31),MONTH($D31),1),P$5&lt;=$E31)),'Phased Budget'!R31,"")))</f>
        <v/>
      </c>
      <c r="Q31" s="42" t="str">
        <f aca="false">IF($B31="","",IF(Q$5&lt;=Projects!$C$2,IF(OR(IF($D31="",FALSE(),AND(Q$5&gt;=DATE(YEAR($D31),MONTH($D31),1),Q$5&lt;=$E31)),N('WIP Log'!O31)&lt;&gt;0),N('WIP Log'!O31),""),IF(IF($D31="",FALSE(),AND(Q$5&gt;=DATE(YEAR($D31),MONTH($D31),1),Q$5&lt;=$E31)),'Phased Budget'!S31,"")))</f>
        <v/>
      </c>
      <c r="R31" s="42" t="str">
        <f aca="false">IF($B31="","",IF(R$5&lt;=Projects!$C$2,IF(OR(IF($D31="",FALSE(),AND(R$5&gt;=DATE(YEAR($D31),MONTH($D31),1),R$5&lt;=$E31)),N('WIP Log'!P31)&lt;&gt;0),N('WIP Log'!P31),""),IF(IF($D31="",FALSE(),AND(R$5&gt;=DATE(YEAR($D31),MONTH($D31),1),R$5&lt;=$E31)),'Phased Budget'!T31,"")))</f>
        <v/>
      </c>
      <c r="S31" s="42" t="str">
        <f aca="false">IF($B31="","",IF(S$5&lt;=Projects!$C$2,IF(OR(IF($D31="",FALSE(),AND(S$5&gt;=DATE(YEAR($D31),MONTH($D31),1),S$5&lt;=$E31)),N('WIP Log'!Q31)&lt;&gt;0),N('WIP Log'!Q31),""),IF(IF($D31="",FALSE(),AND(S$5&gt;=DATE(YEAR($D31),MONTH($D31),1),S$5&lt;=$E31)),'Phased Budget'!U31,"")))</f>
        <v/>
      </c>
      <c r="T31" s="42" t="str">
        <f aca="false">IF($B31="","",IF(T$5&lt;=Projects!$C$2,IF(OR(IF($D31="",FALSE(),AND(T$5&gt;=DATE(YEAR($D31),MONTH($D31),1),T$5&lt;=$E31)),N('WIP Log'!R31)&lt;&gt;0),N('WIP Log'!R31),""),IF(IF($D31="",FALSE(),AND(T$5&gt;=DATE(YEAR($D31),MONTH($D31),1),T$5&lt;=$E31)),'Phased Budget'!V31,"")))</f>
        <v/>
      </c>
      <c r="U31" s="42" t="str">
        <f aca="false">IF($B31="","",IF(U$5&lt;=Projects!$C$2,IF(OR(IF($D31="",FALSE(),AND(U$5&gt;=DATE(YEAR($D31),MONTH($D31),1),U$5&lt;=$E31)),N('WIP Log'!S31)&lt;&gt;0),N('WIP Log'!S31),""),IF(IF($D31="",FALSE(),AND(U$5&gt;=DATE(YEAR($D31),MONTH($D31),1),U$5&lt;=$E31)),'Phased Budget'!W31,"")))</f>
        <v/>
      </c>
      <c r="V31" s="42" t="str">
        <f aca="false">IF($B31="","",IF(V$5&lt;=Projects!$C$2,IF(OR(IF($D31="",FALSE(),AND(V$5&gt;=DATE(YEAR($D31),MONTH($D31),1),V$5&lt;=$E31)),N('WIP Log'!T31)&lt;&gt;0),N('WIP Log'!T31),""),IF(IF($D31="",FALSE(),AND(V$5&gt;=DATE(YEAR($D31),MONTH($D31),1),V$5&lt;=$E31)),'Phased Budget'!X31,"")))</f>
        <v/>
      </c>
      <c r="W31" s="42" t="str">
        <f aca="false">IF($B31="","",IF(W$5&lt;=Projects!$C$2,IF(OR(IF($D31="",FALSE(),AND(W$5&gt;=DATE(YEAR($D31),MONTH($D31),1),W$5&lt;=$E31)),N('WIP Log'!U31)&lt;&gt;0),N('WIP Log'!U31),""),IF(IF($D31="",FALSE(),AND(W$5&gt;=DATE(YEAR($D31),MONTH($D31),1),W$5&lt;=$E31)),'Phased Budget'!Y31,"")))</f>
        <v/>
      </c>
      <c r="X31" s="42" t="str">
        <f aca="false">IF($B31="","",IF(X$5&lt;=Projects!$C$2,IF(OR(IF($D31="",FALSE(),AND(X$5&gt;=DATE(YEAR($D31),MONTH($D31),1),X$5&lt;=$E31)),N('WIP Log'!V31)&lt;&gt;0),N('WIP Log'!V31),""),IF(IF($D31="",FALSE(),AND(X$5&gt;=DATE(YEAR($D31),MONTH($D31),1),X$5&lt;=$E31)),'Phased Budget'!Z31,"")))</f>
        <v/>
      </c>
      <c r="Y31" s="42" t="str">
        <f aca="false">IF($B31="","",IF(Y$5&lt;=Projects!$C$2,IF(OR(IF($D31="",FALSE(),AND(Y$5&gt;=DATE(YEAR($D31),MONTH($D31),1),Y$5&lt;=$E31)),N('WIP Log'!W31)&lt;&gt;0),N('WIP Log'!W31),""),IF(IF($D31="",FALSE(),AND(Y$5&gt;=DATE(YEAR($D31),MONTH($D31),1),Y$5&lt;=$E31)),'Phased Budget'!AA31,"")))</f>
        <v/>
      </c>
      <c r="Z31" s="42" t="str">
        <f aca="false">IF($B31="","",IF(Z$5&lt;=Projects!$C$2,IF(OR(IF($D31="",FALSE(),AND(Z$5&gt;=DATE(YEAR($D31),MONTH($D31),1),Z$5&lt;=$E31)),N('WIP Log'!X31)&lt;&gt;0),N('WIP Log'!X31),""),IF(IF($D31="",FALSE(),AND(Z$5&gt;=DATE(YEAR($D31),MONTH($D31),1),Z$5&lt;=$E31)),'Phased Budget'!AB31,"")))</f>
        <v/>
      </c>
      <c r="AA31" s="42" t="str">
        <f aca="false">IF($B31="","",IF(AA$5&lt;=Projects!$C$2,IF(OR(IF($D31="",FALSE(),AND(AA$5&gt;=DATE(YEAR($D31),MONTH($D31),1),AA$5&lt;=$E31)),N('WIP Log'!Y31)&lt;&gt;0),N('WIP Log'!Y31),""),IF(IF($D31="",FALSE(),AND(AA$5&gt;=DATE(YEAR($D31),MONTH($D31),1),AA$5&lt;=$E31)),'Phased Budget'!AC31,"")))</f>
        <v/>
      </c>
      <c r="AB31" s="42" t="str">
        <f aca="false">IF($B31="","",IF(AB$5&lt;=Projects!$C$2,IF(OR(IF($D31="",FALSE(),AND(AB$5&gt;=DATE(YEAR($D31),MONTH($D31),1),AB$5&lt;=$E31)),N('WIP Log'!Z31)&lt;&gt;0),N('WIP Log'!Z31),""),IF(IF($D31="",FALSE(),AND(AB$5&gt;=DATE(YEAR($D31),MONTH($D31),1),AB$5&lt;=$E31)),'Phased Budget'!AD31,"")))</f>
        <v/>
      </c>
      <c r="AC31" s="42" t="str">
        <f aca="false">IF($B31="","",IF(AC$5&lt;=Projects!$C$2,IF(OR(IF($D31="",FALSE(),AND(AC$5&gt;=DATE(YEAR($D31),MONTH($D31),1),AC$5&lt;=$E31)),N('WIP Log'!AA31)&lt;&gt;0),N('WIP Log'!AA31),""),IF(IF($D31="",FALSE(),AND(AC$5&gt;=DATE(YEAR($D31),MONTH($D31),1),AC$5&lt;=$E31)),'Phased Budget'!AE31,"")))</f>
        <v/>
      </c>
      <c r="AD31" s="42" t="str">
        <f aca="false">IF($B31="","",IF(AD$5&lt;=Projects!$C$2,IF(OR(IF($D31="",FALSE(),AND(AD$5&gt;=DATE(YEAR($D31),MONTH($D31),1),AD$5&lt;=$E31)),N('WIP Log'!AB31)&lt;&gt;0),N('WIP Log'!AB31),""),IF(IF($D31="",FALSE(),AND(AD$5&gt;=DATE(YEAR($D31),MONTH($D31),1),AD$5&lt;=$E31)),'Phased Budget'!AF31,"")))</f>
        <v/>
      </c>
      <c r="AE31" s="42" t="str">
        <f aca="false">IF($B31="","",IF(AE$5&lt;=Projects!$C$2,IF(OR(IF($D31="",FALSE(),AND(AE$5&gt;=DATE(YEAR($D31),MONTH($D31),1),AE$5&lt;=$E31)),N('WIP Log'!AC31)&lt;&gt;0),N('WIP Log'!AC31),""),IF(IF($D31="",FALSE(),AND(AE$5&gt;=DATE(YEAR($D31),MONTH($D31),1),AE$5&lt;=$E31)),'Phased Budget'!AG31,"")))</f>
        <v/>
      </c>
      <c r="AF31" s="42" t="str">
        <f aca="false">IF($B31="","",IF(AF$5&lt;=Projects!$C$2,IF(OR(IF($D31="",FALSE(),AND(AF$5&gt;=DATE(YEAR($D31),MONTH($D31),1),AF$5&lt;=$E31)),N('WIP Log'!AD31)&lt;&gt;0),N('WIP Log'!AD31),""),IF(IF($D31="",FALSE(),AND(AF$5&gt;=DATE(YEAR($D31),MONTH($D31),1),AF$5&lt;=$E31)),'Phased Budget'!AH31,"")))</f>
        <v/>
      </c>
      <c r="AG31" s="42" t="str">
        <f aca="false">IF($B31="","",IF(AG$5&lt;=Projects!$C$2,IF(OR(IF($D31="",FALSE(),AND(AG$5&gt;=DATE(YEAR($D31),MONTH($D31),1),AG$5&lt;=$E31)),N('WIP Log'!AE31)&lt;&gt;0),N('WIP Log'!AE31),""),IF(IF($D31="",FALSE(),AND(AG$5&gt;=DATE(YEAR($D31),MONTH($D31),1),AG$5&lt;=$E31)),'Phased Budget'!AI31,"")))</f>
        <v/>
      </c>
      <c r="AH31" s="42" t="str">
        <f aca="false">IF($B31="","",IF(AH$5&lt;=Projects!$C$2,IF(OR(IF($D31="",FALSE(),AND(AH$5&gt;=DATE(YEAR($D31),MONTH($D31),1),AH$5&lt;=$E31)),N('WIP Log'!AF31)&lt;&gt;0),N('WIP Log'!AF31),""),IF(IF($D31="",FALSE(),AND(AH$5&gt;=DATE(YEAR($D31),MONTH($D31),1),AH$5&lt;=$E31)),'Phased Budget'!AJ31,"")))</f>
        <v/>
      </c>
      <c r="AI31" s="42" t="str">
        <f aca="false">IF($B31="","",IF(AI$5&lt;=Projects!$C$2,IF(OR(IF($D31="",FALSE(),AND(AI$5&gt;=DATE(YEAR($D31),MONTH($D31),1),AI$5&lt;=$E31)),N('WIP Log'!AG31)&lt;&gt;0),N('WIP Log'!AG31),""),IF(IF($D31="",FALSE(),AND(AI$5&gt;=DATE(YEAR($D31),MONTH($D31),1),AI$5&lt;=$E31)),'Phased Budget'!AK31,"")))</f>
        <v/>
      </c>
      <c r="AJ31" s="42" t="str">
        <f aca="false">IF($B31="","",IF(AJ$5&lt;=Projects!$C$2,IF(OR(IF($D31="",FALSE(),AND(AJ$5&gt;=DATE(YEAR($D31),MONTH($D31),1),AJ$5&lt;=$E31)),N('WIP Log'!AH31)&lt;&gt;0),N('WIP Log'!AH31),""),IF(IF($D31="",FALSE(),AND(AJ$5&gt;=DATE(YEAR($D31),MONTH($D31),1),AJ$5&lt;=$E31)),'Phased Budget'!AL31,"")))</f>
        <v/>
      </c>
      <c r="AK31" s="42" t="str">
        <f aca="false">IF($B31="","",IF(AK$5&lt;=Projects!$C$2,IF(OR(IF($D31="",FALSE(),AND(AK$5&gt;=DATE(YEAR($D31),MONTH($D31),1),AK$5&lt;=$E31)),N('WIP Log'!AI31)&lt;&gt;0),N('WIP Log'!AI31),""),IF(IF($D31="",FALSE(),AND(AK$5&gt;=DATE(YEAR($D31),MONTH($D31),1),AK$5&lt;=$E31)),'Phased Budget'!AM31,"")))</f>
        <v/>
      </c>
      <c r="AL31" s="42" t="str">
        <f aca="false">IF($B31="","",IF(AL$5&lt;=Projects!$C$2,IF(OR(IF($D31="",FALSE(),AND(AL$5&gt;=DATE(YEAR($D31),MONTH($D31),1),AL$5&lt;=$E31)),N('WIP Log'!AJ31)&lt;&gt;0),N('WIP Log'!AJ31),""),IF(IF($D31="",FALSE(),AND(AL$5&gt;=DATE(YEAR($D31),MONTH($D31),1),AL$5&lt;=$E31)),'Phased Budget'!AN31,"")))</f>
        <v/>
      </c>
      <c r="AM31" s="42" t="str">
        <f aca="false">IF($B31="","",IF(AM$5&lt;=Projects!$C$2,IF(OR(IF($D31="",FALSE(),AND(AM$5&gt;=DATE(YEAR($D31),MONTH($D31),1),AM$5&lt;=$E31)),N('WIP Log'!AK31)&lt;&gt;0),N('WIP Log'!AK31),""),IF(IF($D31="",FALSE(),AND(AM$5&gt;=DATE(YEAR($D31),MONTH($D31),1),AM$5&lt;=$E31)),'Phased Budget'!AO31,"")))</f>
        <v/>
      </c>
      <c r="AN31" s="42" t="str">
        <f aca="false">IF($B31="","",IF(AN$5&lt;=Projects!$C$2,IF(OR(IF($D31="",FALSE(),AND(AN$5&gt;=DATE(YEAR($D31),MONTH($D31),1),AN$5&lt;=$E31)),N('WIP Log'!AL31)&lt;&gt;0),N('WIP Log'!AL31),""),IF(IF($D31="",FALSE(),AND(AN$5&gt;=DATE(YEAR($D31),MONTH($D31),1),AN$5&lt;=$E31)),'Phased Budget'!AP31,"")))</f>
        <v/>
      </c>
      <c r="AO31" s="42" t="str">
        <f aca="false">IF($B31="","",IF(AO$5&lt;=Projects!$C$2,IF(OR(IF($D31="",FALSE(),AND(AO$5&gt;=DATE(YEAR($D31),MONTH($D31),1),AO$5&lt;=$E31)),N('WIP Log'!AM31)&lt;&gt;0),N('WIP Log'!AM31),""),IF(IF($D31="",FALSE(),AND(AO$5&gt;=DATE(YEAR($D31),MONTH($D31),1),AO$5&lt;=$E31)),'Phased Budget'!AQ31,"")))</f>
        <v/>
      </c>
    </row>
    <row r="32" customFormat="false" ht="15" hidden="false" customHeight="false" outlineLevel="0" collapsed="false">
      <c r="A32" s="20" t="n">
        <v>27</v>
      </c>
      <c r="B32" s="40" t="str">
        <f aca="false">IF(Projects!B32="","",Projects!B32)</f>
        <v/>
      </c>
      <c r="C32" s="40" t="str">
        <f aca="false">IF(Projects!C32="","",Projects!C32)</f>
        <v/>
      </c>
      <c r="D32" s="41" t="str">
        <f aca="false">IF(Projects!D32="","",Projects!D32)</f>
        <v/>
      </c>
      <c r="E32" s="41" t="str">
        <f aca="false">IF(Projects!F32="","",Projects!F32)</f>
        <v/>
      </c>
      <c r="F32" s="42" t="str">
        <f aca="false">IF($B32="","",IF(F$5&lt;=Projects!$C$2,IF(OR(IF($D32="",FALSE(),AND(F$5&gt;=DATE(YEAR($D32),MONTH($D32),1),F$5&lt;=$E32)),N('WIP Log'!D32)&lt;&gt;0),N('WIP Log'!D32),""),IF(IF($D32="",FALSE(),AND(F$5&gt;=DATE(YEAR($D32),MONTH($D32),1),F$5&lt;=$E32)),'Phased Budget'!H32,"")))</f>
        <v/>
      </c>
      <c r="G32" s="42" t="str">
        <f aca="false">IF($B32="","",IF(G$5&lt;=Projects!$C$2,IF(OR(IF($D32="",FALSE(),AND(G$5&gt;=DATE(YEAR($D32),MONTH($D32),1),G$5&lt;=$E32)),N('WIP Log'!E32)&lt;&gt;0),N('WIP Log'!E32),""),IF(IF($D32="",FALSE(),AND(G$5&gt;=DATE(YEAR($D32),MONTH($D32),1),G$5&lt;=$E32)),'Phased Budget'!I32,"")))</f>
        <v/>
      </c>
      <c r="H32" s="42" t="str">
        <f aca="false">IF($B32="","",IF(H$5&lt;=Projects!$C$2,IF(OR(IF($D32="",FALSE(),AND(H$5&gt;=DATE(YEAR($D32),MONTH($D32),1),H$5&lt;=$E32)),N('WIP Log'!F32)&lt;&gt;0),N('WIP Log'!F32),""),IF(IF($D32="",FALSE(),AND(H$5&gt;=DATE(YEAR($D32),MONTH($D32),1),H$5&lt;=$E32)),'Phased Budget'!J32,"")))</f>
        <v/>
      </c>
      <c r="I32" s="42" t="str">
        <f aca="false">IF($B32="","",IF(I$5&lt;=Projects!$C$2,IF(OR(IF($D32="",FALSE(),AND(I$5&gt;=DATE(YEAR($D32),MONTH($D32),1),I$5&lt;=$E32)),N('WIP Log'!G32)&lt;&gt;0),N('WIP Log'!G32),""),IF(IF($D32="",FALSE(),AND(I$5&gt;=DATE(YEAR($D32),MONTH($D32),1),I$5&lt;=$E32)),'Phased Budget'!K32,"")))</f>
        <v/>
      </c>
      <c r="J32" s="42" t="str">
        <f aca="false">IF($B32="","",IF(J$5&lt;=Projects!$C$2,IF(OR(IF($D32="",FALSE(),AND(J$5&gt;=DATE(YEAR($D32),MONTH($D32),1),J$5&lt;=$E32)),N('WIP Log'!H32)&lt;&gt;0),N('WIP Log'!H32),""),IF(IF($D32="",FALSE(),AND(J$5&gt;=DATE(YEAR($D32),MONTH($D32),1),J$5&lt;=$E32)),'Phased Budget'!L32,"")))</f>
        <v/>
      </c>
      <c r="K32" s="42" t="str">
        <f aca="false">IF($B32="","",IF(K$5&lt;=Projects!$C$2,IF(OR(IF($D32="",FALSE(),AND(K$5&gt;=DATE(YEAR($D32),MONTH($D32),1),K$5&lt;=$E32)),N('WIP Log'!I32)&lt;&gt;0),N('WIP Log'!I32),""),IF(IF($D32="",FALSE(),AND(K$5&gt;=DATE(YEAR($D32),MONTH($D32),1),K$5&lt;=$E32)),'Phased Budget'!M32,"")))</f>
        <v/>
      </c>
      <c r="L32" s="42" t="str">
        <f aca="false">IF($B32="","",IF(L$5&lt;=Projects!$C$2,IF(OR(IF($D32="",FALSE(),AND(L$5&gt;=DATE(YEAR($D32),MONTH($D32),1),L$5&lt;=$E32)),N('WIP Log'!J32)&lt;&gt;0),N('WIP Log'!J32),""),IF(IF($D32="",FALSE(),AND(L$5&gt;=DATE(YEAR($D32),MONTH($D32),1),L$5&lt;=$E32)),'Phased Budget'!N32,"")))</f>
        <v/>
      </c>
      <c r="M32" s="42" t="str">
        <f aca="false">IF($B32="","",IF(M$5&lt;=Projects!$C$2,IF(OR(IF($D32="",FALSE(),AND(M$5&gt;=DATE(YEAR($D32),MONTH($D32),1),M$5&lt;=$E32)),N('WIP Log'!K32)&lt;&gt;0),N('WIP Log'!K32),""),IF(IF($D32="",FALSE(),AND(M$5&gt;=DATE(YEAR($D32),MONTH($D32),1),M$5&lt;=$E32)),'Phased Budget'!O32,"")))</f>
        <v/>
      </c>
      <c r="N32" s="42" t="str">
        <f aca="false">IF($B32="","",IF(N$5&lt;=Projects!$C$2,IF(OR(IF($D32="",FALSE(),AND(N$5&gt;=DATE(YEAR($D32),MONTH($D32),1),N$5&lt;=$E32)),N('WIP Log'!L32)&lt;&gt;0),N('WIP Log'!L32),""),IF(IF($D32="",FALSE(),AND(N$5&gt;=DATE(YEAR($D32),MONTH($D32),1),N$5&lt;=$E32)),'Phased Budget'!P32,"")))</f>
        <v/>
      </c>
      <c r="O32" s="42" t="str">
        <f aca="false">IF($B32="","",IF(O$5&lt;=Projects!$C$2,IF(OR(IF($D32="",FALSE(),AND(O$5&gt;=DATE(YEAR($D32),MONTH($D32),1),O$5&lt;=$E32)),N('WIP Log'!M32)&lt;&gt;0),N('WIP Log'!M32),""),IF(IF($D32="",FALSE(),AND(O$5&gt;=DATE(YEAR($D32),MONTH($D32),1),O$5&lt;=$E32)),'Phased Budget'!Q32,"")))</f>
        <v/>
      </c>
      <c r="P32" s="42" t="str">
        <f aca="false">IF($B32="","",IF(P$5&lt;=Projects!$C$2,IF(OR(IF($D32="",FALSE(),AND(P$5&gt;=DATE(YEAR($D32),MONTH($D32),1),P$5&lt;=$E32)),N('WIP Log'!N32)&lt;&gt;0),N('WIP Log'!N32),""),IF(IF($D32="",FALSE(),AND(P$5&gt;=DATE(YEAR($D32),MONTH($D32),1),P$5&lt;=$E32)),'Phased Budget'!R32,"")))</f>
        <v/>
      </c>
      <c r="Q32" s="42" t="str">
        <f aca="false">IF($B32="","",IF(Q$5&lt;=Projects!$C$2,IF(OR(IF($D32="",FALSE(),AND(Q$5&gt;=DATE(YEAR($D32),MONTH($D32),1),Q$5&lt;=$E32)),N('WIP Log'!O32)&lt;&gt;0),N('WIP Log'!O32),""),IF(IF($D32="",FALSE(),AND(Q$5&gt;=DATE(YEAR($D32),MONTH($D32),1),Q$5&lt;=$E32)),'Phased Budget'!S32,"")))</f>
        <v/>
      </c>
      <c r="R32" s="42" t="str">
        <f aca="false">IF($B32="","",IF(R$5&lt;=Projects!$C$2,IF(OR(IF($D32="",FALSE(),AND(R$5&gt;=DATE(YEAR($D32),MONTH($D32),1),R$5&lt;=$E32)),N('WIP Log'!P32)&lt;&gt;0),N('WIP Log'!P32),""),IF(IF($D32="",FALSE(),AND(R$5&gt;=DATE(YEAR($D32),MONTH($D32),1),R$5&lt;=$E32)),'Phased Budget'!T32,"")))</f>
        <v/>
      </c>
      <c r="S32" s="42" t="str">
        <f aca="false">IF($B32="","",IF(S$5&lt;=Projects!$C$2,IF(OR(IF($D32="",FALSE(),AND(S$5&gt;=DATE(YEAR($D32),MONTH($D32),1),S$5&lt;=$E32)),N('WIP Log'!Q32)&lt;&gt;0),N('WIP Log'!Q32),""),IF(IF($D32="",FALSE(),AND(S$5&gt;=DATE(YEAR($D32),MONTH($D32),1),S$5&lt;=$E32)),'Phased Budget'!U32,"")))</f>
        <v/>
      </c>
      <c r="T32" s="42" t="str">
        <f aca="false">IF($B32="","",IF(T$5&lt;=Projects!$C$2,IF(OR(IF($D32="",FALSE(),AND(T$5&gt;=DATE(YEAR($D32),MONTH($D32),1),T$5&lt;=$E32)),N('WIP Log'!R32)&lt;&gt;0),N('WIP Log'!R32),""),IF(IF($D32="",FALSE(),AND(T$5&gt;=DATE(YEAR($D32),MONTH($D32),1),T$5&lt;=$E32)),'Phased Budget'!V32,"")))</f>
        <v/>
      </c>
      <c r="U32" s="42" t="str">
        <f aca="false">IF($B32="","",IF(U$5&lt;=Projects!$C$2,IF(OR(IF($D32="",FALSE(),AND(U$5&gt;=DATE(YEAR($D32),MONTH($D32),1),U$5&lt;=$E32)),N('WIP Log'!S32)&lt;&gt;0),N('WIP Log'!S32),""),IF(IF($D32="",FALSE(),AND(U$5&gt;=DATE(YEAR($D32),MONTH($D32),1),U$5&lt;=$E32)),'Phased Budget'!W32,"")))</f>
        <v/>
      </c>
      <c r="V32" s="42" t="str">
        <f aca="false">IF($B32="","",IF(V$5&lt;=Projects!$C$2,IF(OR(IF($D32="",FALSE(),AND(V$5&gt;=DATE(YEAR($D32),MONTH($D32),1),V$5&lt;=$E32)),N('WIP Log'!T32)&lt;&gt;0),N('WIP Log'!T32),""),IF(IF($D32="",FALSE(),AND(V$5&gt;=DATE(YEAR($D32),MONTH($D32),1),V$5&lt;=$E32)),'Phased Budget'!X32,"")))</f>
        <v/>
      </c>
      <c r="W32" s="42" t="str">
        <f aca="false">IF($B32="","",IF(W$5&lt;=Projects!$C$2,IF(OR(IF($D32="",FALSE(),AND(W$5&gt;=DATE(YEAR($D32),MONTH($D32),1),W$5&lt;=$E32)),N('WIP Log'!U32)&lt;&gt;0),N('WIP Log'!U32),""),IF(IF($D32="",FALSE(),AND(W$5&gt;=DATE(YEAR($D32),MONTH($D32),1),W$5&lt;=$E32)),'Phased Budget'!Y32,"")))</f>
        <v/>
      </c>
      <c r="X32" s="42" t="str">
        <f aca="false">IF($B32="","",IF(X$5&lt;=Projects!$C$2,IF(OR(IF($D32="",FALSE(),AND(X$5&gt;=DATE(YEAR($D32),MONTH($D32),1),X$5&lt;=$E32)),N('WIP Log'!V32)&lt;&gt;0),N('WIP Log'!V32),""),IF(IF($D32="",FALSE(),AND(X$5&gt;=DATE(YEAR($D32),MONTH($D32),1),X$5&lt;=$E32)),'Phased Budget'!Z32,"")))</f>
        <v/>
      </c>
      <c r="Y32" s="42" t="str">
        <f aca="false">IF($B32="","",IF(Y$5&lt;=Projects!$C$2,IF(OR(IF($D32="",FALSE(),AND(Y$5&gt;=DATE(YEAR($D32),MONTH($D32),1),Y$5&lt;=$E32)),N('WIP Log'!W32)&lt;&gt;0),N('WIP Log'!W32),""),IF(IF($D32="",FALSE(),AND(Y$5&gt;=DATE(YEAR($D32),MONTH($D32),1),Y$5&lt;=$E32)),'Phased Budget'!AA32,"")))</f>
        <v/>
      </c>
      <c r="Z32" s="42" t="str">
        <f aca="false">IF($B32="","",IF(Z$5&lt;=Projects!$C$2,IF(OR(IF($D32="",FALSE(),AND(Z$5&gt;=DATE(YEAR($D32),MONTH($D32),1),Z$5&lt;=$E32)),N('WIP Log'!X32)&lt;&gt;0),N('WIP Log'!X32),""),IF(IF($D32="",FALSE(),AND(Z$5&gt;=DATE(YEAR($D32),MONTH($D32),1),Z$5&lt;=$E32)),'Phased Budget'!AB32,"")))</f>
        <v/>
      </c>
      <c r="AA32" s="42" t="str">
        <f aca="false">IF($B32="","",IF(AA$5&lt;=Projects!$C$2,IF(OR(IF($D32="",FALSE(),AND(AA$5&gt;=DATE(YEAR($D32),MONTH($D32),1),AA$5&lt;=$E32)),N('WIP Log'!Y32)&lt;&gt;0),N('WIP Log'!Y32),""),IF(IF($D32="",FALSE(),AND(AA$5&gt;=DATE(YEAR($D32),MONTH($D32),1),AA$5&lt;=$E32)),'Phased Budget'!AC32,"")))</f>
        <v/>
      </c>
      <c r="AB32" s="42" t="str">
        <f aca="false">IF($B32="","",IF(AB$5&lt;=Projects!$C$2,IF(OR(IF($D32="",FALSE(),AND(AB$5&gt;=DATE(YEAR($D32),MONTH($D32),1),AB$5&lt;=$E32)),N('WIP Log'!Z32)&lt;&gt;0),N('WIP Log'!Z32),""),IF(IF($D32="",FALSE(),AND(AB$5&gt;=DATE(YEAR($D32),MONTH($D32),1),AB$5&lt;=$E32)),'Phased Budget'!AD32,"")))</f>
        <v/>
      </c>
      <c r="AC32" s="42" t="str">
        <f aca="false">IF($B32="","",IF(AC$5&lt;=Projects!$C$2,IF(OR(IF($D32="",FALSE(),AND(AC$5&gt;=DATE(YEAR($D32),MONTH($D32),1),AC$5&lt;=$E32)),N('WIP Log'!AA32)&lt;&gt;0),N('WIP Log'!AA32),""),IF(IF($D32="",FALSE(),AND(AC$5&gt;=DATE(YEAR($D32),MONTH($D32),1),AC$5&lt;=$E32)),'Phased Budget'!AE32,"")))</f>
        <v/>
      </c>
      <c r="AD32" s="42" t="str">
        <f aca="false">IF($B32="","",IF(AD$5&lt;=Projects!$C$2,IF(OR(IF($D32="",FALSE(),AND(AD$5&gt;=DATE(YEAR($D32),MONTH($D32),1),AD$5&lt;=$E32)),N('WIP Log'!AB32)&lt;&gt;0),N('WIP Log'!AB32),""),IF(IF($D32="",FALSE(),AND(AD$5&gt;=DATE(YEAR($D32),MONTH($D32),1),AD$5&lt;=$E32)),'Phased Budget'!AF32,"")))</f>
        <v/>
      </c>
      <c r="AE32" s="42" t="str">
        <f aca="false">IF($B32="","",IF(AE$5&lt;=Projects!$C$2,IF(OR(IF($D32="",FALSE(),AND(AE$5&gt;=DATE(YEAR($D32),MONTH($D32),1),AE$5&lt;=$E32)),N('WIP Log'!AC32)&lt;&gt;0),N('WIP Log'!AC32),""),IF(IF($D32="",FALSE(),AND(AE$5&gt;=DATE(YEAR($D32),MONTH($D32),1),AE$5&lt;=$E32)),'Phased Budget'!AG32,"")))</f>
        <v/>
      </c>
      <c r="AF32" s="42" t="str">
        <f aca="false">IF($B32="","",IF(AF$5&lt;=Projects!$C$2,IF(OR(IF($D32="",FALSE(),AND(AF$5&gt;=DATE(YEAR($D32),MONTH($D32),1),AF$5&lt;=$E32)),N('WIP Log'!AD32)&lt;&gt;0),N('WIP Log'!AD32),""),IF(IF($D32="",FALSE(),AND(AF$5&gt;=DATE(YEAR($D32),MONTH($D32),1),AF$5&lt;=$E32)),'Phased Budget'!AH32,"")))</f>
        <v/>
      </c>
      <c r="AG32" s="42" t="str">
        <f aca="false">IF($B32="","",IF(AG$5&lt;=Projects!$C$2,IF(OR(IF($D32="",FALSE(),AND(AG$5&gt;=DATE(YEAR($D32),MONTH($D32),1),AG$5&lt;=$E32)),N('WIP Log'!AE32)&lt;&gt;0),N('WIP Log'!AE32),""),IF(IF($D32="",FALSE(),AND(AG$5&gt;=DATE(YEAR($D32),MONTH($D32),1),AG$5&lt;=$E32)),'Phased Budget'!AI32,"")))</f>
        <v/>
      </c>
      <c r="AH32" s="42" t="str">
        <f aca="false">IF($B32="","",IF(AH$5&lt;=Projects!$C$2,IF(OR(IF($D32="",FALSE(),AND(AH$5&gt;=DATE(YEAR($D32),MONTH($D32),1),AH$5&lt;=$E32)),N('WIP Log'!AF32)&lt;&gt;0),N('WIP Log'!AF32),""),IF(IF($D32="",FALSE(),AND(AH$5&gt;=DATE(YEAR($D32),MONTH($D32),1),AH$5&lt;=$E32)),'Phased Budget'!AJ32,"")))</f>
        <v/>
      </c>
      <c r="AI32" s="42" t="str">
        <f aca="false">IF($B32="","",IF(AI$5&lt;=Projects!$C$2,IF(OR(IF($D32="",FALSE(),AND(AI$5&gt;=DATE(YEAR($D32),MONTH($D32),1),AI$5&lt;=$E32)),N('WIP Log'!AG32)&lt;&gt;0),N('WIP Log'!AG32),""),IF(IF($D32="",FALSE(),AND(AI$5&gt;=DATE(YEAR($D32),MONTH($D32),1),AI$5&lt;=$E32)),'Phased Budget'!AK32,"")))</f>
        <v/>
      </c>
      <c r="AJ32" s="42" t="str">
        <f aca="false">IF($B32="","",IF(AJ$5&lt;=Projects!$C$2,IF(OR(IF($D32="",FALSE(),AND(AJ$5&gt;=DATE(YEAR($D32),MONTH($D32),1),AJ$5&lt;=$E32)),N('WIP Log'!AH32)&lt;&gt;0),N('WIP Log'!AH32),""),IF(IF($D32="",FALSE(),AND(AJ$5&gt;=DATE(YEAR($D32),MONTH($D32),1),AJ$5&lt;=$E32)),'Phased Budget'!AL32,"")))</f>
        <v/>
      </c>
      <c r="AK32" s="42" t="str">
        <f aca="false">IF($B32="","",IF(AK$5&lt;=Projects!$C$2,IF(OR(IF($D32="",FALSE(),AND(AK$5&gt;=DATE(YEAR($D32),MONTH($D32),1),AK$5&lt;=$E32)),N('WIP Log'!AI32)&lt;&gt;0),N('WIP Log'!AI32),""),IF(IF($D32="",FALSE(),AND(AK$5&gt;=DATE(YEAR($D32),MONTH($D32),1),AK$5&lt;=$E32)),'Phased Budget'!AM32,"")))</f>
        <v/>
      </c>
      <c r="AL32" s="42" t="str">
        <f aca="false">IF($B32="","",IF(AL$5&lt;=Projects!$C$2,IF(OR(IF($D32="",FALSE(),AND(AL$5&gt;=DATE(YEAR($D32),MONTH($D32),1),AL$5&lt;=$E32)),N('WIP Log'!AJ32)&lt;&gt;0),N('WIP Log'!AJ32),""),IF(IF($D32="",FALSE(),AND(AL$5&gt;=DATE(YEAR($D32),MONTH($D32),1),AL$5&lt;=$E32)),'Phased Budget'!AN32,"")))</f>
        <v/>
      </c>
      <c r="AM32" s="42" t="str">
        <f aca="false">IF($B32="","",IF(AM$5&lt;=Projects!$C$2,IF(OR(IF($D32="",FALSE(),AND(AM$5&gt;=DATE(YEAR($D32),MONTH($D32),1),AM$5&lt;=$E32)),N('WIP Log'!AK32)&lt;&gt;0),N('WIP Log'!AK32),""),IF(IF($D32="",FALSE(),AND(AM$5&gt;=DATE(YEAR($D32),MONTH($D32),1),AM$5&lt;=$E32)),'Phased Budget'!AO32,"")))</f>
        <v/>
      </c>
      <c r="AN32" s="42" t="str">
        <f aca="false">IF($B32="","",IF(AN$5&lt;=Projects!$C$2,IF(OR(IF($D32="",FALSE(),AND(AN$5&gt;=DATE(YEAR($D32),MONTH($D32),1),AN$5&lt;=$E32)),N('WIP Log'!AL32)&lt;&gt;0),N('WIP Log'!AL32),""),IF(IF($D32="",FALSE(),AND(AN$5&gt;=DATE(YEAR($D32),MONTH($D32),1),AN$5&lt;=$E32)),'Phased Budget'!AP32,"")))</f>
        <v/>
      </c>
      <c r="AO32" s="42" t="str">
        <f aca="false">IF($B32="","",IF(AO$5&lt;=Projects!$C$2,IF(OR(IF($D32="",FALSE(),AND(AO$5&gt;=DATE(YEAR($D32),MONTH($D32),1),AO$5&lt;=$E32)),N('WIP Log'!AM32)&lt;&gt;0),N('WIP Log'!AM32),""),IF(IF($D32="",FALSE(),AND(AO$5&gt;=DATE(YEAR($D32),MONTH($D32),1),AO$5&lt;=$E32)),'Phased Budget'!AQ32,"")))</f>
        <v/>
      </c>
    </row>
    <row r="33" customFormat="false" ht="15" hidden="false" customHeight="false" outlineLevel="0" collapsed="false">
      <c r="A33" s="20" t="n">
        <v>28</v>
      </c>
      <c r="B33" s="40" t="str">
        <f aca="false">IF(Projects!B33="","",Projects!B33)</f>
        <v/>
      </c>
      <c r="C33" s="40" t="str">
        <f aca="false">IF(Projects!C33="","",Projects!C33)</f>
        <v/>
      </c>
      <c r="D33" s="41" t="str">
        <f aca="false">IF(Projects!D33="","",Projects!D33)</f>
        <v/>
      </c>
      <c r="E33" s="41" t="str">
        <f aca="false">IF(Projects!F33="","",Projects!F33)</f>
        <v/>
      </c>
      <c r="F33" s="42" t="str">
        <f aca="false">IF($B33="","",IF(F$5&lt;=Projects!$C$2,IF(OR(IF($D33="",FALSE(),AND(F$5&gt;=DATE(YEAR($D33),MONTH($D33),1),F$5&lt;=$E33)),N('WIP Log'!D33)&lt;&gt;0),N('WIP Log'!D33),""),IF(IF($D33="",FALSE(),AND(F$5&gt;=DATE(YEAR($D33),MONTH($D33),1),F$5&lt;=$E33)),'Phased Budget'!H33,"")))</f>
        <v/>
      </c>
      <c r="G33" s="42" t="str">
        <f aca="false">IF($B33="","",IF(G$5&lt;=Projects!$C$2,IF(OR(IF($D33="",FALSE(),AND(G$5&gt;=DATE(YEAR($D33),MONTH($D33),1),G$5&lt;=$E33)),N('WIP Log'!E33)&lt;&gt;0),N('WIP Log'!E33),""),IF(IF($D33="",FALSE(),AND(G$5&gt;=DATE(YEAR($D33),MONTH($D33),1),G$5&lt;=$E33)),'Phased Budget'!I33,"")))</f>
        <v/>
      </c>
      <c r="H33" s="42" t="str">
        <f aca="false">IF($B33="","",IF(H$5&lt;=Projects!$C$2,IF(OR(IF($D33="",FALSE(),AND(H$5&gt;=DATE(YEAR($D33),MONTH($D33),1),H$5&lt;=$E33)),N('WIP Log'!F33)&lt;&gt;0),N('WIP Log'!F33),""),IF(IF($D33="",FALSE(),AND(H$5&gt;=DATE(YEAR($D33),MONTH($D33),1),H$5&lt;=$E33)),'Phased Budget'!J33,"")))</f>
        <v/>
      </c>
      <c r="I33" s="42" t="str">
        <f aca="false">IF($B33="","",IF(I$5&lt;=Projects!$C$2,IF(OR(IF($D33="",FALSE(),AND(I$5&gt;=DATE(YEAR($D33),MONTH($D33),1),I$5&lt;=$E33)),N('WIP Log'!G33)&lt;&gt;0),N('WIP Log'!G33),""),IF(IF($D33="",FALSE(),AND(I$5&gt;=DATE(YEAR($D33),MONTH($D33),1),I$5&lt;=$E33)),'Phased Budget'!K33,"")))</f>
        <v/>
      </c>
      <c r="J33" s="42" t="str">
        <f aca="false">IF($B33="","",IF(J$5&lt;=Projects!$C$2,IF(OR(IF($D33="",FALSE(),AND(J$5&gt;=DATE(YEAR($D33),MONTH($D33),1),J$5&lt;=$E33)),N('WIP Log'!H33)&lt;&gt;0),N('WIP Log'!H33),""),IF(IF($D33="",FALSE(),AND(J$5&gt;=DATE(YEAR($D33),MONTH($D33),1),J$5&lt;=$E33)),'Phased Budget'!L33,"")))</f>
        <v/>
      </c>
      <c r="K33" s="42" t="str">
        <f aca="false">IF($B33="","",IF(K$5&lt;=Projects!$C$2,IF(OR(IF($D33="",FALSE(),AND(K$5&gt;=DATE(YEAR($D33),MONTH($D33),1),K$5&lt;=$E33)),N('WIP Log'!I33)&lt;&gt;0),N('WIP Log'!I33),""),IF(IF($D33="",FALSE(),AND(K$5&gt;=DATE(YEAR($D33),MONTH($D33),1),K$5&lt;=$E33)),'Phased Budget'!M33,"")))</f>
        <v/>
      </c>
      <c r="L33" s="42" t="str">
        <f aca="false">IF($B33="","",IF(L$5&lt;=Projects!$C$2,IF(OR(IF($D33="",FALSE(),AND(L$5&gt;=DATE(YEAR($D33),MONTH($D33),1),L$5&lt;=$E33)),N('WIP Log'!J33)&lt;&gt;0),N('WIP Log'!J33),""),IF(IF($D33="",FALSE(),AND(L$5&gt;=DATE(YEAR($D33),MONTH($D33),1),L$5&lt;=$E33)),'Phased Budget'!N33,"")))</f>
        <v/>
      </c>
      <c r="M33" s="42" t="str">
        <f aca="false">IF($B33="","",IF(M$5&lt;=Projects!$C$2,IF(OR(IF($D33="",FALSE(),AND(M$5&gt;=DATE(YEAR($D33),MONTH($D33),1),M$5&lt;=$E33)),N('WIP Log'!K33)&lt;&gt;0),N('WIP Log'!K33),""),IF(IF($D33="",FALSE(),AND(M$5&gt;=DATE(YEAR($D33),MONTH($D33),1),M$5&lt;=$E33)),'Phased Budget'!O33,"")))</f>
        <v/>
      </c>
      <c r="N33" s="42" t="str">
        <f aca="false">IF($B33="","",IF(N$5&lt;=Projects!$C$2,IF(OR(IF($D33="",FALSE(),AND(N$5&gt;=DATE(YEAR($D33),MONTH($D33),1),N$5&lt;=$E33)),N('WIP Log'!L33)&lt;&gt;0),N('WIP Log'!L33),""),IF(IF($D33="",FALSE(),AND(N$5&gt;=DATE(YEAR($D33),MONTH($D33),1),N$5&lt;=$E33)),'Phased Budget'!P33,"")))</f>
        <v/>
      </c>
      <c r="O33" s="42" t="str">
        <f aca="false">IF($B33="","",IF(O$5&lt;=Projects!$C$2,IF(OR(IF($D33="",FALSE(),AND(O$5&gt;=DATE(YEAR($D33),MONTH($D33),1),O$5&lt;=$E33)),N('WIP Log'!M33)&lt;&gt;0),N('WIP Log'!M33),""),IF(IF($D33="",FALSE(),AND(O$5&gt;=DATE(YEAR($D33),MONTH($D33),1),O$5&lt;=$E33)),'Phased Budget'!Q33,"")))</f>
        <v/>
      </c>
      <c r="P33" s="42" t="str">
        <f aca="false">IF($B33="","",IF(P$5&lt;=Projects!$C$2,IF(OR(IF($D33="",FALSE(),AND(P$5&gt;=DATE(YEAR($D33),MONTH($D33),1),P$5&lt;=$E33)),N('WIP Log'!N33)&lt;&gt;0),N('WIP Log'!N33),""),IF(IF($D33="",FALSE(),AND(P$5&gt;=DATE(YEAR($D33),MONTH($D33),1),P$5&lt;=$E33)),'Phased Budget'!R33,"")))</f>
        <v/>
      </c>
      <c r="Q33" s="42" t="str">
        <f aca="false">IF($B33="","",IF(Q$5&lt;=Projects!$C$2,IF(OR(IF($D33="",FALSE(),AND(Q$5&gt;=DATE(YEAR($D33),MONTH($D33),1),Q$5&lt;=$E33)),N('WIP Log'!O33)&lt;&gt;0),N('WIP Log'!O33),""),IF(IF($D33="",FALSE(),AND(Q$5&gt;=DATE(YEAR($D33),MONTH($D33),1),Q$5&lt;=$E33)),'Phased Budget'!S33,"")))</f>
        <v/>
      </c>
      <c r="R33" s="42" t="str">
        <f aca="false">IF($B33="","",IF(R$5&lt;=Projects!$C$2,IF(OR(IF($D33="",FALSE(),AND(R$5&gt;=DATE(YEAR($D33),MONTH($D33),1),R$5&lt;=$E33)),N('WIP Log'!P33)&lt;&gt;0),N('WIP Log'!P33),""),IF(IF($D33="",FALSE(),AND(R$5&gt;=DATE(YEAR($D33),MONTH($D33),1),R$5&lt;=$E33)),'Phased Budget'!T33,"")))</f>
        <v/>
      </c>
      <c r="S33" s="42" t="str">
        <f aca="false">IF($B33="","",IF(S$5&lt;=Projects!$C$2,IF(OR(IF($D33="",FALSE(),AND(S$5&gt;=DATE(YEAR($D33),MONTH($D33),1),S$5&lt;=$E33)),N('WIP Log'!Q33)&lt;&gt;0),N('WIP Log'!Q33),""),IF(IF($D33="",FALSE(),AND(S$5&gt;=DATE(YEAR($D33),MONTH($D33),1),S$5&lt;=$E33)),'Phased Budget'!U33,"")))</f>
        <v/>
      </c>
      <c r="T33" s="42" t="str">
        <f aca="false">IF($B33="","",IF(T$5&lt;=Projects!$C$2,IF(OR(IF($D33="",FALSE(),AND(T$5&gt;=DATE(YEAR($D33),MONTH($D33),1),T$5&lt;=$E33)),N('WIP Log'!R33)&lt;&gt;0),N('WIP Log'!R33),""),IF(IF($D33="",FALSE(),AND(T$5&gt;=DATE(YEAR($D33),MONTH($D33),1),T$5&lt;=$E33)),'Phased Budget'!V33,"")))</f>
        <v/>
      </c>
      <c r="U33" s="42" t="str">
        <f aca="false">IF($B33="","",IF(U$5&lt;=Projects!$C$2,IF(OR(IF($D33="",FALSE(),AND(U$5&gt;=DATE(YEAR($D33),MONTH($D33),1),U$5&lt;=$E33)),N('WIP Log'!S33)&lt;&gt;0),N('WIP Log'!S33),""),IF(IF($D33="",FALSE(),AND(U$5&gt;=DATE(YEAR($D33),MONTH($D33),1),U$5&lt;=$E33)),'Phased Budget'!W33,"")))</f>
        <v/>
      </c>
      <c r="V33" s="42" t="str">
        <f aca="false">IF($B33="","",IF(V$5&lt;=Projects!$C$2,IF(OR(IF($D33="",FALSE(),AND(V$5&gt;=DATE(YEAR($D33),MONTH($D33),1),V$5&lt;=$E33)),N('WIP Log'!T33)&lt;&gt;0),N('WIP Log'!T33),""),IF(IF($D33="",FALSE(),AND(V$5&gt;=DATE(YEAR($D33),MONTH($D33),1),V$5&lt;=$E33)),'Phased Budget'!X33,"")))</f>
        <v/>
      </c>
      <c r="W33" s="42" t="str">
        <f aca="false">IF($B33="","",IF(W$5&lt;=Projects!$C$2,IF(OR(IF($D33="",FALSE(),AND(W$5&gt;=DATE(YEAR($D33),MONTH($D33),1),W$5&lt;=$E33)),N('WIP Log'!U33)&lt;&gt;0),N('WIP Log'!U33),""),IF(IF($D33="",FALSE(),AND(W$5&gt;=DATE(YEAR($D33),MONTH($D33),1),W$5&lt;=$E33)),'Phased Budget'!Y33,"")))</f>
        <v/>
      </c>
      <c r="X33" s="42" t="str">
        <f aca="false">IF($B33="","",IF(X$5&lt;=Projects!$C$2,IF(OR(IF($D33="",FALSE(),AND(X$5&gt;=DATE(YEAR($D33),MONTH($D33),1),X$5&lt;=$E33)),N('WIP Log'!V33)&lt;&gt;0),N('WIP Log'!V33),""),IF(IF($D33="",FALSE(),AND(X$5&gt;=DATE(YEAR($D33),MONTH($D33),1),X$5&lt;=$E33)),'Phased Budget'!Z33,"")))</f>
        <v/>
      </c>
      <c r="Y33" s="42" t="str">
        <f aca="false">IF($B33="","",IF(Y$5&lt;=Projects!$C$2,IF(OR(IF($D33="",FALSE(),AND(Y$5&gt;=DATE(YEAR($D33),MONTH($D33),1),Y$5&lt;=$E33)),N('WIP Log'!W33)&lt;&gt;0),N('WIP Log'!W33),""),IF(IF($D33="",FALSE(),AND(Y$5&gt;=DATE(YEAR($D33),MONTH($D33),1),Y$5&lt;=$E33)),'Phased Budget'!AA33,"")))</f>
        <v/>
      </c>
      <c r="Z33" s="42" t="str">
        <f aca="false">IF($B33="","",IF(Z$5&lt;=Projects!$C$2,IF(OR(IF($D33="",FALSE(),AND(Z$5&gt;=DATE(YEAR($D33),MONTH($D33),1),Z$5&lt;=$E33)),N('WIP Log'!X33)&lt;&gt;0),N('WIP Log'!X33),""),IF(IF($D33="",FALSE(),AND(Z$5&gt;=DATE(YEAR($D33),MONTH($D33),1),Z$5&lt;=$E33)),'Phased Budget'!AB33,"")))</f>
        <v/>
      </c>
      <c r="AA33" s="42" t="str">
        <f aca="false">IF($B33="","",IF(AA$5&lt;=Projects!$C$2,IF(OR(IF($D33="",FALSE(),AND(AA$5&gt;=DATE(YEAR($D33),MONTH($D33),1),AA$5&lt;=$E33)),N('WIP Log'!Y33)&lt;&gt;0),N('WIP Log'!Y33),""),IF(IF($D33="",FALSE(),AND(AA$5&gt;=DATE(YEAR($D33),MONTH($D33),1),AA$5&lt;=$E33)),'Phased Budget'!AC33,"")))</f>
        <v/>
      </c>
      <c r="AB33" s="42" t="str">
        <f aca="false">IF($B33="","",IF(AB$5&lt;=Projects!$C$2,IF(OR(IF($D33="",FALSE(),AND(AB$5&gt;=DATE(YEAR($D33),MONTH($D33),1),AB$5&lt;=$E33)),N('WIP Log'!Z33)&lt;&gt;0),N('WIP Log'!Z33),""),IF(IF($D33="",FALSE(),AND(AB$5&gt;=DATE(YEAR($D33),MONTH($D33),1),AB$5&lt;=$E33)),'Phased Budget'!AD33,"")))</f>
        <v/>
      </c>
      <c r="AC33" s="42" t="str">
        <f aca="false">IF($B33="","",IF(AC$5&lt;=Projects!$C$2,IF(OR(IF($D33="",FALSE(),AND(AC$5&gt;=DATE(YEAR($D33),MONTH($D33),1),AC$5&lt;=$E33)),N('WIP Log'!AA33)&lt;&gt;0),N('WIP Log'!AA33),""),IF(IF($D33="",FALSE(),AND(AC$5&gt;=DATE(YEAR($D33),MONTH($D33),1),AC$5&lt;=$E33)),'Phased Budget'!AE33,"")))</f>
        <v/>
      </c>
      <c r="AD33" s="42" t="str">
        <f aca="false">IF($B33="","",IF(AD$5&lt;=Projects!$C$2,IF(OR(IF($D33="",FALSE(),AND(AD$5&gt;=DATE(YEAR($D33),MONTH($D33),1),AD$5&lt;=$E33)),N('WIP Log'!AB33)&lt;&gt;0),N('WIP Log'!AB33),""),IF(IF($D33="",FALSE(),AND(AD$5&gt;=DATE(YEAR($D33),MONTH($D33),1),AD$5&lt;=$E33)),'Phased Budget'!AF33,"")))</f>
        <v/>
      </c>
      <c r="AE33" s="42" t="str">
        <f aca="false">IF($B33="","",IF(AE$5&lt;=Projects!$C$2,IF(OR(IF($D33="",FALSE(),AND(AE$5&gt;=DATE(YEAR($D33),MONTH($D33),1),AE$5&lt;=$E33)),N('WIP Log'!AC33)&lt;&gt;0),N('WIP Log'!AC33),""),IF(IF($D33="",FALSE(),AND(AE$5&gt;=DATE(YEAR($D33),MONTH($D33),1),AE$5&lt;=$E33)),'Phased Budget'!AG33,"")))</f>
        <v/>
      </c>
      <c r="AF33" s="42" t="str">
        <f aca="false">IF($B33="","",IF(AF$5&lt;=Projects!$C$2,IF(OR(IF($D33="",FALSE(),AND(AF$5&gt;=DATE(YEAR($D33),MONTH($D33),1),AF$5&lt;=$E33)),N('WIP Log'!AD33)&lt;&gt;0),N('WIP Log'!AD33),""),IF(IF($D33="",FALSE(),AND(AF$5&gt;=DATE(YEAR($D33),MONTH($D33),1),AF$5&lt;=$E33)),'Phased Budget'!AH33,"")))</f>
        <v/>
      </c>
      <c r="AG33" s="42" t="str">
        <f aca="false">IF($B33="","",IF(AG$5&lt;=Projects!$C$2,IF(OR(IF($D33="",FALSE(),AND(AG$5&gt;=DATE(YEAR($D33),MONTH($D33),1),AG$5&lt;=$E33)),N('WIP Log'!AE33)&lt;&gt;0),N('WIP Log'!AE33),""),IF(IF($D33="",FALSE(),AND(AG$5&gt;=DATE(YEAR($D33),MONTH($D33),1),AG$5&lt;=$E33)),'Phased Budget'!AI33,"")))</f>
        <v/>
      </c>
      <c r="AH33" s="42" t="str">
        <f aca="false">IF($B33="","",IF(AH$5&lt;=Projects!$C$2,IF(OR(IF($D33="",FALSE(),AND(AH$5&gt;=DATE(YEAR($D33),MONTH($D33),1),AH$5&lt;=$E33)),N('WIP Log'!AF33)&lt;&gt;0),N('WIP Log'!AF33),""),IF(IF($D33="",FALSE(),AND(AH$5&gt;=DATE(YEAR($D33),MONTH($D33),1),AH$5&lt;=$E33)),'Phased Budget'!AJ33,"")))</f>
        <v/>
      </c>
      <c r="AI33" s="42" t="str">
        <f aca="false">IF($B33="","",IF(AI$5&lt;=Projects!$C$2,IF(OR(IF($D33="",FALSE(),AND(AI$5&gt;=DATE(YEAR($D33),MONTH($D33),1),AI$5&lt;=$E33)),N('WIP Log'!AG33)&lt;&gt;0),N('WIP Log'!AG33),""),IF(IF($D33="",FALSE(),AND(AI$5&gt;=DATE(YEAR($D33),MONTH($D33),1),AI$5&lt;=$E33)),'Phased Budget'!AK33,"")))</f>
        <v/>
      </c>
      <c r="AJ33" s="42" t="str">
        <f aca="false">IF($B33="","",IF(AJ$5&lt;=Projects!$C$2,IF(OR(IF($D33="",FALSE(),AND(AJ$5&gt;=DATE(YEAR($D33),MONTH($D33),1),AJ$5&lt;=$E33)),N('WIP Log'!AH33)&lt;&gt;0),N('WIP Log'!AH33),""),IF(IF($D33="",FALSE(),AND(AJ$5&gt;=DATE(YEAR($D33),MONTH($D33),1),AJ$5&lt;=$E33)),'Phased Budget'!AL33,"")))</f>
        <v/>
      </c>
      <c r="AK33" s="42" t="str">
        <f aca="false">IF($B33="","",IF(AK$5&lt;=Projects!$C$2,IF(OR(IF($D33="",FALSE(),AND(AK$5&gt;=DATE(YEAR($D33),MONTH($D33),1),AK$5&lt;=$E33)),N('WIP Log'!AI33)&lt;&gt;0),N('WIP Log'!AI33),""),IF(IF($D33="",FALSE(),AND(AK$5&gt;=DATE(YEAR($D33),MONTH($D33),1),AK$5&lt;=$E33)),'Phased Budget'!AM33,"")))</f>
        <v/>
      </c>
      <c r="AL33" s="42" t="str">
        <f aca="false">IF($B33="","",IF(AL$5&lt;=Projects!$C$2,IF(OR(IF($D33="",FALSE(),AND(AL$5&gt;=DATE(YEAR($D33),MONTH($D33),1),AL$5&lt;=$E33)),N('WIP Log'!AJ33)&lt;&gt;0),N('WIP Log'!AJ33),""),IF(IF($D33="",FALSE(),AND(AL$5&gt;=DATE(YEAR($D33),MONTH($D33),1),AL$5&lt;=$E33)),'Phased Budget'!AN33,"")))</f>
        <v/>
      </c>
      <c r="AM33" s="42" t="str">
        <f aca="false">IF($B33="","",IF(AM$5&lt;=Projects!$C$2,IF(OR(IF($D33="",FALSE(),AND(AM$5&gt;=DATE(YEAR($D33),MONTH($D33),1),AM$5&lt;=$E33)),N('WIP Log'!AK33)&lt;&gt;0),N('WIP Log'!AK33),""),IF(IF($D33="",FALSE(),AND(AM$5&gt;=DATE(YEAR($D33),MONTH($D33),1),AM$5&lt;=$E33)),'Phased Budget'!AO33,"")))</f>
        <v/>
      </c>
      <c r="AN33" s="42" t="str">
        <f aca="false">IF($B33="","",IF(AN$5&lt;=Projects!$C$2,IF(OR(IF($D33="",FALSE(),AND(AN$5&gt;=DATE(YEAR($D33),MONTH($D33),1),AN$5&lt;=$E33)),N('WIP Log'!AL33)&lt;&gt;0),N('WIP Log'!AL33),""),IF(IF($D33="",FALSE(),AND(AN$5&gt;=DATE(YEAR($D33),MONTH($D33),1),AN$5&lt;=$E33)),'Phased Budget'!AP33,"")))</f>
        <v/>
      </c>
      <c r="AO33" s="42" t="str">
        <f aca="false">IF($B33="","",IF(AO$5&lt;=Projects!$C$2,IF(OR(IF($D33="",FALSE(),AND(AO$5&gt;=DATE(YEAR($D33),MONTH($D33),1),AO$5&lt;=$E33)),N('WIP Log'!AM33)&lt;&gt;0),N('WIP Log'!AM33),""),IF(IF($D33="",FALSE(),AND(AO$5&gt;=DATE(YEAR($D33),MONTH($D33),1),AO$5&lt;=$E33)),'Phased Budget'!AQ33,"")))</f>
        <v/>
      </c>
    </row>
    <row r="34" customFormat="false" ht="15" hidden="false" customHeight="false" outlineLevel="0" collapsed="false">
      <c r="A34" s="20" t="n">
        <v>29</v>
      </c>
      <c r="B34" s="40" t="str">
        <f aca="false">IF(Projects!B34="","",Projects!B34)</f>
        <v/>
      </c>
      <c r="C34" s="40" t="str">
        <f aca="false">IF(Projects!C34="","",Projects!C34)</f>
        <v/>
      </c>
      <c r="D34" s="41" t="str">
        <f aca="false">IF(Projects!D34="","",Projects!D34)</f>
        <v/>
      </c>
      <c r="E34" s="41" t="str">
        <f aca="false">IF(Projects!F34="","",Projects!F34)</f>
        <v/>
      </c>
      <c r="F34" s="42" t="str">
        <f aca="false">IF($B34="","",IF(F$5&lt;=Projects!$C$2,IF(OR(IF($D34="",FALSE(),AND(F$5&gt;=DATE(YEAR($D34),MONTH($D34),1),F$5&lt;=$E34)),N('WIP Log'!D34)&lt;&gt;0),N('WIP Log'!D34),""),IF(IF($D34="",FALSE(),AND(F$5&gt;=DATE(YEAR($D34),MONTH($D34),1),F$5&lt;=$E34)),'Phased Budget'!H34,"")))</f>
        <v/>
      </c>
      <c r="G34" s="42" t="str">
        <f aca="false">IF($B34="","",IF(G$5&lt;=Projects!$C$2,IF(OR(IF($D34="",FALSE(),AND(G$5&gt;=DATE(YEAR($D34),MONTH($D34),1),G$5&lt;=$E34)),N('WIP Log'!E34)&lt;&gt;0),N('WIP Log'!E34),""),IF(IF($D34="",FALSE(),AND(G$5&gt;=DATE(YEAR($D34),MONTH($D34),1),G$5&lt;=$E34)),'Phased Budget'!I34,"")))</f>
        <v/>
      </c>
      <c r="H34" s="42" t="str">
        <f aca="false">IF($B34="","",IF(H$5&lt;=Projects!$C$2,IF(OR(IF($D34="",FALSE(),AND(H$5&gt;=DATE(YEAR($D34),MONTH($D34),1),H$5&lt;=$E34)),N('WIP Log'!F34)&lt;&gt;0),N('WIP Log'!F34),""),IF(IF($D34="",FALSE(),AND(H$5&gt;=DATE(YEAR($D34),MONTH($D34),1),H$5&lt;=$E34)),'Phased Budget'!J34,"")))</f>
        <v/>
      </c>
      <c r="I34" s="42" t="str">
        <f aca="false">IF($B34="","",IF(I$5&lt;=Projects!$C$2,IF(OR(IF($D34="",FALSE(),AND(I$5&gt;=DATE(YEAR($D34),MONTH($D34),1),I$5&lt;=$E34)),N('WIP Log'!G34)&lt;&gt;0),N('WIP Log'!G34),""),IF(IF($D34="",FALSE(),AND(I$5&gt;=DATE(YEAR($D34),MONTH($D34),1),I$5&lt;=$E34)),'Phased Budget'!K34,"")))</f>
        <v/>
      </c>
      <c r="J34" s="42" t="str">
        <f aca="false">IF($B34="","",IF(J$5&lt;=Projects!$C$2,IF(OR(IF($D34="",FALSE(),AND(J$5&gt;=DATE(YEAR($D34),MONTH($D34),1),J$5&lt;=$E34)),N('WIP Log'!H34)&lt;&gt;0),N('WIP Log'!H34),""),IF(IF($D34="",FALSE(),AND(J$5&gt;=DATE(YEAR($D34),MONTH($D34),1),J$5&lt;=$E34)),'Phased Budget'!L34,"")))</f>
        <v/>
      </c>
      <c r="K34" s="42" t="str">
        <f aca="false">IF($B34="","",IF(K$5&lt;=Projects!$C$2,IF(OR(IF($D34="",FALSE(),AND(K$5&gt;=DATE(YEAR($D34),MONTH($D34),1),K$5&lt;=$E34)),N('WIP Log'!I34)&lt;&gt;0),N('WIP Log'!I34),""),IF(IF($D34="",FALSE(),AND(K$5&gt;=DATE(YEAR($D34),MONTH($D34),1),K$5&lt;=$E34)),'Phased Budget'!M34,"")))</f>
        <v/>
      </c>
      <c r="L34" s="42" t="str">
        <f aca="false">IF($B34="","",IF(L$5&lt;=Projects!$C$2,IF(OR(IF($D34="",FALSE(),AND(L$5&gt;=DATE(YEAR($D34),MONTH($D34),1),L$5&lt;=$E34)),N('WIP Log'!J34)&lt;&gt;0),N('WIP Log'!J34),""),IF(IF($D34="",FALSE(),AND(L$5&gt;=DATE(YEAR($D34),MONTH($D34),1),L$5&lt;=$E34)),'Phased Budget'!N34,"")))</f>
        <v/>
      </c>
      <c r="M34" s="42" t="str">
        <f aca="false">IF($B34="","",IF(M$5&lt;=Projects!$C$2,IF(OR(IF($D34="",FALSE(),AND(M$5&gt;=DATE(YEAR($D34),MONTH($D34),1),M$5&lt;=$E34)),N('WIP Log'!K34)&lt;&gt;0),N('WIP Log'!K34),""),IF(IF($D34="",FALSE(),AND(M$5&gt;=DATE(YEAR($D34),MONTH($D34),1),M$5&lt;=$E34)),'Phased Budget'!O34,"")))</f>
        <v/>
      </c>
      <c r="N34" s="42" t="str">
        <f aca="false">IF($B34="","",IF(N$5&lt;=Projects!$C$2,IF(OR(IF($D34="",FALSE(),AND(N$5&gt;=DATE(YEAR($D34),MONTH($D34),1),N$5&lt;=$E34)),N('WIP Log'!L34)&lt;&gt;0),N('WIP Log'!L34),""),IF(IF($D34="",FALSE(),AND(N$5&gt;=DATE(YEAR($D34),MONTH($D34),1),N$5&lt;=$E34)),'Phased Budget'!P34,"")))</f>
        <v/>
      </c>
      <c r="O34" s="42" t="str">
        <f aca="false">IF($B34="","",IF(O$5&lt;=Projects!$C$2,IF(OR(IF($D34="",FALSE(),AND(O$5&gt;=DATE(YEAR($D34),MONTH($D34),1),O$5&lt;=$E34)),N('WIP Log'!M34)&lt;&gt;0),N('WIP Log'!M34),""),IF(IF($D34="",FALSE(),AND(O$5&gt;=DATE(YEAR($D34),MONTH($D34),1),O$5&lt;=$E34)),'Phased Budget'!Q34,"")))</f>
        <v/>
      </c>
      <c r="P34" s="42" t="str">
        <f aca="false">IF($B34="","",IF(P$5&lt;=Projects!$C$2,IF(OR(IF($D34="",FALSE(),AND(P$5&gt;=DATE(YEAR($D34),MONTH($D34),1),P$5&lt;=$E34)),N('WIP Log'!N34)&lt;&gt;0),N('WIP Log'!N34),""),IF(IF($D34="",FALSE(),AND(P$5&gt;=DATE(YEAR($D34),MONTH($D34),1),P$5&lt;=$E34)),'Phased Budget'!R34,"")))</f>
        <v/>
      </c>
      <c r="Q34" s="42" t="str">
        <f aca="false">IF($B34="","",IF(Q$5&lt;=Projects!$C$2,IF(OR(IF($D34="",FALSE(),AND(Q$5&gt;=DATE(YEAR($D34),MONTH($D34),1),Q$5&lt;=$E34)),N('WIP Log'!O34)&lt;&gt;0),N('WIP Log'!O34),""),IF(IF($D34="",FALSE(),AND(Q$5&gt;=DATE(YEAR($D34),MONTH($D34),1),Q$5&lt;=$E34)),'Phased Budget'!S34,"")))</f>
        <v/>
      </c>
      <c r="R34" s="42" t="str">
        <f aca="false">IF($B34="","",IF(R$5&lt;=Projects!$C$2,IF(OR(IF($D34="",FALSE(),AND(R$5&gt;=DATE(YEAR($D34),MONTH($D34),1),R$5&lt;=$E34)),N('WIP Log'!P34)&lt;&gt;0),N('WIP Log'!P34),""),IF(IF($D34="",FALSE(),AND(R$5&gt;=DATE(YEAR($D34),MONTH($D34),1),R$5&lt;=$E34)),'Phased Budget'!T34,"")))</f>
        <v/>
      </c>
      <c r="S34" s="42" t="str">
        <f aca="false">IF($B34="","",IF(S$5&lt;=Projects!$C$2,IF(OR(IF($D34="",FALSE(),AND(S$5&gt;=DATE(YEAR($D34),MONTH($D34),1),S$5&lt;=$E34)),N('WIP Log'!Q34)&lt;&gt;0),N('WIP Log'!Q34),""),IF(IF($D34="",FALSE(),AND(S$5&gt;=DATE(YEAR($D34),MONTH($D34),1),S$5&lt;=$E34)),'Phased Budget'!U34,"")))</f>
        <v/>
      </c>
      <c r="T34" s="42" t="str">
        <f aca="false">IF($B34="","",IF(T$5&lt;=Projects!$C$2,IF(OR(IF($D34="",FALSE(),AND(T$5&gt;=DATE(YEAR($D34),MONTH($D34),1),T$5&lt;=$E34)),N('WIP Log'!R34)&lt;&gt;0),N('WIP Log'!R34),""),IF(IF($D34="",FALSE(),AND(T$5&gt;=DATE(YEAR($D34),MONTH($D34),1),T$5&lt;=$E34)),'Phased Budget'!V34,"")))</f>
        <v/>
      </c>
      <c r="U34" s="42" t="str">
        <f aca="false">IF($B34="","",IF(U$5&lt;=Projects!$C$2,IF(OR(IF($D34="",FALSE(),AND(U$5&gt;=DATE(YEAR($D34),MONTH($D34),1),U$5&lt;=$E34)),N('WIP Log'!S34)&lt;&gt;0),N('WIP Log'!S34),""),IF(IF($D34="",FALSE(),AND(U$5&gt;=DATE(YEAR($D34),MONTH($D34),1),U$5&lt;=$E34)),'Phased Budget'!W34,"")))</f>
        <v/>
      </c>
      <c r="V34" s="42" t="str">
        <f aca="false">IF($B34="","",IF(V$5&lt;=Projects!$C$2,IF(OR(IF($D34="",FALSE(),AND(V$5&gt;=DATE(YEAR($D34),MONTH($D34),1),V$5&lt;=$E34)),N('WIP Log'!T34)&lt;&gt;0),N('WIP Log'!T34),""),IF(IF($D34="",FALSE(),AND(V$5&gt;=DATE(YEAR($D34),MONTH($D34),1),V$5&lt;=$E34)),'Phased Budget'!X34,"")))</f>
        <v/>
      </c>
      <c r="W34" s="42" t="str">
        <f aca="false">IF($B34="","",IF(W$5&lt;=Projects!$C$2,IF(OR(IF($D34="",FALSE(),AND(W$5&gt;=DATE(YEAR($D34),MONTH($D34),1),W$5&lt;=$E34)),N('WIP Log'!U34)&lt;&gt;0),N('WIP Log'!U34),""),IF(IF($D34="",FALSE(),AND(W$5&gt;=DATE(YEAR($D34),MONTH($D34),1),W$5&lt;=$E34)),'Phased Budget'!Y34,"")))</f>
        <v/>
      </c>
      <c r="X34" s="42" t="str">
        <f aca="false">IF($B34="","",IF(X$5&lt;=Projects!$C$2,IF(OR(IF($D34="",FALSE(),AND(X$5&gt;=DATE(YEAR($D34),MONTH($D34),1),X$5&lt;=$E34)),N('WIP Log'!V34)&lt;&gt;0),N('WIP Log'!V34),""),IF(IF($D34="",FALSE(),AND(X$5&gt;=DATE(YEAR($D34),MONTH($D34),1),X$5&lt;=$E34)),'Phased Budget'!Z34,"")))</f>
        <v/>
      </c>
      <c r="Y34" s="42" t="str">
        <f aca="false">IF($B34="","",IF(Y$5&lt;=Projects!$C$2,IF(OR(IF($D34="",FALSE(),AND(Y$5&gt;=DATE(YEAR($D34),MONTH($D34),1),Y$5&lt;=$E34)),N('WIP Log'!W34)&lt;&gt;0),N('WIP Log'!W34),""),IF(IF($D34="",FALSE(),AND(Y$5&gt;=DATE(YEAR($D34),MONTH($D34),1),Y$5&lt;=$E34)),'Phased Budget'!AA34,"")))</f>
        <v/>
      </c>
      <c r="Z34" s="42" t="str">
        <f aca="false">IF($B34="","",IF(Z$5&lt;=Projects!$C$2,IF(OR(IF($D34="",FALSE(),AND(Z$5&gt;=DATE(YEAR($D34),MONTH($D34),1),Z$5&lt;=$E34)),N('WIP Log'!X34)&lt;&gt;0),N('WIP Log'!X34),""),IF(IF($D34="",FALSE(),AND(Z$5&gt;=DATE(YEAR($D34),MONTH($D34),1),Z$5&lt;=$E34)),'Phased Budget'!AB34,"")))</f>
        <v/>
      </c>
      <c r="AA34" s="42" t="str">
        <f aca="false">IF($B34="","",IF(AA$5&lt;=Projects!$C$2,IF(OR(IF($D34="",FALSE(),AND(AA$5&gt;=DATE(YEAR($D34),MONTH($D34),1),AA$5&lt;=$E34)),N('WIP Log'!Y34)&lt;&gt;0),N('WIP Log'!Y34),""),IF(IF($D34="",FALSE(),AND(AA$5&gt;=DATE(YEAR($D34),MONTH($D34),1),AA$5&lt;=$E34)),'Phased Budget'!AC34,"")))</f>
        <v/>
      </c>
      <c r="AB34" s="42" t="str">
        <f aca="false">IF($B34="","",IF(AB$5&lt;=Projects!$C$2,IF(OR(IF($D34="",FALSE(),AND(AB$5&gt;=DATE(YEAR($D34),MONTH($D34),1),AB$5&lt;=$E34)),N('WIP Log'!Z34)&lt;&gt;0),N('WIP Log'!Z34),""),IF(IF($D34="",FALSE(),AND(AB$5&gt;=DATE(YEAR($D34),MONTH($D34),1),AB$5&lt;=$E34)),'Phased Budget'!AD34,"")))</f>
        <v/>
      </c>
      <c r="AC34" s="42" t="str">
        <f aca="false">IF($B34="","",IF(AC$5&lt;=Projects!$C$2,IF(OR(IF($D34="",FALSE(),AND(AC$5&gt;=DATE(YEAR($D34),MONTH($D34),1),AC$5&lt;=$E34)),N('WIP Log'!AA34)&lt;&gt;0),N('WIP Log'!AA34),""),IF(IF($D34="",FALSE(),AND(AC$5&gt;=DATE(YEAR($D34),MONTH($D34),1),AC$5&lt;=$E34)),'Phased Budget'!AE34,"")))</f>
        <v/>
      </c>
      <c r="AD34" s="42" t="str">
        <f aca="false">IF($B34="","",IF(AD$5&lt;=Projects!$C$2,IF(OR(IF($D34="",FALSE(),AND(AD$5&gt;=DATE(YEAR($D34),MONTH($D34),1),AD$5&lt;=$E34)),N('WIP Log'!AB34)&lt;&gt;0),N('WIP Log'!AB34),""),IF(IF($D34="",FALSE(),AND(AD$5&gt;=DATE(YEAR($D34),MONTH($D34),1),AD$5&lt;=$E34)),'Phased Budget'!AF34,"")))</f>
        <v/>
      </c>
      <c r="AE34" s="42" t="str">
        <f aca="false">IF($B34="","",IF(AE$5&lt;=Projects!$C$2,IF(OR(IF($D34="",FALSE(),AND(AE$5&gt;=DATE(YEAR($D34),MONTH($D34),1),AE$5&lt;=$E34)),N('WIP Log'!AC34)&lt;&gt;0),N('WIP Log'!AC34),""),IF(IF($D34="",FALSE(),AND(AE$5&gt;=DATE(YEAR($D34),MONTH($D34),1),AE$5&lt;=$E34)),'Phased Budget'!AG34,"")))</f>
        <v/>
      </c>
      <c r="AF34" s="42" t="str">
        <f aca="false">IF($B34="","",IF(AF$5&lt;=Projects!$C$2,IF(OR(IF($D34="",FALSE(),AND(AF$5&gt;=DATE(YEAR($D34),MONTH($D34),1),AF$5&lt;=$E34)),N('WIP Log'!AD34)&lt;&gt;0),N('WIP Log'!AD34),""),IF(IF($D34="",FALSE(),AND(AF$5&gt;=DATE(YEAR($D34),MONTH($D34),1),AF$5&lt;=$E34)),'Phased Budget'!AH34,"")))</f>
        <v/>
      </c>
      <c r="AG34" s="42" t="str">
        <f aca="false">IF($B34="","",IF(AG$5&lt;=Projects!$C$2,IF(OR(IF($D34="",FALSE(),AND(AG$5&gt;=DATE(YEAR($D34),MONTH($D34),1),AG$5&lt;=$E34)),N('WIP Log'!AE34)&lt;&gt;0),N('WIP Log'!AE34),""),IF(IF($D34="",FALSE(),AND(AG$5&gt;=DATE(YEAR($D34),MONTH($D34),1),AG$5&lt;=$E34)),'Phased Budget'!AI34,"")))</f>
        <v/>
      </c>
      <c r="AH34" s="42" t="str">
        <f aca="false">IF($B34="","",IF(AH$5&lt;=Projects!$C$2,IF(OR(IF($D34="",FALSE(),AND(AH$5&gt;=DATE(YEAR($D34),MONTH($D34),1),AH$5&lt;=$E34)),N('WIP Log'!AF34)&lt;&gt;0),N('WIP Log'!AF34),""),IF(IF($D34="",FALSE(),AND(AH$5&gt;=DATE(YEAR($D34),MONTH($D34),1),AH$5&lt;=$E34)),'Phased Budget'!AJ34,"")))</f>
        <v/>
      </c>
      <c r="AI34" s="42" t="str">
        <f aca="false">IF($B34="","",IF(AI$5&lt;=Projects!$C$2,IF(OR(IF($D34="",FALSE(),AND(AI$5&gt;=DATE(YEAR($D34),MONTH($D34),1),AI$5&lt;=$E34)),N('WIP Log'!AG34)&lt;&gt;0),N('WIP Log'!AG34),""),IF(IF($D34="",FALSE(),AND(AI$5&gt;=DATE(YEAR($D34),MONTH($D34),1),AI$5&lt;=$E34)),'Phased Budget'!AK34,"")))</f>
        <v/>
      </c>
      <c r="AJ34" s="42" t="str">
        <f aca="false">IF($B34="","",IF(AJ$5&lt;=Projects!$C$2,IF(OR(IF($D34="",FALSE(),AND(AJ$5&gt;=DATE(YEAR($D34),MONTH($D34),1),AJ$5&lt;=$E34)),N('WIP Log'!AH34)&lt;&gt;0),N('WIP Log'!AH34),""),IF(IF($D34="",FALSE(),AND(AJ$5&gt;=DATE(YEAR($D34),MONTH($D34),1),AJ$5&lt;=$E34)),'Phased Budget'!AL34,"")))</f>
        <v/>
      </c>
      <c r="AK34" s="42" t="str">
        <f aca="false">IF($B34="","",IF(AK$5&lt;=Projects!$C$2,IF(OR(IF($D34="",FALSE(),AND(AK$5&gt;=DATE(YEAR($D34),MONTH($D34),1),AK$5&lt;=$E34)),N('WIP Log'!AI34)&lt;&gt;0),N('WIP Log'!AI34),""),IF(IF($D34="",FALSE(),AND(AK$5&gt;=DATE(YEAR($D34),MONTH($D34),1),AK$5&lt;=$E34)),'Phased Budget'!AM34,"")))</f>
        <v/>
      </c>
      <c r="AL34" s="42" t="str">
        <f aca="false">IF($B34="","",IF(AL$5&lt;=Projects!$C$2,IF(OR(IF($D34="",FALSE(),AND(AL$5&gt;=DATE(YEAR($D34),MONTH($D34),1),AL$5&lt;=$E34)),N('WIP Log'!AJ34)&lt;&gt;0),N('WIP Log'!AJ34),""),IF(IF($D34="",FALSE(),AND(AL$5&gt;=DATE(YEAR($D34),MONTH($D34),1),AL$5&lt;=$E34)),'Phased Budget'!AN34,"")))</f>
        <v/>
      </c>
      <c r="AM34" s="42" t="str">
        <f aca="false">IF($B34="","",IF(AM$5&lt;=Projects!$C$2,IF(OR(IF($D34="",FALSE(),AND(AM$5&gt;=DATE(YEAR($D34),MONTH($D34),1),AM$5&lt;=$E34)),N('WIP Log'!AK34)&lt;&gt;0),N('WIP Log'!AK34),""),IF(IF($D34="",FALSE(),AND(AM$5&gt;=DATE(YEAR($D34),MONTH($D34),1),AM$5&lt;=$E34)),'Phased Budget'!AO34,"")))</f>
        <v/>
      </c>
      <c r="AN34" s="42" t="str">
        <f aca="false">IF($B34="","",IF(AN$5&lt;=Projects!$C$2,IF(OR(IF($D34="",FALSE(),AND(AN$5&gt;=DATE(YEAR($D34),MONTH($D34),1),AN$5&lt;=$E34)),N('WIP Log'!AL34)&lt;&gt;0),N('WIP Log'!AL34),""),IF(IF($D34="",FALSE(),AND(AN$5&gt;=DATE(YEAR($D34),MONTH($D34),1),AN$5&lt;=$E34)),'Phased Budget'!AP34,"")))</f>
        <v/>
      </c>
      <c r="AO34" s="42" t="str">
        <f aca="false">IF($B34="","",IF(AO$5&lt;=Projects!$C$2,IF(OR(IF($D34="",FALSE(),AND(AO$5&gt;=DATE(YEAR($D34),MONTH($D34),1),AO$5&lt;=$E34)),N('WIP Log'!AM34)&lt;&gt;0),N('WIP Log'!AM34),""),IF(IF($D34="",FALSE(),AND(AO$5&gt;=DATE(YEAR($D34),MONTH($D34),1),AO$5&lt;=$E34)),'Phased Budget'!AQ34,"")))</f>
        <v/>
      </c>
    </row>
    <row r="35" customFormat="false" ht="15" hidden="false" customHeight="false" outlineLevel="0" collapsed="false">
      <c r="A35" s="20" t="n">
        <v>30</v>
      </c>
      <c r="B35" s="40" t="str">
        <f aca="false">IF(Projects!B35="","",Projects!B35)</f>
        <v/>
      </c>
      <c r="C35" s="40" t="str">
        <f aca="false">IF(Projects!C35="","",Projects!C35)</f>
        <v/>
      </c>
      <c r="D35" s="41" t="str">
        <f aca="false">IF(Projects!D35="","",Projects!D35)</f>
        <v/>
      </c>
      <c r="E35" s="41" t="str">
        <f aca="false">IF(Projects!F35="","",Projects!F35)</f>
        <v/>
      </c>
      <c r="F35" s="42" t="str">
        <f aca="false">IF($B35="","",IF(F$5&lt;=Projects!$C$2,IF(OR(IF($D35="",FALSE(),AND(F$5&gt;=DATE(YEAR($D35),MONTH($D35),1),F$5&lt;=$E35)),N('WIP Log'!D35)&lt;&gt;0),N('WIP Log'!D35),""),IF(IF($D35="",FALSE(),AND(F$5&gt;=DATE(YEAR($D35),MONTH($D35),1),F$5&lt;=$E35)),'Phased Budget'!H35,"")))</f>
        <v/>
      </c>
      <c r="G35" s="42" t="str">
        <f aca="false">IF($B35="","",IF(G$5&lt;=Projects!$C$2,IF(OR(IF($D35="",FALSE(),AND(G$5&gt;=DATE(YEAR($D35),MONTH($D35),1),G$5&lt;=$E35)),N('WIP Log'!E35)&lt;&gt;0),N('WIP Log'!E35),""),IF(IF($D35="",FALSE(),AND(G$5&gt;=DATE(YEAR($D35),MONTH($D35),1),G$5&lt;=$E35)),'Phased Budget'!I35,"")))</f>
        <v/>
      </c>
      <c r="H35" s="42" t="str">
        <f aca="false">IF($B35="","",IF(H$5&lt;=Projects!$C$2,IF(OR(IF($D35="",FALSE(),AND(H$5&gt;=DATE(YEAR($D35),MONTH($D35),1),H$5&lt;=$E35)),N('WIP Log'!F35)&lt;&gt;0),N('WIP Log'!F35),""),IF(IF($D35="",FALSE(),AND(H$5&gt;=DATE(YEAR($D35),MONTH($D35),1),H$5&lt;=$E35)),'Phased Budget'!J35,"")))</f>
        <v/>
      </c>
      <c r="I35" s="42" t="str">
        <f aca="false">IF($B35="","",IF(I$5&lt;=Projects!$C$2,IF(OR(IF($D35="",FALSE(),AND(I$5&gt;=DATE(YEAR($D35),MONTH($D35),1),I$5&lt;=$E35)),N('WIP Log'!G35)&lt;&gt;0),N('WIP Log'!G35),""),IF(IF($D35="",FALSE(),AND(I$5&gt;=DATE(YEAR($D35),MONTH($D35),1),I$5&lt;=$E35)),'Phased Budget'!K35,"")))</f>
        <v/>
      </c>
      <c r="J35" s="42" t="str">
        <f aca="false">IF($B35="","",IF(J$5&lt;=Projects!$C$2,IF(OR(IF($D35="",FALSE(),AND(J$5&gt;=DATE(YEAR($D35),MONTH($D35),1),J$5&lt;=$E35)),N('WIP Log'!H35)&lt;&gt;0),N('WIP Log'!H35),""),IF(IF($D35="",FALSE(),AND(J$5&gt;=DATE(YEAR($D35),MONTH($D35),1),J$5&lt;=$E35)),'Phased Budget'!L35,"")))</f>
        <v/>
      </c>
      <c r="K35" s="42" t="str">
        <f aca="false">IF($B35="","",IF(K$5&lt;=Projects!$C$2,IF(OR(IF($D35="",FALSE(),AND(K$5&gt;=DATE(YEAR($D35),MONTH($D35),1),K$5&lt;=$E35)),N('WIP Log'!I35)&lt;&gt;0),N('WIP Log'!I35),""),IF(IF($D35="",FALSE(),AND(K$5&gt;=DATE(YEAR($D35),MONTH($D35),1),K$5&lt;=$E35)),'Phased Budget'!M35,"")))</f>
        <v/>
      </c>
      <c r="L35" s="42" t="str">
        <f aca="false">IF($B35="","",IF(L$5&lt;=Projects!$C$2,IF(OR(IF($D35="",FALSE(),AND(L$5&gt;=DATE(YEAR($D35),MONTH($D35),1),L$5&lt;=$E35)),N('WIP Log'!J35)&lt;&gt;0),N('WIP Log'!J35),""),IF(IF($D35="",FALSE(),AND(L$5&gt;=DATE(YEAR($D35),MONTH($D35),1),L$5&lt;=$E35)),'Phased Budget'!N35,"")))</f>
        <v/>
      </c>
      <c r="M35" s="42" t="str">
        <f aca="false">IF($B35="","",IF(M$5&lt;=Projects!$C$2,IF(OR(IF($D35="",FALSE(),AND(M$5&gt;=DATE(YEAR($D35),MONTH($D35),1),M$5&lt;=$E35)),N('WIP Log'!K35)&lt;&gt;0),N('WIP Log'!K35),""),IF(IF($D35="",FALSE(),AND(M$5&gt;=DATE(YEAR($D35),MONTH($D35),1),M$5&lt;=$E35)),'Phased Budget'!O35,"")))</f>
        <v/>
      </c>
      <c r="N35" s="42" t="str">
        <f aca="false">IF($B35="","",IF(N$5&lt;=Projects!$C$2,IF(OR(IF($D35="",FALSE(),AND(N$5&gt;=DATE(YEAR($D35),MONTH($D35),1),N$5&lt;=$E35)),N('WIP Log'!L35)&lt;&gt;0),N('WIP Log'!L35),""),IF(IF($D35="",FALSE(),AND(N$5&gt;=DATE(YEAR($D35),MONTH($D35),1),N$5&lt;=$E35)),'Phased Budget'!P35,"")))</f>
        <v/>
      </c>
      <c r="O35" s="42" t="str">
        <f aca="false">IF($B35="","",IF(O$5&lt;=Projects!$C$2,IF(OR(IF($D35="",FALSE(),AND(O$5&gt;=DATE(YEAR($D35),MONTH($D35),1),O$5&lt;=$E35)),N('WIP Log'!M35)&lt;&gt;0),N('WIP Log'!M35),""),IF(IF($D35="",FALSE(),AND(O$5&gt;=DATE(YEAR($D35),MONTH($D35),1),O$5&lt;=$E35)),'Phased Budget'!Q35,"")))</f>
        <v/>
      </c>
      <c r="P35" s="42" t="str">
        <f aca="false">IF($B35="","",IF(P$5&lt;=Projects!$C$2,IF(OR(IF($D35="",FALSE(),AND(P$5&gt;=DATE(YEAR($D35),MONTH($D35),1),P$5&lt;=$E35)),N('WIP Log'!N35)&lt;&gt;0),N('WIP Log'!N35),""),IF(IF($D35="",FALSE(),AND(P$5&gt;=DATE(YEAR($D35),MONTH($D35),1),P$5&lt;=$E35)),'Phased Budget'!R35,"")))</f>
        <v/>
      </c>
      <c r="Q35" s="42" t="str">
        <f aca="false">IF($B35="","",IF(Q$5&lt;=Projects!$C$2,IF(OR(IF($D35="",FALSE(),AND(Q$5&gt;=DATE(YEAR($D35),MONTH($D35),1),Q$5&lt;=$E35)),N('WIP Log'!O35)&lt;&gt;0),N('WIP Log'!O35),""),IF(IF($D35="",FALSE(),AND(Q$5&gt;=DATE(YEAR($D35),MONTH($D35),1),Q$5&lt;=$E35)),'Phased Budget'!S35,"")))</f>
        <v/>
      </c>
      <c r="R35" s="42" t="str">
        <f aca="false">IF($B35="","",IF(R$5&lt;=Projects!$C$2,IF(OR(IF($D35="",FALSE(),AND(R$5&gt;=DATE(YEAR($D35),MONTH($D35),1),R$5&lt;=$E35)),N('WIP Log'!P35)&lt;&gt;0),N('WIP Log'!P35),""),IF(IF($D35="",FALSE(),AND(R$5&gt;=DATE(YEAR($D35),MONTH($D35),1),R$5&lt;=$E35)),'Phased Budget'!T35,"")))</f>
        <v/>
      </c>
      <c r="S35" s="42" t="str">
        <f aca="false">IF($B35="","",IF(S$5&lt;=Projects!$C$2,IF(OR(IF($D35="",FALSE(),AND(S$5&gt;=DATE(YEAR($D35),MONTH($D35),1),S$5&lt;=$E35)),N('WIP Log'!Q35)&lt;&gt;0),N('WIP Log'!Q35),""),IF(IF($D35="",FALSE(),AND(S$5&gt;=DATE(YEAR($D35),MONTH($D35),1),S$5&lt;=$E35)),'Phased Budget'!U35,"")))</f>
        <v/>
      </c>
      <c r="T35" s="42" t="str">
        <f aca="false">IF($B35="","",IF(T$5&lt;=Projects!$C$2,IF(OR(IF($D35="",FALSE(),AND(T$5&gt;=DATE(YEAR($D35),MONTH($D35),1),T$5&lt;=$E35)),N('WIP Log'!R35)&lt;&gt;0),N('WIP Log'!R35),""),IF(IF($D35="",FALSE(),AND(T$5&gt;=DATE(YEAR($D35),MONTH($D35),1),T$5&lt;=$E35)),'Phased Budget'!V35,"")))</f>
        <v/>
      </c>
      <c r="U35" s="42" t="str">
        <f aca="false">IF($B35="","",IF(U$5&lt;=Projects!$C$2,IF(OR(IF($D35="",FALSE(),AND(U$5&gt;=DATE(YEAR($D35),MONTH($D35),1),U$5&lt;=$E35)),N('WIP Log'!S35)&lt;&gt;0),N('WIP Log'!S35),""),IF(IF($D35="",FALSE(),AND(U$5&gt;=DATE(YEAR($D35),MONTH($D35),1),U$5&lt;=$E35)),'Phased Budget'!W35,"")))</f>
        <v/>
      </c>
      <c r="V35" s="42" t="str">
        <f aca="false">IF($B35="","",IF(V$5&lt;=Projects!$C$2,IF(OR(IF($D35="",FALSE(),AND(V$5&gt;=DATE(YEAR($D35),MONTH($D35),1),V$5&lt;=$E35)),N('WIP Log'!T35)&lt;&gt;0),N('WIP Log'!T35),""),IF(IF($D35="",FALSE(),AND(V$5&gt;=DATE(YEAR($D35),MONTH($D35),1),V$5&lt;=$E35)),'Phased Budget'!X35,"")))</f>
        <v/>
      </c>
      <c r="W35" s="42" t="str">
        <f aca="false">IF($B35="","",IF(W$5&lt;=Projects!$C$2,IF(OR(IF($D35="",FALSE(),AND(W$5&gt;=DATE(YEAR($D35),MONTH($D35),1),W$5&lt;=$E35)),N('WIP Log'!U35)&lt;&gt;0),N('WIP Log'!U35),""),IF(IF($D35="",FALSE(),AND(W$5&gt;=DATE(YEAR($D35),MONTH($D35),1),W$5&lt;=$E35)),'Phased Budget'!Y35,"")))</f>
        <v/>
      </c>
      <c r="X35" s="42" t="str">
        <f aca="false">IF($B35="","",IF(X$5&lt;=Projects!$C$2,IF(OR(IF($D35="",FALSE(),AND(X$5&gt;=DATE(YEAR($D35),MONTH($D35),1),X$5&lt;=$E35)),N('WIP Log'!V35)&lt;&gt;0),N('WIP Log'!V35),""),IF(IF($D35="",FALSE(),AND(X$5&gt;=DATE(YEAR($D35),MONTH($D35),1),X$5&lt;=$E35)),'Phased Budget'!Z35,"")))</f>
        <v/>
      </c>
      <c r="Y35" s="42" t="str">
        <f aca="false">IF($B35="","",IF(Y$5&lt;=Projects!$C$2,IF(OR(IF($D35="",FALSE(),AND(Y$5&gt;=DATE(YEAR($D35),MONTH($D35),1),Y$5&lt;=$E35)),N('WIP Log'!W35)&lt;&gt;0),N('WIP Log'!W35),""),IF(IF($D35="",FALSE(),AND(Y$5&gt;=DATE(YEAR($D35),MONTH($D35),1),Y$5&lt;=$E35)),'Phased Budget'!AA35,"")))</f>
        <v/>
      </c>
      <c r="Z35" s="42" t="str">
        <f aca="false">IF($B35="","",IF(Z$5&lt;=Projects!$C$2,IF(OR(IF($D35="",FALSE(),AND(Z$5&gt;=DATE(YEAR($D35),MONTH($D35),1),Z$5&lt;=$E35)),N('WIP Log'!X35)&lt;&gt;0),N('WIP Log'!X35),""),IF(IF($D35="",FALSE(),AND(Z$5&gt;=DATE(YEAR($D35),MONTH($D35),1),Z$5&lt;=$E35)),'Phased Budget'!AB35,"")))</f>
        <v/>
      </c>
      <c r="AA35" s="42" t="str">
        <f aca="false">IF($B35="","",IF(AA$5&lt;=Projects!$C$2,IF(OR(IF($D35="",FALSE(),AND(AA$5&gt;=DATE(YEAR($D35),MONTH($D35),1),AA$5&lt;=$E35)),N('WIP Log'!Y35)&lt;&gt;0),N('WIP Log'!Y35),""),IF(IF($D35="",FALSE(),AND(AA$5&gt;=DATE(YEAR($D35),MONTH($D35),1),AA$5&lt;=$E35)),'Phased Budget'!AC35,"")))</f>
        <v/>
      </c>
      <c r="AB35" s="42" t="str">
        <f aca="false">IF($B35="","",IF(AB$5&lt;=Projects!$C$2,IF(OR(IF($D35="",FALSE(),AND(AB$5&gt;=DATE(YEAR($D35),MONTH($D35),1),AB$5&lt;=$E35)),N('WIP Log'!Z35)&lt;&gt;0),N('WIP Log'!Z35),""),IF(IF($D35="",FALSE(),AND(AB$5&gt;=DATE(YEAR($D35),MONTH($D35),1),AB$5&lt;=$E35)),'Phased Budget'!AD35,"")))</f>
        <v/>
      </c>
      <c r="AC35" s="42" t="str">
        <f aca="false">IF($B35="","",IF(AC$5&lt;=Projects!$C$2,IF(OR(IF($D35="",FALSE(),AND(AC$5&gt;=DATE(YEAR($D35),MONTH($D35),1),AC$5&lt;=$E35)),N('WIP Log'!AA35)&lt;&gt;0),N('WIP Log'!AA35),""),IF(IF($D35="",FALSE(),AND(AC$5&gt;=DATE(YEAR($D35),MONTH($D35),1),AC$5&lt;=$E35)),'Phased Budget'!AE35,"")))</f>
        <v/>
      </c>
      <c r="AD35" s="42" t="str">
        <f aca="false">IF($B35="","",IF(AD$5&lt;=Projects!$C$2,IF(OR(IF($D35="",FALSE(),AND(AD$5&gt;=DATE(YEAR($D35),MONTH($D35),1),AD$5&lt;=$E35)),N('WIP Log'!AB35)&lt;&gt;0),N('WIP Log'!AB35),""),IF(IF($D35="",FALSE(),AND(AD$5&gt;=DATE(YEAR($D35),MONTH($D35),1),AD$5&lt;=$E35)),'Phased Budget'!AF35,"")))</f>
        <v/>
      </c>
      <c r="AE35" s="42" t="str">
        <f aca="false">IF($B35="","",IF(AE$5&lt;=Projects!$C$2,IF(OR(IF($D35="",FALSE(),AND(AE$5&gt;=DATE(YEAR($D35),MONTH($D35),1),AE$5&lt;=$E35)),N('WIP Log'!AC35)&lt;&gt;0),N('WIP Log'!AC35),""),IF(IF($D35="",FALSE(),AND(AE$5&gt;=DATE(YEAR($D35),MONTH($D35),1),AE$5&lt;=$E35)),'Phased Budget'!AG35,"")))</f>
        <v/>
      </c>
      <c r="AF35" s="42" t="str">
        <f aca="false">IF($B35="","",IF(AF$5&lt;=Projects!$C$2,IF(OR(IF($D35="",FALSE(),AND(AF$5&gt;=DATE(YEAR($D35),MONTH($D35),1),AF$5&lt;=$E35)),N('WIP Log'!AD35)&lt;&gt;0),N('WIP Log'!AD35),""),IF(IF($D35="",FALSE(),AND(AF$5&gt;=DATE(YEAR($D35),MONTH($D35),1),AF$5&lt;=$E35)),'Phased Budget'!AH35,"")))</f>
        <v/>
      </c>
      <c r="AG35" s="42" t="str">
        <f aca="false">IF($B35="","",IF(AG$5&lt;=Projects!$C$2,IF(OR(IF($D35="",FALSE(),AND(AG$5&gt;=DATE(YEAR($D35),MONTH($D35),1),AG$5&lt;=$E35)),N('WIP Log'!AE35)&lt;&gt;0),N('WIP Log'!AE35),""),IF(IF($D35="",FALSE(),AND(AG$5&gt;=DATE(YEAR($D35),MONTH($D35),1),AG$5&lt;=$E35)),'Phased Budget'!AI35,"")))</f>
        <v/>
      </c>
      <c r="AH35" s="42" t="str">
        <f aca="false">IF($B35="","",IF(AH$5&lt;=Projects!$C$2,IF(OR(IF($D35="",FALSE(),AND(AH$5&gt;=DATE(YEAR($D35),MONTH($D35),1),AH$5&lt;=$E35)),N('WIP Log'!AF35)&lt;&gt;0),N('WIP Log'!AF35),""),IF(IF($D35="",FALSE(),AND(AH$5&gt;=DATE(YEAR($D35),MONTH($D35),1),AH$5&lt;=$E35)),'Phased Budget'!AJ35,"")))</f>
        <v/>
      </c>
      <c r="AI35" s="42" t="str">
        <f aca="false">IF($B35="","",IF(AI$5&lt;=Projects!$C$2,IF(OR(IF($D35="",FALSE(),AND(AI$5&gt;=DATE(YEAR($D35),MONTH($D35),1),AI$5&lt;=$E35)),N('WIP Log'!AG35)&lt;&gt;0),N('WIP Log'!AG35),""),IF(IF($D35="",FALSE(),AND(AI$5&gt;=DATE(YEAR($D35),MONTH($D35),1),AI$5&lt;=$E35)),'Phased Budget'!AK35,"")))</f>
        <v/>
      </c>
      <c r="AJ35" s="42" t="str">
        <f aca="false">IF($B35="","",IF(AJ$5&lt;=Projects!$C$2,IF(OR(IF($D35="",FALSE(),AND(AJ$5&gt;=DATE(YEAR($D35),MONTH($D35),1),AJ$5&lt;=$E35)),N('WIP Log'!AH35)&lt;&gt;0),N('WIP Log'!AH35),""),IF(IF($D35="",FALSE(),AND(AJ$5&gt;=DATE(YEAR($D35),MONTH($D35),1),AJ$5&lt;=$E35)),'Phased Budget'!AL35,"")))</f>
        <v/>
      </c>
      <c r="AK35" s="42" t="str">
        <f aca="false">IF($B35="","",IF(AK$5&lt;=Projects!$C$2,IF(OR(IF($D35="",FALSE(),AND(AK$5&gt;=DATE(YEAR($D35),MONTH($D35),1),AK$5&lt;=$E35)),N('WIP Log'!AI35)&lt;&gt;0),N('WIP Log'!AI35),""),IF(IF($D35="",FALSE(),AND(AK$5&gt;=DATE(YEAR($D35),MONTH($D35),1),AK$5&lt;=$E35)),'Phased Budget'!AM35,"")))</f>
        <v/>
      </c>
      <c r="AL35" s="42" t="str">
        <f aca="false">IF($B35="","",IF(AL$5&lt;=Projects!$C$2,IF(OR(IF($D35="",FALSE(),AND(AL$5&gt;=DATE(YEAR($D35),MONTH($D35),1),AL$5&lt;=$E35)),N('WIP Log'!AJ35)&lt;&gt;0),N('WIP Log'!AJ35),""),IF(IF($D35="",FALSE(),AND(AL$5&gt;=DATE(YEAR($D35),MONTH($D35),1),AL$5&lt;=$E35)),'Phased Budget'!AN35,"")))</f>
        <v/>
      </c>
      <c r="AM35" s="42" t="str">
        <f aca="false">IF($B35="","",IF(AM$5&lt;=Projects!$C$2,IF(OR(IF($D35="",FALSE(),AND(AM$5&gt;=DATE(YEAR($D35),MONTH($D35),1),AM$5&lt;=$E35)),N('WIP Log'!AK35)&lt;&gt;0),N('WIP Log'!AK35),""),IF(IF($D35="",FALSE(),AND(AM$5&gt;=DATE(YEAR($D35),MONTH($D35),1),AM$5&lt;=$E35)),'Phased Budget'!AO35,"")))</f>
        <v/>
      </c>
      <c r="AN35" s="42" t="str">
        <f aca="false">IF($B35="","",IF(AN$5&lt;=Projects!$C$2,IF(OR(IF($D35="",FALSE(),AND(AN$5&gt;=DATE(YEAR($D35),MONTH($D35),1),AN$5&lt;=$E35)),N('WIP Log'!AL35)&lt;&gt;0),N('WIP Log'!AL35),""),IF(IF($D35="",FALSE(),AND(AN$5&gt;=DATE(YEAR($D35),MONTH($D35),1),AN$5&lt;=$E35)),'Phased Budget'!AP35,"")))</f>
        <v/>
      </c>
      <c r="AO35" s="42" t="str">
        <f aca="false">IF($B35="","",IF(AO$5&lt;=Projects!$C$2,IF(OR(IF($D35="",FALSE(),AND(AO$5&gt;=DATE(YEAR($D35),MONTH($D35),1),AO$5&lt;=$E35)),N('WIP Log'!AM35)&lt;&gt;0),N('WIP Log'!AM35),""),IF(IF($D35="",FALSE(),AND(AO$5&gt;=DATE(YEAR($D35),MONTH($D35),1),AO$5&lt;=$E35)),'Phased Budget'!AQ35,"")))</f>
        <v/>
      </c>
    </row>
    <row r="36" customFormat="false" ht="15" hidden="false" customHeight="false" outlineLevel="0" collapsed="false">
      <c r="A36" s="20" t="n">
        <v>31</v>
      </c>
      <c r="B36" s="40" t="str">
        <f aca="false">IF(Projects!B36="","",Projects!B36)</f>
        <v/>
      </c>
      <c r="C36" s="40" t="str">
        <f aca="false">IF(Projects!C36="","",Projects!C36)</f>
        <v/>
      </c>
      <c r="D36" s="41" t="str">
        <f aca="false">IF(Projects!D36="","",Projects!D36)</f>
        <v/>
      </c>
      <c r="E36" s="41" t="str">
        <f aca="false">IF(Projects!F36="","",Projects!F36)</f>
        <v/>
      </c>
      <c r="F36" s="42" t="str">
        <f aca="false">IF($B36="","",IF(F$5&lt;=Projects!$C$2,IF(OR(IF($D36="",FALSE(),AND(F$5&gt;=DATE(YEAR($D36),MONTH($D36),1),F$5&lt;=$E36)),N('WIP Log'!D36)&lt;&gt;0),N('WIP Log'!D36),""),IF(IF($D36="",FALSE(),AND(F$5&gt;=DATE(YEAR($D36),MONTH($D36),1),F$5&lt;=$E36)),'Phased Budget'!H36,"")))</f>
        <v/>
      </c>
      <c r="G36" s="42" t="str">
        <f aca="false">IF($B36="","",IF(G$5&lt;=Projects!$C$2,IF(OR(IF($D36="",FALSE(),AND(G$5&gt;=DATE(YEAR($D36),MONTH($D36),1),G$5&lt;=$E36)),N('WIP Log'!E36)&lt;&gt;0),N('WIP Log'!E36),""),IF(IF($D36="",FALSE(),AND(G$5&gt;=DATE(YEAR($D36),MONTH($D36),1),G$5&lt;=$E36)),'Phased Budget'!I36,"")))</f>
        <v/>
      </c>
      <c r="H36" s="42" t="str">
        <f aca="false">IF($B36="","",IF(H$5&lt;=Projects!$C$2,IF(OR(IF($D36="",FALSE(),AND(H$5&gt;=DATE(YEAR($D36),MONTH($D36),1),H$5&lt;=$E36)),N('WIP Log'!F36)&lt;&gt;0),N('WIP Log'!F36),""),IF(IF($D36="",FALSE(),AND(H$5&gt;=DATE(YEAR($D36),MONTH($D36),1),H$5&lt;=$E36)),'Phased Budget'!J36,"")))</f>
        <v/>
      </c>
      <c r="I36" s="42" t="str">
        <f aca="false">IF($B36="","",IF(I$5&lt;=Projects!$C$2,IF(OR(IF($D36="",FALSE(),AND(I$5&gt;=DATE(YEAR($D36),MONTH($D36),1),I$5&lt;=$E36)),N('WIP Log'!G36)&lt;&gt;0),N('WIP Log'!G36),""),IF(IF($D36="",FALSE(),AND(I$5&gt;=DATE(YEAR($D36),MONTH($D36),1),I$5&lt;=$E36)),'Phased Budget'!K36,"")))</f>
        <v/>
      </c>
      <c r="J36" s="42" t="str">
        <f aca="false">IF($B36="","",IF(J$5&lt;=Projects!$C$2,IF(OR(IF($D36="",FALSE(),AND(J$5&gt;=DATE(YEAR($D36),MONTH($D36),1),J$5&lt;=$E36)),N('WIP Log'!H36)&lt;&gt;0),N('WIP Log'!H36),""),IF(IF($D36="",FALSE(),AND(J$5&gt;=DATE(YEAR($D36),MONTH($D36),1),J$5&lt;=$E36)),'Phased Budget'!L36,"")))</f>
        <v/>
      </c>
      <c r="K36" s="42" t="str">
        <f aca="false">IF($B36="","",IF(K$5&lt;=Projects!$C$2,IF(OR(IF($D36="",FALSE(),AND(K$5&gt;=DATE(YEAR($D36),MONTH($D36),1),K$5&lt;=$E36)),N('WIP Log'!I36)&lt;&gt;0),N('WIP Log'!I36),""),IF(IF($D36="",FALSE(),AND(K$5&gt;=DATE(YEAR($D36),MONTH($D36),1),K$5&lt;=$E36)),'Phased Budget'!M36,"")))</f>
        <v/>
      </c>
      <c r="L36" s="42" t="str">
        <f aca="false">IF($B36="","",IF(L$5&lt;=Projects!$C$2,IF(OR(IF($D36="",FALSE(),AND(L$5&gt;=DATE(YEAR($D36),MONTH($D36),1),L$5&lt;=$E36)),N('WIP Log'!J36)&lt;&gt;0),N('WIP Log'!J36),""),IF(IF($D36="",FALSE(),AND(L$5&gt;=DATE(YEAR($D36),MONTH($D36),1),L$5&lt;=$E36)),'Phased Budget'!N36,"")))</f>
        <v/>
      </c>
      <c r="M36" s="42" t="str">
        <f aca="false">IF($B36="","",IF(M$5&lt;=Projects!$C$2,IF(OR(IF($D36="",FALSE(),AND(M$5&gt;=DATE(YEAR($D36),MONTH($D36),1),M$5&lt;=$E36)),N('WIP Log'!K36)&lt;&gt;0),N('WIP Log'!K36),""),IF(IF($D36="",FALSE(),AND(M$5&gt;=DATE(YEAR($D36),MONTH($D36),1),M$5&lt;=$E36)),'Phased Budget'!O36,"")))</f>
        <v/>
      </c>
      <c r="N36" s="42" t="str">
        <f aca="false">IF($B36="","",IF(N$5&lt;=Projects!$C$2,IF(OR(IF($D36="",FALSE(),AND(N$5&gt;=DATE(YEAR($D36),MONTH($D36),1),N$5&lt;=$E36)),N('WIP Log'!L36)&lt;&gt;0),N('WIP Log'!L36),""),IF(IF($D36="",FALSE(),AND(N$5&gt;=DATE(YEAR($D36),MONTH($D36),1),N$5&lt;=$E36)),'Phased Budget'!P36,"")))</f>
        <v/>
      </c>
      <c r="O36" s="42" t="str">
        <f aca="false">IF($B36="","",IF(O$5&lt;=Projects!$C$2,IF(OR(IF($D36="",FALSE(),AND(O$5&gt;=DATE(YEAR($D36),MONTH($D36),1),O$5&lt;=$E36)),N('WIP Log'!M36)&lt;&gt;0),N('WIP Log'!M36),""),IF(IF($D36="",FALSE(),AND(O$5&gt;=DATE(YEAR($D36),MONTH($D36),1),O$5&lt;=$E36)),'Phased Budget'!Q36,"")))</f>
        <v/>
      </c>
      <c r="P36" s="42" t="str">
        <f aca="false">IF($B36="","",IF(P$5&lt;=Projects!$C$2,IF(OR(IF($D36="",FALSE(),AND(P$5&gt;=DATE(YEAR($D36),MONTH($D36),1),P$5&lt;=$E36)),N('WIP Log'!N36)&lt;&gt;0),N('WIP Log'!N36),""),IF(IF($D36="",FALSE(),AND(P$5&gt;=DATE(YEAR($D36),MONTH($D36),1),P$5&lt;=$E36)),'Phased Budget'!R36,"")))</f>
        <v/>
      </c>
      <c r="Q36" s="42" t="str">
        <f aca="false">IF($B36="","",IF(Q$5&lt;=Projects!$C$2,IF(OR(IF($D36="",FALSE(),AND(Q$5&gt;=DATE(YEAR($D36),MONTH($D36),1),Q$5&lt;=$E36)),N('WIP Log'!O36)&lt;&gt;0),N('WIP Log'!O36),""),IF(IF($D36="",FALSE(),AND(Q$5&gt;=DATE(YEAR($D36),MONTH($D36),1),Q$5&lt;=$E36)),'Phased Budget'!S36,"")))</f>
        <v/>
      </c>
      <c r="R36" s="42" t="str">
        <f aca="false">IF($B36="","",IF(R$5&lt;=Projects!$C$2,IF(OR(IF($D36="",FALSE(),AND(R$5&gt;=DATE(YEAR($D36),MONTH($D36),1),R$5&lt;=$E36)),N('WIP Log'!P36)&lt;&gt;0),N('WIP Log'!P36),""),IF(IF($D36="",FALSE(),AND(R$5&gt;=DATE(YEAR($D36),MONTH($D36),1),R$5&lt;=$E36)),'Phased Budget'!T36,"")))</f>
        <v/>
      </c>
      <c r="S36" s="42" t="str">
        <f aca="false">IF($B36="","",IF(S$5&lt;=Projects!$C$2,IF(OR(IF($D36="",FALSE(),AND(S$5&gt;=DATE(YEAR($D36),MONTH($D36),1),S$5&lt;=$E36)),N('WIP Log'!Q36)&lt;&gt;0),N('WIP Log'!Q36),""),IF(IF($D36="",FALSE(),AND(S$5&gt;=DATE(YEAR($D36),MONTH($D36),1),S$5&lt;=$E36)),'Phased Budget'!U36,"")))</f>
        <v/>
      </c>
      <c r="T36" s="42" t="str">
        <f aca="false">IF($B36="","",IF(T$5&lt;=Projects!$C$2,IF(OR(IF($D36="",FALSE(),AND(T$5&gt;=DATE(YEAR($D36),MONTH($D36),1),T$5&lt;=$E36)),N('WIP Log'!R36)&lt;&gt;0),N('WIP Log'!R36),""),IF(IF($D36="",FALSE(),AND(T$5&gt;=DATE(YEAR($D36),MONTH($D36),1),T$5&lt;=$E36)),'Phased Budget'!V36,"")))</f>
        <v/>
      </c>
      <c r="U36" s="42" t="str">
        <f aca="false">IF($B36="","",IF(U$5&lt;=Projects!$C$2,IF(OR(IF($D36="",FALSE(),AND(U$5&gt;=DATE(YEAR($D36),MONTH($D36),1),U$5&lt;=$E36)),N('WIP Log'!S36)&lt;&gt;0),N('WIP Log'!S36),""),IF(IF($D36="",FALSE(),AND(U$5&gt;=DATE(YEAR($D36),MONTH($D36),1),U$5&lt;=$E36)),'Phased Budget'!W36,"")))</f>
        <v/>
      </c>
      <c r="V36" s="42" t="str">
        <f aca="false">IF($B36="","",IF(V$5&lt;=Projects!$C$2,IF(OR(IF($D36="",FALSE(),AND(V$5&gt;=DATE(YEAR($D36),MONTH($D36),1),V$5&lt;=$E36)),N('WIP Log'!T36)&lt;&gt;0),N('WIP Log'!T36),""),IF(IF($D36="",FALSE(),AND(V$5&gt;=DATE(YEAR($D36),MONTH($D36),1),V$5&lt;=$E36)),'Phased Budget'!X36,"")))</f>
        <v/>
      </c>
      <c r="W36" s="42" t="str">
        <f aca="false">IF($B36="","",IF(W$5&lt;=Projects!$C$2,IF(OR(IF($D36="",FALSE(),AND(W$5&gt;=DATE(YEAR($D36),MONTH($D36),1),W$5&lt;=$E36)),N('WIP Log'!U36)&lt;&gt;0),N('WIP Log'!U36),""),IF(IF($D36="",FALSE(),AND(W$5&gt;=DATE(YEAR($D36),MONTH($D36),1),W$5&lt;=$E36)),'Phased Budget'!Y36,"")))</f>
        <v/>
      </c>
      <c r="X36" s="42" t="str">
        <f aca="false">IF($B36="","",IF(X$5&lt;=Projects!$C$2,IF(OR(IF($D36="",FALSE(),AND(X$5&gt;=DATE(YEAR($D36),MONTH($D36),1),X$5&lt;=$E36)),N('WIP Log'!V36)&lt;&gt;0),N('WIP Log'!V36),""),IF(IF($D36="",FALSE(),AND(X$5&gt;=DATE(YEAR($D36),MONTH($D36),1),X$5&lt;=$E36)),'Phased Budget'!Z36,"")))</f>
        <v/>
      </c>
      <c r="Y36" s="42" t="str">
        <f aca="false">IF($B36="","",IF(Y$5&lt;=Projects!$C$2,IF(OR(IF($D36="",FALSE(),AND(Y$5&gt;=DATE(YEAR($D36),MONTH($D36),1),Y$5&lt;=$E36)),N('WIP Log'!W36)&lt;&gt;0),N('WIP Log'!W36),""),IF(IF($D36="",FALSE(),AND(Y$5&gt;=DATE(YEAR($D36),MONTH($D36),1),Y$5&lt;=$E36)),'Phased Budget'!AA36,"")))</f>
        <v/>
      </c>
      <c r="Z36" s="42" t="str">
        <f aca="false">IF($B36="","",IF(Z$5&lt;=Projects!$C$2,IF(OR(IF($D36="",FALSE(),AND(Z$5&gt;=DATE(YEAR($D36),MONTH($D36),1),Z$5&lt;=$E36)),N('WIP Log'!X36)&lt;&gt;0),N('WIP Log'!X36),""),IF(IF($D36="",FALSE(),AND(Z$5&gt;=DATE(YEAR($D36),MONTH($D36),1),Z$5&lt;=$E36)),'Phased Budget'!AB36,"")))</f>
        <v/>
      </c>
      <c r="AA36" s="42" t="str">
        <f aca="false">IF($B36="","",IF(AA$5&lt;=Projects!$C$2,IF(OR(IF($D36="",FALSE(),AND(AA$5&gt;=DATE(YEAR($D36),MONTH($D36),1),AA$5&lt;=$E36)),N('WIP Log'!Y36)&lt;&gt;0),N('WIP Log'!Y36),""),IF(IF($D36="",FALSE(),AND(AA$5&gt;=DATE(YEAR($D36),MONTH($D36),1),AA$5&lt;=$E36)),'Phased Budget'!AC36,"")))</f>
        <v/>
      </c>
      <c r="AB36" s="42" t="str">
        <f aca="false">IF($B36="","",IF(AB$5&lt;=Projects!$C$2,IF(OR(IF($D36="",FALSE(),AND(AB$5&gt;=DATE(YEAR($D36),MONTH($D36),1),AB$5&lt;=$E36)),N('WIP Log'!Z36)&lt;&gt;0),N('WIP Log'!Z36),""),IF(IF($D36="",FALSE(),AND(AB$5&gt;=DATE(YEAR($D36),MONTH($D36),1),AB$5&lt;=$E36)),'Phased Budget'!AD36,"")))</f>
        <v/>
      </c>
      <c r="AC36" s="42" t="str">
        <f aca="false">IF($B36="","",IF(AC$5&lt;=Projects!$C$2,IF(OR(IF($D36="",FALSE(),AND(AC$5&gt;=DATE(YEAR($D36),MONTH($D36),1),AC$5&lt;=$E36)),N('WIP Log'!AA36)&lt;&gt;0),N('WIP Log'!AA36),""),IF(IF($D36="",FALSE(),AND(AC$5&gt;=DATE(YEAR($D36),MONTH($D36),1),AC$5&lt;=$E36)),'Phased Budget'!AE36,"")))</f>
        <v/>
      </c>
      <c r="AD36" s="42" t="str">
        <f aca="false">IF($B36="","",IF(AD$5&lt;=Projects!$C$2,IF(OR(IF($D36="",FALSE(),AND(AD$5&gt;=DATE(YEAR($D36),MONTH($D36),1),AD$5&lt;=$E36)),N('WIP Log'!AB36)&lt;&gt;0),N('WIP Log'!AB36),""),IF(IF($D36="",FALSE(),AND(AD$5&gt;=DATE(YEAR($D36),MONTH($D36),1),AD$5&lt;=$E36)),'Phased Budget'!AF36,"")))</f>
        <v/>
      </c>
      <c r="AE36" s="42" t="str">
        <f aca="false">IF($B36="","",IF(AE$5&lt;=Projects!$C$2,IF(OR(IF($D36="",FALSE(),AND(AE$5&gt;=DATE(YEAR($D36),MONTH($D36),1),AE$5&lt;=$E36)),N('WIP Log'!AC36)&lt;&gt;0),N('WIP Log'!AC36),""),IF(IF($D36="",FALSE(),AND(AE$5&gt;=DATE(YEAR($D36),MONTH($D36),1),AE$5&lt;=$E36)),'Phased Budget'!AG36,"")))</f>
        <v/>
      </c>
      <c r="AF36" s="42" t="str">
        <f aca="false">IF($B36="","",IF(AF$5&lt;=Projects!$C$2,IF(OR(IF($D36="",FALSE(),AND(AF$5&gt;=DATE(YEAR($D36),MONTH($D36),1),AF$5&lt;=$E36)),N('WIP Log'!AD36)&lt;&gt;0),N('WIP Log'!AD36),""),IF(IF($D36="",FALSE(),AND(AF$5&gt;=DATE(YEAR($D36),MONTH($D36),1),AF$5&lt;=$E36)),'Phased Budget'!AH36,"")))</f>
        <v/>
      </c>
      <c r="AG36" s="42" t="str">
        <f aca="false">IF($B36="","",IF(AG$5&lt;=Projects!$C$2,IF(OR(IF($D36="",FALSE(),AND(AG$5&gt;=DATE(YEAR($D36),MONTH($D36),1),AG$5&lt;=$E36)),N('WIP Log'!AE36)&lt;&gt;0),N('WIP Log'!AE36),""),IF(IF($D36="",FALSE(),AND(AG$5&gt;=DATE(YEAR($D36),MONTH($D36),1),AG$5&lt;=$E36)),'Phased Budget'!AI36,"")))</f>
        <v/>
      </c>
      <c r="AH36" s="42" t="str">
        <f aca="false">IF($B36="","",IF(AH$5&lt;=Projects!$C$2,IF(OR(IF($D36="",FALSE(),AND(AH$5&gt;=DATE(YEAR($D36),MONTH($D36),1),AH$5&lt;=$E36)),N('WIP Log'!AF36)&lt;&gt;0),N('WIP Log'!AF36),""),IF(IF($D36="",FALSE(),AND(AH$5&gt;=DATE(YEAR($D36),MONTH($D36),1),AH$5&lt;=$E36)),'Phased Budget'!AJ36,"")))</f>
        <v/>
      </c>
      <c r="AI36" s="42" t="str">
        <f aca="false">IF($B36="","",IF(AI$5&lt;=Projects!$C$2,IF(OR(IF($D36="",FALSE(),AND(AI$5&gt;=DATE(YEAR($D36),MONTH($D36),1),AI$5&lt;=$E36)),N('WIP Log'!AG36)&lt;&gt;0),N('WIP Log'!AG36),""),IF(IF($D36="",FALSE(),AND(AI$5&gt;=DATE(YEAR($D36),MONTH($D36),1),AI$5&lt;=$E36)),'Phased Budget'!AK36,"")))</f>
        <v/>
      </c>
      <c r="AJ36" s="42" t="str">
        <f aca="false">IF($B36="","",IF(AJ$5&lt;=Projects!$C$2,IF(OR(IF($D36="",FALSE(),AND(AJ$5&gt;=DATE(YEAR($D36),MONTH($D36),1),AJ$5&lt;=$E36)),N('WIP Log'!AH36)&lt;&gt;0),N('WIP Log'!AH36),""),IF(IF($D36="",FALSE(),AND(AJ$5&gt;=DATE(YEAR($D36),MONTH($D36),1),AJ$5&lt;=$E36)),'Phased Budget'!AL36,"")))</f>
        <v/>
      </c>
      <c r="AK36" s="42" t="str">
        <f aca="false">IF($B36="","",IF(AK$5&lt;=Projects!$C$2,IF(OR(IF($D36="",FALSE(),AND(AK$5&gt;=DATE(YEAR($D36),MONTH($D36),1),AK$5&lt;=$E36)),N('WIP Log'!AI36)&lt;&gt;0),N('WIP Log'!AI36),""),IF(IF($D36="",FALSE(),AND(AK$5&gt;=DATE(YEAR($D36),MONTH($D36),1),AK$5&lt;=$E36)),'Phased Budget'!AM36,"")))</f>
        <v/>
      </c>
      <c r="AL36" s="42" t="str">
        <f aca="false">IF($B36="","",IF(AL$5&lt;=Projects!$C$2,IF(OR(IF($D36="",FALSE(),AND(AL$5&gt;=DATE(YEAR($D36),MONTH($D36),1),AL$5&lt;=$E36)),N('WIP Log'!AJ36)&lt;&gt;0),N('WIP Log'!AJ36),""),IF(IF($D36="",FALSE(),AND(AL$5&gt;=DATE(YEAR($D36),MONTH($D36),1),AL$5&lt;=$E36)),'Phased Budget'!AN36,"")))</f>
        <v/>
      </c>
      <c r="AM36" s="42" t="str">
        <f aca="false">IF($B36="","",IF(AM$5&lt;=Projects!$C$2,IF(OR(IF($D36="",FALSE(),AND(AM$5&gt;=DATE(YEAR($D36),MONTH($D36),1),AM$5&lt;=$E36)),N('WIP Log'!AK36)&lt;&gt;0),N('WIP Log'!AK36),""),IF(IF($D36="",FALSE(),AND(AM$5&gt;=DATE(YEAR($D36),MONTH($D36),1),AM$5&lt;=$E36)),'Phased Budget'!AO36,"")))</f>
        <v/>
      </c>
      <c r="AN36" s="42" t="str">
        <f aca="false">IF($B36="","",IF(AN$5&lt;=Projects!$C$2,IF(OR(IF($D36="",FALSE(),AND(AN$5&gt;=DATE(YEAR($D36),MONTH($D36),1),AN$5&lt;=$E36)),N('WIP Log'!AL36)&lt;&gt;0),N('WIP Log'!AL36),""),IF(IF($D36="",FALSE(),AND(AN$5&gt;=DATE(YEAR($D36),MONTH($D36),1),AN$5&lt;=$E36)),'Phased Budget'!AP36,"")))</f>
        <v/>
      </c>
      <c r="AO36" s="42" t="str">
        <f aca="false">IF($B36="","",IF(AO$5&lt;=Projects!$C$2,IF(OR(IF($D36="",FALSE(),AND(AO$5&gt;=DATE(YEAR($D36),MONTH($D36),1),AO$5&lt;=$E36)),N('WIP Log'!AM36)&lt;&gt;0),N('WIP Log'!AM36),""),IF(IF($D36="",FALSE(),AND(AO$5&gt;=DATE(YEAR($D36),MONTH($D36),1),AO$5&lt;=$E36)),'Phased Budget'!AQ36,"")))</f>
        <v/>
      </c>
    </row>
    <row r="37" customFormat="false" ht="15" hidden="false" customHeight="false" outlineLevel="0" collapsed="false">
      <c r="A37" s="20" t="n">
        <v>32</v>
      </c>
      <c r="B37" s="40" t="str">
        <f aca="false">IF(Projects!B37="","",Projects!B37)</f>
        <v/>
      </c>
      <c r="C37" s="40" t="str">
        <f aca="false">IF(Projects!C37="","",Projects!C37)</f>
        <v/>
      </c>
      <c r="D37" s="41" t="str">
        <f aca="false">IF(Projects!D37="","",Projects!D37)</f>
        <v/>
      </c>
      <c r="E37" s="41" t="str">
        <f aca="false">IF(Projects!F37="","",Projects!F37)</f>
        <v/>
      </c>
      <c r="F37" s="42" t="str">
        <f aca="false">IF($B37="","",IF(F$5&lt;=Projects!$C$2,IF(OR(IF($D37="",FALSE(),AND(F$5&gt;=DATE(YEAR($D37),MONTH($D37),1),F$5&lt;=$E37)),N('WIP Log'!D37)&lt;&gt;0),N('WIP Log'!D37),""),IF(IF($D37="",FALSE(),AND(F$5&gt;=DATE(YEAR($D37),MONTH($D37),1),F$5&lt;=$E37)),'Phased Budget'!H37,"")))</f>
        <v/>
      </c>
      <c r="G37" s="42" t="str">
        <f aca="false">IF($B37="","",IF(G$5&lt;=Projects!$C$2,IF(OR(IF($D37="",FALSE(),AND(G$5&gt;=DATE(YEAR($D37),MONTH($D37),1),G$5&lt;=$E37)),N('WIP Log'!E37)&lt;&gt;0),N('WIP Log'!E37),""),IF(IF($D37="",FALSE(),AND(G$5&gt;=DATE(YEAR($D37),MONTH($D37),1),G$5&lt;=$E37)),'Phased Budget'!I37,"")))</f>
        <v/>
      </c>
      <c r="H37" s="42" t="str">
        <f aca="false">IF($B37="","",IF(H$5&lt;=Projects!$C$2,IF(OR(IF($D37="",FALSE(),AND(H$5&gt;=DATE(YEAR($D37),MONTH($D37),1),H$5&lt;=$E37)),N('WIP Log'!F37)&lt;&gt;0),N('WIP Log'!F37),""),IF(IF($D37="",FALSE(),AND(H$5&gt;=DATE(YEAR($D37),MONTH($D37),1),H$5&lt;=$E37)),'Phased Budget'!J37,"")))</f>
        <v/>
      </c>
      <c r="I37" s="42" t="str">
        <f aca="false">IF($B37="","",IF(I$5&lt;=Projects!$C$2,IF(OR(IF($D37="",FALSE(),AND(I$5&gt;=DATE(YEAR($D37),MONTH($D37),1),I$5&lt;=$E37)),N('WIP Log'!G37)&lt;&gt;0),N('WIP Log'!G37),""),IF(IF($D37="",FALSE(),AND(I$5&gt;=DATE(YEAR($D37),MONTH($D37),1),I$5&lt;=$E37)),'Phased Budget'!K37,"")))</f>
        <v/>
      </c>
      <c r="J37" s="42" t="str">
        <f aca="false">IF($B37="","",IF(J$5&lt;=Projects!$C$2,IF(OR(IF($D37="",FALSE(),AND(J$5&gt;=DATE(YEAR($D37),MONTH($D37),1),J$5&lt;=$E37)),N('WIP Log'!H37)&lt;&gt;0),N('WIP Log'!H37),""),IF(IF($D37="",FALSE(),AND(J$5&gt;=DATE(YEAR($D37),MONTH($D37),1),J$5&lt;=$E37)),'Phased Budget'!L37,"")))</f>
        <v/>
      </c>
      <c r="K37" s="42" t="str">
        <f aca="false">IF($B37="","",IF(K$5&lt;=Projects!$C$2,IF(OR(IF($D37="",FALSE(),AND(K$5&gt;=DATE(YEAR($D37),MONTH($D37),1),K$5&lt;=$E37)),N('WIP Log'!I37)&lt;&gt;0),N('WIP Log'!I37),""),IF(IF($D37="",FALSE(),AND(K$5&gt;=DATE(YEAR($D37),MONTH($D37),1),K$5&lt;=$E37)),'Phased Budget'!M37,"")))</f>
        <v/>
      </c>
      <c r="L37" s="42" t="str">
        <f aca="false">IF($B37="","",IF(L$5&lt;=Projects!$C$2,IF(OR(IF($D37="",FALSE(),AND(L$5&gt;=DATE(YEAR($D37),MONTH($D37),1),L$5&lt;=$E37)),N('WIP Log'!J37)&lt;&gt;0),N('WIP Log'!J37),""),IF(IF($D37="",FALSE(),AND(L$5&gt;=DATE(YEAR($D37),MONTH($D37),1),L$5&lt;=$E37)),'Phased Budget'!N37,"")))</f>
        <v/>
      </c>
      <c r="M37" s="42" t="str">
        <f aca="false">IF($B37="","",IF(M$5&lt;=Projects!$C$2,IF(OR(IF($D37="",FALSE(),AND(M$5&gt;=DATE(YEAR($D37),MONTH($D37),1),M$5&lt;=$E37)),N('WIP Log'!K37)&lt;&gt;0),N('WIP Log'!K37),""),IF(IF($D37="",FALSE(),AND(M$5&gt;=DATE(YEAR($D37),MONTH($D37),1),M$5&lt;=$E37)),'Phased Budget'!O37,"")))</f>
        <v/>
      </c>
      <c r="N37" s="42" t="str">
        <f aca="false">IF($B37="","",IF(N$5&lt;=Projects!$C$2,IF(OR(IF($D37="",FALSE(),AND(N$5&gt;=DATE(YEAR($D37),MONTH($D37),1),N$5&lt;=$E37)),N('WIP Log'!L37)&lt;&gt;0),N('WIP Log'!L37),""),IF(IF($D37="",FALSE(),AND(N$5&gt;=DATE(YEAR($D37),MONTH($D37),1),N$5&lt;=$E37)),'Phased Budget'!P37,"")))</f>
        <v/>
      </c>
      <c r="O37" s="42" t="str">
        <f aca="false">IF($B37="","",IF(O$5&lt;=Projects!$C$2,IF(OR(IF($D37="",FALSE(),AND(O$5&gt;=DATE(YEAR($D37),MONTH($D37),1),O$5&lt;=$E37)),N('WIP Log'!M37)&lt;&gt;0),N('WIP Log'!M37),""),IF(IF($D37="",FALSE(),AND(O$5&gt;=DATE(YEAR($D37),MONTH($D37),1),O$5&lt;=$E37)),'Phased Budget'!Q37,"")))</f>
        <v/>
      </c>
      <c r="P37" s="42" t="str">
        <f aca="false">IF($B37="","",IF(P$5&lt;=Projects!$C$2,IF(OR(IF($D37="",FALSE(),AND(P$5&gt;=DATE(YEAR($D37),MONTH($D37),1),P$5&lt;=$E37)),N('WIP Log'!N37)&lt;&gt;0),N('WIP Log'!N37),""),IF(IF($D37="",FALSE(),AND(P$5&gt;=DATE(YEAR($D37),MONTH($D37),1),P$5&lt;=$E37)),'Phased Budget'!R37,"")))</f>
        <v/>
      </c>
      <c r="Q37" s="42" t="str">
        <f aca="false">IF($B37="","",IF(Q$5&lt;=Projects!$C$2,IF(OR(IF($D37="",FALSE(),AND(Q$5&gt;=DATE(YEAR($D37),MONTH($D37),1),Q$5&lt;=$E37)),N('WIP Log'!O37)&lt;&gt;0),N('WIP Log'!O37),""),IF(IF($D37="",FALSE(),AND(Q$5&gt;=DATE(YEAR($D37),MONTH($D37),1),Q$5&lt;=$E37)),'Phased Budget'!S37,"")))</f>
        <v/>
      </c>
      <c r="R37" s="42" t="str">
        <f aca="false">IF($B37="","",IF(R$5&lt;=Projects!$C$2,IF(OR(IF($D37="",FALSE(),AND(R$5&gt;=DATE(YEAR($D37),MONTH($D37),1),R$5&lt;=$E37)),N('WIP Log'!P37)&lt;&gt;0),N('WIP Log'!P37),""),IF(IF($D37="",FALSE(),AND(R$5&gt;=DATE(YEAR($D37),MONTH($D37),1),R$5&lt;=$E37)),'Phased Budget'!T37,"")))</f>
        <v/>
      </c>
      <c r="S37" s="42" t="str">
        <f aca="false">IF($B37="","",IF(S$5&lt;=Projects!$C$2,IF(OR(IF($D37="",FALSE(),AND(S$5&gt;=DATE(YEAR($D37),MONTH($D37),1),S$5&lt;=$E37)),N('WIP Log'!Q37)&lt;&gt;0),N('WIP Log'!Q37),""),IF(IF($D37="",FALSE(),AND(S$5&gt;=DATE(YEAR($D37),MONTH($D37),1),S$5&lt;=$E37)),'Phased Budget'!U37,"")))</f>
        <v/>
      </c>
      <c r="T37" s="42" t="str">
        <f aca="false">IF($B37="","",IF(T$5&lt;=Projects!$C$2,IF(OR(IF($D37="",FALSE(),AND(T$5&gt;=DATE(YEAR($D37),MONTH($D37),1),T$5&lt;=$E37)),N('WIP Log'!R37)&lt;&gt;0),N('WIP Log'!R37),""),IF(IF($D37="",FALSE(),AND(T$5&gt;=DATE(YEAR($D37),MONTH($D37),1),T$5&lt;=$E37)),'Phased Budget'!V37,"")))</f>
        <v/>
      </c>
      <c r="U37" s="42" t="str">
        <f aca="false">IF($B37="","",IF(U$5&lt;=Projects!$C$2,IF(OR(IF($D37="",FALSE(),AND(U$5&gt;=DATE(YEAR($D37),MONTH($D37),1),U$5&lt;=$E37)),N('WIP Log'!S37)&lt;&gt;0),N('WIP Log'!S37),""),IF(IF($D37="",FALSE(),AND(U$5&gt;=DATE(YEAR($D37),MONTH($D37),1),U$5&lt;=$E37)),'Phased Budget'!W37,"")))</f>
        <v/>
      </c>
      <c r="V37" s="42" t="str">
        <f aca="false">IF($B37="","",IF(V$5&lt;=Projects!$C$2,IF(OR(IF($D37="",FALSE(),AND(V$5&gt;=DATE(YEAR($D37),MONTH($D37),1),V$5&lt;=$E37)),N('WIP Log'!T37)&lt;&gt;0),N('WIP Log'!T37),""),IF(IF($D37="",FALSE(),AND(V$5&gt;=DATE(YEAR($D37),MONTH($D37),1),V$5&lt;=$E37)),'Phased Budget'!X37,"")))</f>
        <v/>
      </c>
      <c r="W37" s="42" t="str">
        <f aca="false">IF($B37="","",IF(W$5&lt;=Projects!$C$2,IF(OR(IF($D37="",FALSE(),AND(W$5&gt;=DATE(YEAR($D37),MONTH($D37),1),W$5&lt;=$E37)),N('WIP Log'!U37)&lt;&gt;0),N('WIP Log'!U37),""),IF(IF($D37="",FALSE(),AND(W$5&gt;=DATE(YEAR($D37),MONTH($D37),1),W$5&lt;=$E37)),'Phased Budget'!Y37,"")))</f>
        <v/>
      </c>
      <c r="X37" s="42" t="str">
        <f aca="false">IF($B37="","",IF(X$5&lt;=Projects!$C$2,IF(OR(IF($D37="",FALSE(),AND(X$5&gt;=DATE(YEAR($D37),MONTH($D37),1),X$5&lt;=$E37)),N('WIP Log'!V37)&lt;&gt;0),N('WIP Log'!V37),""),IF(IF($D37="",FALSE(),AND(X$5&gt;=DATE(YEAR($D37),MONTH($D37),1),X$5&lt;=$E37)),'Phased Budget'!Z37,"")))</f>
        <v/>
      </c>
      <c r="Y37" s="42" t="str">
        <f aca="false">IF($B37="","",IF(Y$5&lt;=Projects!$C$2,IF(OR(IF($D37="",FALSE(),AND(Y$5&gt;=DATE(YEAR($D37),MONTH($D37),1),Y$5&lt;=$E37)),N('WIP Log'!W37)&lt;&gt;0),N('WIP Log'!W37),""),IF(IF($D37="",FALSE(),AND(Y$5&gt;=DATE(YEAR($D37),MONTH($D37),1),Y$5&lt;=$E37)),'Phased Budget'!AA37,"")))</f>
        <v/>
      </c>
      <c r="Z37" s="42" t="str">
        <f aca="false">IF($B37="","",IF(Z$5&lt;=Projects!$C$2,IF(OR(IF($D37="",FALSE(),AND(Z$5&gt;=DATE(YEAR($D37),MONTH($D37),1),Z$5&lt;=$E37)),N('WIP Log'!X37)&lt;&gt;0),N('WIP Log'!X37),""),IF(IF($D37="",FALSE(),AND(Z$5&gt;=DATE(YEAR($D37),MONTH($D37),1),Z$5&lt;=$E37)),'Phased Budget'!AB37,"")))</f>
        <v/>
      </c>
      <c r="AA37" s="42" t="str">
        <f aca="false">IF($B37="","",IF(AA$5&lt;=Projects!$C$2,IF(OR(IF($D37="",FALSE(),AND(AA$5&gt;=DATE(YEAR($D37),MONTH($D37),1),AA$5&lt;=$E37)),N('WIP Log'!Y37)&lt;&gt;0),N('WIP Log'!Y37),""),IF(IF($D37="",FALSE(),AND(AA$5&gt;=DATE(YEAR($D37),MONTH($D37),1),AA$5&lt;=$E37)),'Phased Budget'!AC37,"")))</f>
        <v/>
      </c>
      <c r="AB37" s="42" t="str">
        <f aca="false">IF($B37="","",IF(AB$5&lt;=Projects!$C$2,IF(OR(IF($D37="",FALSE(),AND(AB$5&gt;=DATE(YEAR($D37),MONTH($D37),1),AB$5&lt;=$E37)),N('WIP Log'!Z37)&lt;&gt;0),N('WIP Log'!Z37),""),IF(IF($D37="",FALSE(),AND(AB$5&gt;=DATE(YEAR($D37),MONTH($D37),1),AB$5&lt;=$E37)),'Phased Budget'!AD37,"")))</f>
        <v/>
      </c>
      <c r="AC37" s="42" t="str">
        <f aca="false">IF($B37="","",IF(AC$5&lt;=Projects!$C$2,IF(OR(IF($D37="",FALSE(),AND(AC$5&gt;=DATE(YEAR($D37),MONTH($D37),1),AC$5&lt;=$E37)),N('WIP Log'!AA37)&lt;&gt;0),N('WIP Log'!AA37),""),IF(IF($D37="",FALSE(),AND(AC$5&gt;=DATE(YEAR($D37),MONTH($D37),1),AC$5&lt;=$E37)),'Phased Budget'!AE37,"")))</f>
        <v/>
      </c>
      <c r="AD37" s="42" t="str">
        <f aca="false">IF($B37="","",IF(AD$5&lt;=Projects!$C$2,IF(OR(IF($D37="",FALSE(),AND(AD$5&gt;=DATE(YEAR($D37),MONTH($D37),1),AD$5&lt;=$E37)),N('WIP Log'!AB37)&lt;&gt;0),N('WIP Log'!AB37),""),IF(IF($D37="",FALSE(),AND(AD$5&gt;=DATE(YEAR($D37),MONTH($D37),1),AD$5&lt;=$E37)),'Phased Budget'!AF37,"")))</f>
        <v/>
      </c>
      <c r="AE37" s="42" t="str">
        <f aca="false">IF($B37="","",IF(AE$5&lt;=Projects!$C$2,IF(OR(IF($D37="",FALSE(),AND(AE$5&gt;=DATE(YEAR($D37),MONTH($D37),1),AE$5&lt;=$E37)),N('WIP Log'!AC37)&lt;&gt;0),N('WIP Log'!AC37),""),IF(IF($D37="",FALSE(),AND(AE$5&gt;=DATE(YEAR($D37),MONTH($D37),1),AE$5&lt;=$E37)),'Phased Budget'!AG37,"")))</f>
        <v/>
      </c>
      <c r="AF37" s="42" t="str">
        <f aca="false">IF($B37="","",IF(AF$5&lt;=Projects!$C$2,IF(OR(IF($D37="",FALSE(),AND(AF$5&gt;=DATE(YEAR($D37),MONTH($D37),1),AF$5&lt;=$E37)),N('WIP Log'!AD37)&lt;&gt;0),N('WIP Log'!AD37),""),IF(IF($D37="",FALSE(),AND(AF$5&gt;=DATE(YEAR($D37),MONTH($D37),1),AF$5&lt;=$E37)),'Phased Budget'!AH37,"")))</f>
        <v/>
      </c>
      <c r="AG37" s="42" t="str">
        <f aca="false">IF($B37="","",IF(AG$5&lt;=Projects!$C$2,IF(OR(IF($D37="",FALSE(),AND(AG$5&gt;=DATE(YEAR($D37),MONTH($D37),1),AG$5&lt;=$E37)),N('WIP Log'!AE37)&lt;&gt;0),N('WIP Log'!AE37),""),IF(IF($D37="",FALSE(),AND(AG$5&gt;=DATE(YEAR($D37),MONTH($D37),1),AG$5&lt;=$E37)),'Phased Budget'!AI37,"")))</f>
        <v/>
      </c>
      <c r="AH37" s="42" t="str">
        <f aca="false">IF($B37="","",IF(AH$5&lt;=Projects!$C$2,IF(OR(IF($D37="",FALSE(),AND(AH$5&gt;=DATE(YEAR($D37),MONTH($D37),1),AH$5&lt;=$E37)),N('WIP Log'!AF37)&lt;&gt;0),N('WIP Log'!AF37),""),IF(IF($D37="",FALSE(),AND(AH$5&gt;=DATE(YEAR($D37),MONTH($D37),1),AH$5&lt;=$E37)),'Phased Budget'!AJ37,"")))</f>
        <v/>
      </c>
      <c r="AI37" s="42" t="str">
        <f aca="false">IF($B37="","",IF(AI$5&lt;=Projects!$C$2,IF(OR(IF($D37="",FALSE(),AND(AI$5&gt;=DATE(YEAR($D37),MONTH($D37),1),AI$5&lt;=$E37)),N('WIP Log'!AG37)&lt;&gt;0),N('WIP Log'!AG37),""),IF(IF($D37="",FALSE(),AND(AI$5&gt;=DATE(YEAR($D37),MONTH($D37),1),AI$5&lt;=$E37)),'Phased Budget'!AK37,"")))</f>
        <v/>
      </c>
      <c r="AJ37" s="42" t="str">
        <f aca="false">IF($B37="","",IF(AJ$5&lt;=Projects!$C$2,IF(OR(IF($D37="",FALSE(),AND(AJ$5&gt;=DATE(YEAR($D37),MONTH($D37),1),AJ$5&lt;=$E37)),N('WIP Log'!AH37)&lt;&gt;0),N('WIP Log'!AH37),""),IF(IF($D37="",FALSE(),AND(AJ$5&gt;=DATE(YEAR($D37),MONTH($D37),1),AJ$5&lt;=$E37)),'Phased Budget'!AL37,"")))</f>
        <v/>
      </c>
      <c r="AK37" s="42" t="str">
        <f aca="false">IF($B37="","",IF(AK$5&lt;=Projects!$C$2,IF(OR(IF($D37="",FALSE(),AND(AK$5&gt;=DATE(YEAR($D37),MONTH($D37),1),AK$5&lt;=$E37)),N('WIP Log'!AI37)&lt;&gt;0),N('WIP Log'!AI37),""),IF(IF($D37="",FALSE(),AND(AK$5&gt;=DATE(YEAR($D37),MONTH($D37),1),AK$5&lt;=$E37)),'Phased Budget'!AM37,"")))</f>
        <v/>
      </c>
      <c r="AL37" s="42" t="str">
        <f aca="false">IF($B37="","",IF(AL$5&lt;=Projects!$C$2,IF(OR(IF($D37="",FALSE(),AND(AL$5&gt;=DATE(YEAR($D37),MONTH($D37),1),AL$5&lt;=$E37)),N('WIP Log'!AJ37)&lt;&gt;0),N('WIP Log'!AJ37),""),IF(IF($D37="",FALSE(),AND(AL$5&gt;=DATE(YEAR($D37),MONTH($D37),1),AL$5&lt;=$E37)),'Phased Budget'!AN37,"")))</f>
        <v/>
      </c>
      <c r="AM37" s="42" t="str">
        <f aca="false">IF($B37="","",IF(AM$5&lt;=Projects!$C$2,IF(OR(IF($D37="",FALSE(),AND(AM$5&gt;=DATE(YEAR($D37),MONTH($D37),1),AM$5&lt;=$E37)),N('WIP Log'!AK37)&lt;&gt;0),N('WIP Log'!AK37),""),IF(IF($D37="",FALSE(),AND(AM$5&gt;=DATE(YEAR($D37),MONTH($D37),1),AM$5&lt;=$E37)),'Phased Budget'!AO37,"")))</f>
        <v/>
      </c>
      <c r="AN37" s="42" t="str">
        <f aca="false">IF($B37="","",IF(AN$5&lt;=Projects!$C$2,IF(OR(IF($D37="",FALSE(),AND(AN$5&gt;=DATE(YEAR($D37),MONTH($D37),1),AN$5&lt;=$E37)),N('WIP Log'!AL37)&lt;&gt;0),N('WIP Log'!AL37),""),IF(IF($D37="",FALSE(),AND(AN$5&gt;=DATE(YEAR($D37),MONTH($D37),1),AN$5&lt;=$E37)),'Phased Budget'!AP37,"")))</f>
        <v/>
      </c>
      <c r="AO37" s="42" t="str">
        <f aca="false">IF($B37="","",IF(AO$5&lt;=Projects!$C$2,IF(OR(IF($D37="",FALSE(),AND(AO$5&gt;=DATE(YEAR($D37),MONTH($D37),1),AO$5&lt;=$E37)),N('WIP Log'!AM37)&lt;&gt;0),N('WIP Log'!AM37),""),IF(IF($D37="",FALSE(),AND(AO$5&gt;=DATE(YEAR($D37),MONTH($D37),1),AO$5&lt;=$E37)),'Phased Budget'!AQ37,"")))</f>
        <v/>
      </c>
    </row>
    <row r="38" customFormat="false" ht="15" hidden="false" customHeight="false" outlineLevel="0" collapsed="false">
      <c r="A38" s="20" t="n">
        <v>33</v>
      </c>
      <c r="B38" s="40" t="str">
        <f aca="false">IF(Projects!B38="","",Projects!B38)</f>
        <v/>
      </c>
      <c r="C38" s="40" t="str">
        <f aca="false">IF(Projects!C38="","",Projects!C38)</f>
        <v/>
      </c>
      <c r="D38" s="41" t="str">
        <f aca="false">IF(Projects!D38="","",Projects!D38)</f>
        <v/>
      </c>
      <c r="E38" s="41" t="str">
        <f aca="false">IF(Projects!F38="","",Projects!F38)</f>
        <v/>
      </c>
      <c r="F38" s="42" t="str">
        <f aca="false">IF($B38="","",IF(F$5&lt;=Projects!$C$2,IF(OR(IF($D38="",FALSE(),AND(F$5&gt;=DATE(YEAR($D38),MONTH($D38),1),F$5&lt;=$E38)),N('WIP Log'!D38)&lt;&gt;0),N('WIP Log'!D38),""),IF(IF($D38="",FALSE(),AND(F$5&gt;=DATE(YEAR($D38),MONTH($D38),1),F$5&lt;=$E38)),'Phased Budget'!H38,"")))</f>
        <v/>
      </c>
      <c r="G38" s="42" t="str">
        <f aca="false">IF($B38="","",IF(G$5&lt;=Projects!$C$2,IF(OR(IF($D38="",FALSE(),AND(G$5&gt;=DATE(YEAR($D38),MONTH($D38),1),G$5&lt;=$E38)),N('WIP Log'!E38)&lt;&gt;0),N('WIP Log'!E38),""),IF(IF($D38="",FALSE(),AND(G$5&gt;=DATE(YEAR($D38),MONTH($D38),1),G$5&lt;=$E38)),'Phased Budget'!I38,"")))</f>
        <v/>
      </c>
      <c r="H38" s="42" t="str">
        <f aca="false">IF($B38="","",IF(H$5&lt;=Projects!$C$2,IF(OR(IF($D38="",FALSE(),AND(H$5&gt;=DATE(YEAR($D38),MONTH($D38),1),H$5&lt;=$E38)),N('WIP Log'!F38)&lt;&gt;0),N('WIP Log'!F38),""),IF(IF($D38="",FALSE(),AND(H$5&gt;=DATE(YEAR($D38),MONTH($D38),1),H$5&lt;=$E38)),'Phased Budget'!J38,"")))</f>
        <v/>
      </c>
      <c r="I38" s="42" t="str">
        <f aca="false">IF($B38="","",IF(I$5&lt;=Projects!$C$2,IF(OR(IF($D38="",FALSE(),AND(I$5&gt;=DATE(YEAR($D38),MONTH($D38),1),I$5&lt;=$E38)),N('WIP Log'!G38)&lt;&gt;0),N('WIP Log'!G38),""),IF(IF($D38="",FALSE(),AND(I$5&gt;=DATE(YEAR($D38),MONTH($D38),1),I$5&lt;=$E38)),'Phased Budget'!K38,"")))</f>
        <v/>
      </c>
      <c r="J38" s="42" t="str">
        <f aca="false">IF($B38="","",IF(J$5&lt;=Projects!$C$2,IF(OR(IF($D38="",FALSE(),AND(J$5&gt;=DATE(YEAR($D38),MONTH($D38),1),J$5&lt;=$E38)),N('WIP Log'!H38)&lt;&gt;0),N('WIP Log'!H38),""),IF(IF($D38="",FALSE(),AND(J$5&gt;=DATE(YEAR($D38),MONTH($D38),1),J$5&lt;=$E38)),'Phased Budget'!L38,"")))</f>
        <v/>
      </c>
      <c r="K38" s="42" t="str">
        <f aca="false">IF($B38="","",IF(K$5&lt;=Projects!$C$2,IF(OR(IF($D38="",FALSE(),AND(K$5&gt;=DATE(YEAR($D38),MONTH($D38),1),K$5&lt;=$E38)),N('WIP Log'!I38)&lt;&gt;0),N('WIP Log'!I38),""),IF(IF($D38="",FALSE(),AND(K$5&gt;=DATE(YEAR($D38),MONTH($D38),1),K$5&lt;=$E38)),'Phased Budget'!M38,"")))</f>
        <v/>
      </c>
      <c r="L38" s="42" t="str">
        <f aca="false">IF($B38="","",IF(L$5&lt;=Projects!$C$2,IF(OR(IF($D38="",FALSE(),AND(L$5&gt;=DATE(YEAR($D38),MONTH($D38),1),L$5&lt;=$E38)),N('WIP Log'!J38)&lt;&gt;0),N('WIP Log'!J38),""),IF(IF($D38="",FALSE(),AND(L$5&gt;=DATE(YEAR($D38),MONTH($D38),1),L$5&lt;=$E38)),'Phased Budget'!N38,"")))</f>
        <v/>
      </c>
      <c r="M38" s="42" t="str">
        <f aca="false">IF($B38="","",IF(M$5&lt;=Projects!$C$2,IF(OR(IF($D38="",FALSE(),AND(M$5&gt;=DATE(YEAR($D38),MONTH($D38),1),M$5&lt;=$E38)),N('WIP Log'!K38)&lt;&gt;0),N('WIP Log'!K38),""),IF(IF($D38="",FALSE(),AND(M$5&gt;=DATE(YEAR($D38),MONTH($D38),1),M$5&lt;=$E38)),'Phased Budget'!O38,"")))</f>
        <v/>
      </c>
      <c r="N38" s="42" t="str">
        <f aca="false">IF($B38="","",IF(N$5&lt;=Projects!$C$2,IF(OR(IF($D38="",FALSE(),AND(N$5&gt;=DATE(YEAR($D38),MONTH($D38),1),N$5&lt;=$E38)),N('WIP Log'!L38)&lt;&gt;0),N('WIP Log'!L38),""),IF(IF($D38="",FALSE(),AND(N$5&gt;=DATE(YEAR($D38),MONTH($D38),1),N$5&lt;=$E38)),'Phased Budget'!P38,"")))</f>
        <v/>
      </c>
      <c r="O38" s="42" t="str">
        <f aca="false">IF($B38="","",IF(O$5&lt;=Projects!$C$2,IF(OR(IF($D38="",FALSE(),AND(O$5&gt;=DATE(YEAR($D38),MONTH($D38),1),O$5&lt;=$E38)),N('WIP Log'!M38)&lt;&gt;0),N('WIP Log'!M38),""),IF(IF($D38="",FALSE(),AND(O$5&gt;=DATE(YEAR($D38),MONTH($D38),1),O$5&lt;=$E38)),'Phased Budget'!Q38,"")))</f>
        <v/>
      </c>
      <c r="P38" s="42" t="str">
        <f aca="false">IF($B38="","",IF(P$5&lt;=Projects!$C$2,IF(OR(IF($D38="",FALSE(),AND(P$5&gt;=DATE(YEAR($D38),MONTH($D38),1),P$5&lt;=$E38)),N('WIP Log'!N38)&lt;&gt;0),N('WIP Log'!N38),""),IF(IF($D38="",FALSE(),AND(P$5&gt;=DATE(YEAR($D38),MONTH($D38),1),P$5&lt;=$E38)),'Phased Budget'!R38,"")))</f>
        <v/>
      </c>
      <c r="Q38" s="42" t="str">
        <f aca="false">IF($B38="","",IF(Q$5&lt;=Projects!$C$2,IF(OR(IF($D38="",FALSE(),AND(Q$5&gt;=DATE(YEAR($D38),MONTH($D38),1),Q$5&lt;=$E38)),N('WIP Log'!O38)&lt;&gt;0),N('WIP Log'!O38),""),IF(IF($D38="",FALSE(),AND(Q$5&gt;=DATE(YEAR($D38),MONTH($D38),1),Q$5&lt;=$E38)),'Phased Budget'!S38,"")))</f>
        <v/>
      </c>
      <c r="R38" s="42" t="str">
        <f aca="false">IF($B38="","",IF(R$5&lt;=Projects!$C$2,IF(OR(IF($D38="",FALSE(),AND(R$5&gt;=DATE(YEAR($D38),MONTH($D38),1),R$5&lt;=$E38)),N('WIP Log'!P38)&lt;&gt;0),N('WIP Log'!P38),""),IF(IF($D38="",FALSE(),AND(R$5&gt;=DATE(YEAR($D38),MONTH($D38),1),R$5&lt;=$E38)),'Phased Budget'!T38,"")))</f>
        <v/>
      </c>
      <c r="S38" s="42" t="str">
        <f aca="false">IF($B38="","",IF(S$5&lt;=Projects!$C$2,IF(OR(IF($D38="",FALSE(),AND(S$5&gt;=DATE(YEAR($D38),MONTH($D38),1),S$5&lt;=$E38)),N('WIP Log'!Q38)&lt;&gt;0),N('WIP Log'!Q38),""),IF(IF($D38="",FALSE(),AND(S$5&gt;=DATE(YEAR($D38),MONTH($D38),1),S$5&lt;=$E38)),'Phased Budget'!U38,"")))</f>
        <v/>
      </c>
      <c r="T38" s="42" t="str">
        <f aca="false">IF($B38="","",IF(T$5&lt;=Projects!$C$2,IF(OR(IF($D38="",FALSE(),AND(T$5&gt;=DATE(YEAR($D38),MONTH($D38),1),T$5&lt;=$E38)),N('WIP Log'!R38)&lt;&gt;0),N('WIP Log'!R38),""),IF(IF($D38="",FALSE(),AND(T$5&gt;=DATE(YEAR($D38),MONTH($D38),1),T$5&lt;=$E38)),'Phased Budget'!V38,"")))</f>
        <v/>
      </c>
      <c r="U38" s="42" t="str">
        <f aca="false">IF($B38="","",IF(U$5&lt;=Projects!$C$2,IF(OR(IF($D38="",FALSE(),AND(U$5&gt;=DATE(YEAR($D38),MONTH($D38),1),U$5&lt;=$E38)),N('WIP Log'!S38)&lt;&gt;0),N('WIP Log'!S38),""),IF(IF($D38="",FALSE(),AND(U$5&gt;=DATE(YEAR($D38),MONTH($D38),1),U$5&lt;=$E38)),'Phased Budget'!W38,"")))</f>
        <v/>
      </c>
      <c r="V38" s="42" t="str">
        <f aca="false">IF($B38="","",IF(V$5&lt;=Projects!$C$2,IF(OR(IF($D38="",FALSE(),AND(V$5&gt;=DATE(YEAR($D38),MONTH($D38),1),V$5&lt;=$E38)),N('WIP Log'!T38)&lt;&gt;0),N('WIP Log'!T38),""),IF(IF($D38="",FALSE(),AND(V$5&gt;=DATE(YEAR($D38),MONTH($D38),1),V$5&lt;=$E38)),'Phased Budget'!X38,"")))</f>
        <v/>
      </c>
      <c r="W38" s="42" t="str">
        <f aca="false">IF($B38="","",IF(W$5&lt;=Projects!$C$2,IF(OR(IF($D38="",FALSE(),AND(W$5&gt;=DATE(YEAR($D38),MONTH($D38),1),W$5&lt;=$E38)),N('WIP Log'!U38)&lt;&gt;0),N('WIP Log'!U38),""),IF(IF($D38="",FALSE(),AND(W$5&gt;=DATE(YEAR($D38),MONTH($D38),1),W$5&lt;=$E38)),'Phased Budget'!Y38,"")))</f>
        <v/>
      </c>
      <c r="X38" s="42" t="str">
        <f aca="false">IF($B38="","",IF(X$5&lt;=Projects!$C$2,IF(OR(IF($D38="",FALSE(),AND(X$5&gt;=DATE(YEAR($D38),MONTH($D38),1),X$5&lt;=$E38)),N('WIP Log'!V38)&lt;&gt;0),N('WIP Log'!V38),""),IF(IF($D38="",FALSE(),AND(X$5&gt;=DATE(YEAR($D38),MONTH($D38),1),X$5&lt;=$E38)),'Phased Budget'!Z38,"")))</f>
        <v/>
      </c>
      <c r="Y38" s="42" t="str">
        <f aca="false">IF($B38="","",IF(Y$5&lt;=Projects!$C$2,IF(OR(IF($D38="",FALSE(),AND(Y$5&gt;=DATE(YEAR($D38),MONTH($D38),1),Y$5&lt;=$E38)),N('WIP Log'!W38)&lt;&gt;0),N('WIP Log'!W38),""),IF(IF($D38="",FALSE(),AND(Y$5&gt;=DATE(YEAR($D38),MONTH($D38),1),Y$5&lt;=$E38)),'Phased Budget'!AA38,"")))</f>
        <v/>
      </c>
      <c r="Z38" s="42" t="str">
        <f aca="false">IF($B38="","",IF(Z$5&lt;=Projects!$C$2,IF(OR(IF($D38="",FALSE(),AND(Z$5&gt;=DATE(YEAR($D38),MONTH($D38),1),Z$5&lt;=$E38)),N('WIP Log'!X38)&lt;&gt;0),N('WIP Log'!X38),""),IF(IF($D38="",FALSE(),AND(Z$5&gt;=DATE(YEAR($D38),MONTH($D38),1),Z$5&lt;=$E38)),'Phased Budget'!AB38,"")))</f>
        <v/>
      </c>
      <c r="AA38" s="42" t="str">
        <f aca="false">IF($B38="","",IF(AA$5&lt;=Projects!$C$2,IF(OR(IF($D38="",FALSE(),AND(AA$5&gt;=DATE(YEAR($D38),MONTH($D38),1),AA$5&lt;=$E38)),N('WIP Log'!Y38)&lt;&gt;0),N('WIP Log'!Y38),""),IF(IF($D38="",FALSE(),AND(AA$5&gt;=DATE(YEAR($D38),MONTH($D38),1),AA$5&lt;=$E38)),'Phased Budget'!AC38,"")))</f>
        <v/>
      </c>
      <c r="AB38" s="42" t="str">
        <f aca="false">IF($B38="","",IF(AB$5&lt;=Projects!$C$2,IF(OR(IF($D38="",FALSE(),AND(AB$5&gt;=DATE(YEAR($D38),MONTH($D38),1),AB$5&lt;=$E38)),N('WIP Log'!Z38)&lt;&gt;0),N('WIP Log'!Z38),""),IF(IF($D38="",FALSE(),AND(AB$5&gt;=DATE(YEAR($D38),MONTH($D38),1),AB$5&lt;=$E38)),'Phased Budget'!AD38,"")))</f>
        <v/>
      </c>
      <c r="AC38" s="42" t="str">
        <f aca="false">IF($B38="","",IF(AC$5&lt;=Projects!$C$2,IF(OR(IF($D38="",FALSE(),AND(AC$5&gt;=DATE(YEAR($D38),MONTH($D38),1),AC$5&lt;=$E38)),N('WIP Log'!AA38)&lt;&gt;0),N('WIP Log'!AA38),""),IF(IF($D38="",FALSE(),AND(AC$5&gt;=DATE(YEAR($D38),MONTH($D38),1),AC$5&lt;=$E38)),'Phased Budget'!AE38,"")))</f>
        <v/>
      </c>
      <c r="AD38" s="42" t="str">
        <f aca="false">IF($B38="","",IF(AD$5&lt;=Projects!$C$2,IF(OR(IF($D38="",FALSE(),AND(AD$5&gt;=DATE(YEAR($D38),MONTH($D38),1),AD$5&lt;=$E38)),N('WIP Log'!AB38)&lt;&gt;0),N('WIP Log'!AB38),""),IF(IF($D38="",FALSE(),AND(AD$5&gt;=DATE(YEAR($D38),MONTH($D38),1),AD$5&lt;=$E38)),'Phased Budget'!AF38,"")))</f>
        <v/>
      </c>
      <c r="AE38" s="42" t="str">
        <f aca="false">IF($B38="","",IF(AE$5&lt;=Projects!$C$2,IF(OR(IF($D38="",FALSE(),AND(AE$5&gt;=DATE(YEAR($D38),MONTH($D38),1),AE$5&lt;=$E38)),N('WIP Log'!AC38)&lt;&gt;0),N('WIP Log'!AC38),""),IF(IF($D38="",FALSE(),AND(AE$5&gt;=DATE(YEAR($D38),MONTH($D38),1),AE$5&lt;=$E38)),'Phased Budget'!AG38,"")))</f>
        <v/>
      </c>
      <c r="AF38" s="42" t="str">
        <f aca="false">IF($B38="","",IF(AF$5&lt;=Projects!$C$2,IF(OR(IF($D38="",FALSE(),AND(AF$5&gt;=DATE(YEAR($D38),MONTH($D38),1),AF$5&lt;=$E38)),N('WIP Log'!AD38)&lt;&gt;0),N('WIP Log'!AD38),""),IF(IF($D38="",FALSE(),AND(AF$5&gt;=DATE(YEAR($D38),MONTH($D38),1),AF$5&lt;=$E38)),'Phased Budget'!AH38,"")))</f>
        <v/>
      </c>
      <c r="AG38" s="42" t="str">
        <f aca="false">IF($B38="","",IF(AG$5&lt;=Projects!$C$2,IF(OR(IF($D38="",FALSE(),AND(AG$5&gt;=DATE(YEAR($D38),MONTH($D38),1),AG$5&lt;=$E38)),N('WIP Log'!AE38)&lt;&gt;0),N('WIP Log'!AE38),""),IF(IF($D38="",FALSE(),AND(AG$5&gt;=DATE(YEAR($D38),MONTH($D38),1),AG$5&lt;=$E38)),'Phased Budget'!AI38,"")))</f>
        <v/>
      </c>
      <c r="AH38" s="42" t="str">
        <f aca="false">IF($B38="","",IF(AH$5&lt;=Projects!$C$2,IF(OR(IF($D38="",FALSE(),AND(AH$5&gt;=DATE(YEAR($D38),MONTH($D38),1),AH$5&lt;=$E38)),N('WIP Log'!AF38)&lt;&gt;0),N('WIP Log'!AF38),""),IF(IF($D38="",FALSE(),AND(AH$5&gt;=DATE(YEAR($D38),MONTH($D38),1),AH$5&lt;=$E38)),'Phased Budget'!AJ38,"")))</f>
        <v/>
      </c>
      <c r="AI38" s="42" t="str">
        <f aca="false">IF($B38="","",IF(AI$5&lt;=Projects!$C$2,IF(OR(IF($D38="",FALSE(),AND(AI$5&gt;=DATE(YEAR($D38),MONTH($D38),1),AI$5&lt;=$E38)),N('WIP Log'!AG38)&lt;&gt;0),N('WIP Log'!AG38),""),IF(IF($D38="",FALSE(),AND(AI$5&gt;=DATE(YEAR($D38),MONTH($D38),1),AI$5&lt;=$E38)),'Phased Budget'!AK38,"")))</f>
        <v/>
      </c>
      <c r="AJ38" s="42" t="str">
        <f aca="false">IF($B38="","",IF(AJ$5&lt;=Projects!$C$2,IF(OR(IF($D38="",FALSE(),AND(AJ$5&gt;=DATE(YEAR($D38),MONTH($D38),1),AJ$5&lt;=$E38)),N('WIP Log'!AH38)&lt;&gt;0),N('WIP Log'!AH38),""),IF(IF($D38="",FALSE(),AND(AJ$5&gt;=DATE(YEAR($D38),MONTH($D38),1),AJ$5&lt;=$E38)),'Phased Budget'!AL38,"")))</f>
        <v/>
      </c>
      <c r="AK38" s="42" t="str">
        <f aca="false">IF($B38="","",IF(AK$5&lt;=Projects!$C$2,IF(OR(IF($D38="",FALSE(),AND(AK$5&gt;=DATE(YEAR($D38),MONTH($D38),1),AK$5&lt;=$E38)),N('WIP Log'!AI38)&lt;&gt;0),N('WIP Log'!AI38),""),IF(IF($D38="",FALSE(),AND(AK$5&gt;=DATE(YEAR($D38),MONTH($D38),1),AK$5&lt;=$E38)),'Phased Budget'!AM38,"")))</f>
        <v/>
      </c>
      <c r="AL38" s="42" t="str">
        <f aca="false">IF($B38="","",IF(AL$5&lt;=Projects!$C$2,IF(OR(IF($D38="",FALSE(),AND(AL$5&gt;=DATE(YEAR($D38),MONTH($D38),1),AL$5&lt;=$E38)),N('WIP Log'!AJ38)&lt;&gt;0),N('WIP Log'!AJ38),""),IF(IF($D38="",FALSE(),AND(AL$5&gt;=DATE(YEAR($D38),MONTH($D38),1),AL$5&lt;=$E38)),'Phased Budget'!AN38,"")))</f>
        <v/>
      </c>
      <c r="AM38" s="42" t="str">
        <f aca="false">IF($B38="","",IF(AM$5&lt;=Projects!$C$2,IF(OR(IF($D38="",FALSE(),AND(AM$5&gt;=DATE(YEAR($D38),MONTH($D38),1),AM$5&lt;=$E38)),N('WIP Log'!AK38)&lt;&gt;0),N('WIP Log'!AK38),""),IF(IF($D38="",FALSE(),AND(AM$5&gt;=DATE(YEAR($D38),MONTH($D38),1),AM$5&lt;=$E38)),'Phased Budget'!AO38,"")))</f>
        <v/>
      </c>
      <c r="AN38" s="42" t="str">
        <f aca="false">IF($B38="","",IF(AN$5&lt;=Projects!$C$2,IF(OR(IF($D38="",FALSE(),AND(AN$5&gt;=DATE(YEAR($D38),MONTH($D38),1),AN$5&lt;=$E38)),N('WIP Log'!AL38)&lt;&gt;0),N('WIP Log'!AL38),""),IF(IF($D38="",FALSE(),AND(AN$5&gt;=DATE(YEAR($D38),MONTH($D38),1),AN$5&lt;=$E38)),'Phased Budget'!AP38,"")))</f>
        <v/>
      </c>
      <c r="AO38" s="42" t="str">
        <f aca="false">IF($B38="","",IF(AO$5&lt;=Projects!$C$2,IF(OR(IF($D38="",FALSE(),AND(AO$5&gt;=DATE(YEAR($D38),MONTH($D38),1),AO$5&lt;=$E38)),N('WIP Log'!AM38)&lt;&gt;0),N('WIP Log'!AM38),""),IF(IF($D38="",FALSE(),AND(AO$5&gt;=DATE(YEAR($D38),MONTH($D38),1),AO$5&lt;=$E38)),'Phased Budget'!AQ38,"")))</f>
        <v/>
      </c>
    </row>
    <row r="39" customFormat="false" ht="15" hidden="false" customHeight="false" outlineLevel="0" collapsed="false">
      <c r="A39" s="20" t="n">
        <v>34</v>
      </c>
      <c r="B39" s="40" t="str">
        <f aca="false">IF(Projects!B39="","",Projects!B39)</f>
        <v/>
      </c>
      <c r="C39" s="40" t="str">
        <f aca="false">IF(Projects!C39="","",Projects!C39)</f>
        <v/>
      </c>
      <c r="D39" s="41" t="str">
        <f aca="false">IF(Projects!D39="","",Projects!D39)</f>
        <v/>
      </c>
      <c r="E39" s="41" t="str">
        <f aca="false">IF(Projects!F39="","",Projects!F39)</f>
        <v/>
      </c>
      <c r="F39" s="42" t="str">
        <f aca="false">IF($B39="","",IF(F$5&lt;=Projects!$C$2,IF(OR(IF($D39="",FALSE(),AND(F$5&gt;=DATE(YEAR($D39),MONTH($D39),1),F$5&lt;=$E39)),N('WIP Log'!D39)&lt;&gt;0),N('WIP Log'!D39),""),IF(IF($D39="",FALSE(),AND(F$5&gt;=DATE(YEAR($D39),MONTH($D39),1),F$5&lt;=$E39)),'Phased Budget'!H39,"")))</f>
        <v/>
      </c>
      <c r="G39" s="42" t="str">
        <f aca="false">IF($B39="","",IF(G$5&lt;=Projects!$C$2,IF(OR(IF($D39="",FALSE(),AND(G$5&gt;=DATE(YEAR($D39),MONTH($D39),1),G$5&lt;=$E39)),N('WIP Log'!E39)&lt;&gt;0),N('WIP Log'!E39),""),IF(IF($D39="",FALSE(),AND(G$5&gt;=DATE(YEAR($D39),MONTH($D39),1),G$5&lt;=$E39)),'Phased Budget'!I39,"")))</f>
        <v/>
      </c>
      <c r="H39" s="42" t="str">
        <f aca="false">IF($B39="","",IF(H$5&lt;=Projects!$C$2,IF(OR(IF($D39="",FALSE(),AND(H$5&gt;=DATE(YEAR($D39),MONTH($D39),1),H$5&lt;=$E39)),N('WIP Log'!F39)&lt;&gt;0),N('WIP Log'!F39),""),IF(IF($D39="",FALSE(),AND(H$5&gt;=DATE(YEAR($D39),MONTH($D39),1),H$5&lt;=$E39)),'Phased Budget'!J39,"")))</f>
        <v/>
      </c>
      <c r="I39" s="42" t="str">
        <f aca="false">IF($B39="","",IF(I$5&lt;=Projects!$C$2,IF(OR(IF($D39="",FALSE(),AND(I$5&gt;=DATE(YEAR($D39),MONTH($D39),1),I$5&lt;=$E39)),N('WIP Log'!G39)&lt;&gt;0),N('WIP Log'!G39),""),IF(IF($D39="",FALSE(),AND(I$5&gt;=DATE(YEAR($D39),MONTH($D39),1),I$5&lt;=$E39)),'Phased Budget'!K39,"")))</f>
        <v/>
      </c>
      <c r="J39" s="42" t="str">
        <f aca="false">IF($B39="","",IF(J$5&lt;=Projects!$C$2,IF(OR(IF($D39="",FALSE(),AND(J$5&gt;=DATE(YEAR($D39),MONTH($D39),1),J$5&lt;=$E39)),N('WIP Log'!H39)&lt;&gt;0),N('WIP Log'!H39),""),IF(IF($D39="",FALSE(),AND(J$5&gt;=DATE(YEAR($D39),MONTH($D39),1),J$5&lt;=$E39)),'Phased Budget'!L39,"")))</f>
        <v/>
      </c>
      <c r="K39" s="42" t="str">
        <f aca="false">IF($B39="","",IF(K$5&lt;=Projects!$C$2,IF(OR(IF($D39="",FALSE(),AND(K$5&gt;=DATE(YEAR($D39),MONTH($D39),1),K$5&lt;=$E39)),N('WIP Log'!I39)&lt;&gt;0),N('WIP Log'!I39),""),IF(IF($D39="",FALSE(),AND(K$5&gt;=DATE(YEAR($D39),MONTH($D39),1),K$5&lt;=$E39)),'Phased Budget'!M39,"")))</f>
        <v/>
      </c>
      <c r="L39" s="42" t="str">
        <f aca="false">IF($B39="","",IF(L$5&lt;=Projects!$C$2,IF(OR(IF($D39="",FALSE(),AND(L$5&gt;=DATE(YEAR($D39),MONTH($D39),1),L$5&lt;=$E39)),N('WIP Log'!J39)&lt;&gt;0),N('WIP Log'!J39),""),IF(IF($D39="",FALSE(),AND(L$5&gt;=DATE(YEAR($D39),MONTH($D39),1),L$5&lt;=$E39)),'Phased Budget'!N39,"")))</f>
        <v/>
      </c>
      <c r="M39" s="42" t="str">
        <f aca="false">IF($B39="","",IF(M$5&lt;=Projects!$C$2,IF(OR(IF($D39="",FALSE(),AND(M$5&gt;=DATE(YEAR($D39),MONTH($D39),1),M$5&lt;=$E39)),N('WIP Log'!K39)&lt;&gt;0),N('WIP Log'!K39),""),IF(IF($D39="",FALSE(),AND(M$5&gt;=DATE(YEAR($D39),MONTH($D39),1),M$5&lt;=$E39)),'Phased Budget'!O39,"")))</f>
        <v/>
      </c>
      <c r="N39" s="42" t="str">
        <f aca="false">IF($B39="","",IF(N$5&lt;=Projects!$C$2,IF(OR(IF($D39="",FALSE(),AND(N$5&gt;=DATE(YEAR($D39),MONTH($D39),1),N$5&lt;=$E39)),N('WIP Log'!L39)&lt;&gt;0),N('WIP Log'!L39),""),IF(IF($D39="",FALSE(),AND(N$5&gt;=DATE(YEAR($D39),MONTH($D39),1),N$5&lt;=$E39)),'Phased Budget'!P39,"")))</f>
        <v/>
      </c>
      <c r="O39" s="42" t="str">
        <f aca="false">IF($B39="","",IF(O$5&lt;=Projects!$C$2,IF(OR(IF($D39="",FALSE(),AND(O$5&gt;=DATE(YEAR($D39),MONTH($D39),1),O$5&lt;=$E39)),N('WIP Log'!M39)&lt;&gt;0),N('WIP Log'!M39),""),IF(IF($D39="",FALSE(),AND(O$5&gt;=DATE(YEAR($D39),MONTH($D39),1),O$5&lt;=$E39)),'Phased Budget'!Q39,"")))</f>
        <v/>
      </c>
      <c r="P39" s="42" t="str">
        <f aca="false">IF($B39="","",IF(P$5&lt;=Projects!$C$2,IF(OR(IF($D39="",FALSE(),AND(P$5&gt;=DATE(YEAR($D39),MONTH($D39),1),P$5&lt;=$E39)),N('WIP Log'!N39)&lt;&gt;0),N('WIP Log'!N39),""),IF(IF($D39="",FALSE(),AND(P$5&gt;=DATE(YEAR($D39),MONTH($D39),1),P$5&lt;=$E39)),'Phased Budget'!R39,"")))</f>
        <v/>
      </c>
      <c r="Q39" s="42" t="str">
        <f aca="false">IF($B39="","",IF(Q$5&lt;=Projects!$C$2,IF(OR(IF($D39="",FALSE(),AND(Q$5&gt;=DATE(YEAR($D39),MONTH($D39),1),Q$5&lt;=$E39)),N('WIP Log'!O39)&lt;&gt;0),N('WIP Log'!O39),""),IF(IF($D39="",FALSE(),AND(Q$5&gt;=DATE(YEAR($D39),MONTH($D39),1),Q$5&lt;=$E39)),'Phased Budget'!S39,"")))</f>
        <v/>
      </c>
      <c r="R39" s="42" t="str">
        <f aca="false">IF($B39="","",IF(R$5&lt;=Projects!$C$2,IF(OR(IF($D39="",FALSE(),AND(R$5&gt;=DATE(YEAR($D39),MONTH($D39),1),R$5&lt;=$E39)),N('WIP Log'!P39)&lt;&gt;0),N('WIP Log'!P39),""),IF(IF($D39="",FALSE(),AND(R$5&gt;=DATE(YEAR($D39),MONTH($D39),1),R$5&lt;=$E39)),'Phased Budget'!T39,"")))</f>
        <v/>
      </c>
      <c r="S39" s="42" t="str">
        <f aca="false">IF($B39="","",IF(S$5&lt;=Projects!$C$2,IF(OR(IF($D39="",FALSE(),AND(S$5&gt;=DATE(YEAR($D39),MONTH($D39),1),S$5&lt;=$E39)),N('WIP Log'!Q39)&lt;&gt;0),N('WIP Log'!Q39),""),IF(IF($D39="",FALSE(),AND(S$5&gt;=DATE(YEAR($D39),MONTH($D39),1),S$5&lt;=$E39)),'Phased Budget'!U39,"")))</f>
        <v/>
      </c>
      <c r="T39" s="42" t="str">
        <f aca="false">IF($B39="","",IF(T$5&lt;=Projects!$C$2,IF(OR(IF($D39="",FALSE(),AND(T$5&gt;=DATE(YEAR($D39),MONTH($D39),1),T$5&lt;=$E39)),N('WIP Log'!R39)&lt;&gt;0),N('WIP Log'!R39),""),IF(IF($D39="",FALSE(),AND(T$5&gt;=DATE(YEAR($D39),MONTH($D39),1),T$5&lt;=$E39)),'Phased Budget'!V39,"")))</f>
        <v/>
      </c>
      <c r="U39" s="42" t="str">
        <f aca="false">IF($B39="","",IF(U$5&lt;=Projects!$C$2,IF(OR(IF($D39="",FALSE(),AND(U$5&gt;=DATE(YEAR($D39),MONTH($D39),1),U$5&lt;=$E39)),N('WIP Log'!S39)&lt;&gt;0),N('WIP Log'!S39),""),IF(IF($D39="",FALSE(),AND(U$5&gt;=DATE(YEAR($D39),MONTH($D39),1),U$5&lt;=$E39)),'Phased Budget'!W39,"")))</f>
        <v/>
      </c>
      <c r="V39" s="42" t="str">
        <f aca="false">IF($B39="","",IF(V$5&lt;=Projects!$C$2,IF(OR(IF($D39="",FALSE(),AND(V$5&gt;=DATE(YEAR($D39),MONTH($D39),1),V$5&lt;=$E39)),N('WIP Log'!T39)&lt;&gt;0),N('WIP Log'!T39),""),IF(IF($D39="",FALSE(),AND(V$5&gt;=DATE(YEAR($D39),MONTH($D39),1),V$5&lt;=$E39)),'Phased Budget'!X39,"")))</f>
        <v/>
      </c>
      <c r="W39" s="42" t="str">
        <f aca="false">IF($B39="","",IF(W$5&lt;=Projects!$C$2,IF(OR(IF($D39="",FALSE(),AND(W$5&gt;=DATE(YEAR($D39),MONTH($D39),1),W$5&lt;=$E39)),N('WIP Log'!U39)&lt;&gt;0),N('WIP Log'!U39),""),IF(IF($D39="",FALSE(),AND(W$5&gt;=DATE(YEAR($D39),MONTH($D39),1),W$5&lt;=$E39)),'Phased Budget'!Y39,"")))</f>
        <v/>
      </c>
      <c r="X39" s="42" t="str">
        <f aca="false">IF($B39="","",IF(X$5&lt;=Projects!$C$2,IF(OR(IF($D39="",FALSE(),AND(X$5&gt;=DATE(YEAR($D39),MONTH($D39),1),X$5&lt;=$E39)),N('WIP Log'!V39)&lt;&gt;0),N('WIP Log'!V39),""),IF(IF($D39="",FALSE(),AND(X$5&gt;=DATE(YEAR($D39),MONTH($D39),1),X$5&lt;=$E39)),'Phased Budget'!Z39,"")))</f>
        <v/>
      </c>
      <c r="Y39" s="42" t="str">
        <f aca="false">IF($B39="","",IF(Y$5&lt;=Projects!$C$2,IF(OR(IF($D39="",FALSE(),AND(Y$5&gt;=DATE(YEAR($D39),MONTH($D39),1),Y$5&lt;=$E39)),N('WIP Log'!W39)&lt;&gt;0),N('WIP Log'!W39),""),IF(IF($D39="",FALSE(),AND(Y$5&gt;=DATE(YEAR($D39),MONTH($D39),1),Y$5&lt;=$E39)),'Phased Budget'!AA39,"")))</f>
        <v/>
      </c>
      <c r="Z39" s="42" t="str">
        <f aca="false">IF($B39="","",IF(Z$5&lt;=Projects!$C$2,IF(OR(IF($D39="",FALSE(),AND(Z$5&gt;=DATE(YEAR($D39),MONTH($D39),1),Z$5&lt;=$E39)),N('WIP Log'!X39)&lt;&gt;0),N('WIP Log'!X39),""),IF(IF($D39="",FALSE(),AND(Z$5&gt;=DATE(YEAR($D39),MONTH($D39),1),Z$5&lt;=$E39)),'Phased Budget'!AB39,"")))</f>
        <v/>
      </c>
      <c r="AA39" s="42" t="str">
        <f aca="false">IF($B39="","",IF(AA$5&lt;=Projects!$C$2,IF(OR(IF($D39="",FALSE(),AND(AA$5&gt;=DATE(YEAR($D39),MONTH($D39),1),AA$5&lt;=$E39)),N('WIP Log'!Y39)&lt;&gt;0),N('WIP Log'!Y39),""),IF(IF($D39="",FALSE(),AND(AA$5&gt;=DATE(YEAR($D39),MONTH($D39),1),AA$5&lt;=$E39)),'Phased Budget'!AC39,"")))</f>
        <v/>
      </c>
      <c r="AB39" s="42" t="str">
        <f aca="false">IF($B39="","",IF(AB$5&lt;=Projects!$C$2,IF(OR(IF($D39="",FALSE(),AND(AB$5&gt;=DATE(YEAR($D39),MONTH($D39),1),AB$5&lt;=$E39)),N('WIP Log'!Z39)&lt;&gt;0),N('WIP Log'!Z39),""),IF(IF($D39="",FALSE(),AND(AB$5&gt;=DATE(YEAR($D39),MONTH($D39),1),AB$5&lt;=$E39)),'Phased Budget'!AD39,"")))</f>
        <v/>
      </c>
      <c r="AC39" s="42" t="str">
        <f aca="false">IF($B39="","",IF(AC$5&lt;=Projects!$C$2,IF(OR(IF($D39="",FALSE(),AND(AC$5&gt;=DATE(YEAR($D39),MONTH($D39),1),AC$5&lt;=$E39)),N('WIP Log'!AA39)&lt;&gt;0),N('WIP Log'!AA39),""),IF(IF($D39="",FALSE(),AND(AC$5&gt;=DATE(YEAR($D39),MONTH($D39),1),AC$5&lt;=$E39)),'Phased Budget'!AE39,"")))</f>
        <v/>
      </c>
      <c r="AD39" s="42" t="str">
        <f aca="false">IF($B39="","",IF(AD$5&lt;=Projects!$C$2,IF(OR(IF($D39="",FALSE(),AND(AD$5&gt;=DATE(YEAR($D39),MONTH($D39),1),AD$5&lt;=$E39)),N('WIP Log'!AB39)&lt;&gt;0),N('WIP Log'!AB39),""),IF(IF($D39="",FALSE(),AND(AD$5&gt;=DATE(YEAR($D39),MONTH($D39),1),AD$5&lt;=$E39)),'Phased Budget'!AF39,"")))</f>
        <v/>
      </c>
      <c r="AE39" s="42" t="str">
        <f aca="false">IF($B39="","",IF(AE$5&lt;=Projects!$C$2,IF(OR(IF($D39="",FALSE(),AND(AE$5&gt;=DATE(YEAR($D39),MONTH($D39),1),AE$5&lt;=$E39)),N('WIP Log'!AC39)&lt;&gt;0),N('WIP Log'!AC39),""),IF(IF($D39="",FALSE(),AND(AE$5&gt;=DATE(YEAR($D39),MONTH($D39),1),AE$5&lt;=$E39)),'Phased Budget'!AG39,"")))</f>
        <v/>
      </c>
      <c r="AF39" s="42" t="str">
        <f aca="false">IF($B39="","",IF(AF$5&lt;=Projects!$C$2,IF(OR(IF($D39="",FALSE(),AND(AF$5&gt;=DATE(YEAR($D39),MONTH($D39),1),AF$5&lt;=$E39)),N('WIP Log'!AD39)&lt;&gt;0),N('WIP Log'!AD39),""),IF(IF($D39="",FALSE(),AND(AF$5&gt;=DATE(YEAR($D39),MONTH($D39),1),AF$5&lt;=$E39)),'Phased Budget'!AH39,"")))</f>
        <v/>
      </c>
      <c r="AG39" s="42" t="str">
        <f aca="false">IF($B39="","",IF(AG$5&lt;=Projects!$C$2,IF(OR(IF($D39="",FALSE(),AND(AG$5&gt;=DATE(YEAR($D39),MONTH($D39),1),AG$5&lt;=$E39)),N('WIP Log'!AE39)&lt;&gt;0),N('WIP Log'!AE39),""),IF(IF($D39="",FALSE(),AND(AG$5&gt;=DATE(YEAR($D39),MONTH($D39),1),AG$5&lt;=$E39)),'Phased Budget'!AI39,"")))</f>
        <v/>
      </c>
      <c r="AH39" s="42" t="str">
        <f aca="false">IF($B39="","",IF(AH$5&lt;=Projects!$C$2,IF(OR(IF($D39="",FALSE(),AND(AH$5&gt;=DATE(YEAR($D39),MONTH($D39),1),AH$5&lt;=$E39)),N('WIP Log'!AF39)&lt;&gt;0),N('WIP Log'!AF39),""),IF(IF($D39="",FALSE(),AND(AH$5&gt;=DATE(YEAR($D39),MONTH($D39),1),AH$5&lt;=$E39)),'Phased Budget'!AJ39,"")))</f>
        <v/>
      </c>
      <c r="AI39" s="42" t="str">
        <f aca="false">IF($B39="","",IF(AI$5&lt;=Projects!$C$2,IF(OR(IF($D39="",FALSE(),AND(AI$5&gt;=DATE(YEAR($D39),MONTH($D39),1),AI$5&lt;=$E39)),N('WIP Log'!AG39)&lt;&gt;0),N('WIP Log'!AG39),""),IF(IF($D39="",FALSE(),AND(AI$5&gt;=DATE(YEAR($D39),MONTH($D39),1),AI$5&lt;=$E39)),'Phased Budget'!AK39,"")))</f>
        <v/>
      </c>
      <c r="AJ39" s="42" t="str">
        <f aca="false">IF($B39="","",IF(AJ$5&lt;=Projects!$C$2,IF(OR(IF($D39="",FALSE(),AND(AJ$5&gt;=DATE(YEAR($D39),MONTH($D39),1),AJ$5&lt;=$E39)),N('WIP Log'!AH39)&lt;&gt;0),N('WIP Log'!AH39),""),IF(IF($D39="",FALSE(),AND(AJ$5&gt;=DATE(YEAR($D39),MONTH($D39),1),AJ$5&lt;=$E39)),'Phased Budget'!AL39,"")))</f>
        <v/>
      </c>
      <c r="AK39" s="42" t="str">
        <f aca="false">IF($B39="","",IF(AK$5&lt;=Projects!$C$2,IF(OR(IF($D39="",FALSE(),AND(AK$5&gt;=DATE(YEAR($D39),MONTH($D39),1),AK$5&lt;=$E39)),N('WIP Log'!AI39)&lt;&gt;0),N('WIP Log'!AI39),""),IF(IF($D39="",FALSE(),AND(AK$5&gt;=DATE(YEAR($D39),MONTH($D39),1),AK$5&lt;=$E39)),'Phased Budget'!AM39,"")))</f>
        <v/>
      </c>
      <c r="AL39" s="42" t="str">
        <f aca="false">IF($B39="","",IF(AL$5&lt;=Projects!$C$2,IF(OR(IF($D39="",FALSE(),AND(AL$5&gt;=DATE(YEAR($D39),MONTH($D39),1),AL$5&lt;=$E39)),N('WIP Log'!AJ39)&lt;&gt;0),N('WIP Log'!AJ39),""),IF(IF($D39="",FALSE(),AND(AL$5&gt;=DATE(YEAR($D39),MONTH($D39),1),AL$5&lt;=$E39)),'Phased Budget'!AN39,"")))</f>
        <v/>
      </c>
      <c r="AM39" s="42" t="str">
        <f aca="false">IF($B39="","",IF(AM$5&lt;=Projects!$C$2,IF(OR(IF($D39="",FALSE(),AND(AM$5&gt;=DATE(YEAR($D39),MONTH($D39),1),AM$5&lt;=$E39)),N('WIP Log'!AK39)&lt;&gt;0),N('WIP Log'!AK39),""),IF(IF($D39="",FALSE(),AND(AM$5&gt;=DATE(YEAR($D39),MONTH($D39),1),AM$5&lt;=$E39)),'Phased Budget'!AO39,"")))</f>
        <v/>
      </c>
      <c r="AN39" s="42" t="str">
        <f aca="false">IF($B39="","",IF(AN$5&lt;=Projects!$C$2,IF(OR(IF($D39="",FALSE(),AND(AN$5&gt;=DATE(YEAR($D39),MONTH($D39),1),AN$5&lt;=$E39)),N('WIP Log'!AL39)&lt;&gt;0),N('WIP Log'!AL39),""),IF(IF($D39="",FALSE(),AND(AN$5&gt;=DATE(YEAR($D39),MONTH($D39),1),AN$5&lt;=$E39)),'Phased Budget'!AP39,"")))</f>
        <v/>
      </c>
      <c r="AO39" s="42" t="str">
        <f aca="false">IF($B39="","",IF(AO$5&lt;=Projects!$C$2,IF(OR(IF($D39="",FALSE(),AND(AO$5&gt;=DATE(YEAR($D39),MONTH($D39),1),AO$5&lt;=$E39)),N('WIP Log'!AM39)&lt;&gt;0),N('WIP Log'!AM39),""),IF(IF($D39="",FALSE(),AND(AO$5&gt;=DATE(YEAR($D39),MONTH($D39),1),AO$5&lt;=$E39)),'Phased Budget'!AQ39,"")))</f>
        <v/>
      </c>
    </row>
    <row r="40" customFormat="false" ht="15" hidden="false" customHeight="false" outlineLevel="0" collapsed="false">
      <c r="A40" s="20" t="n">
        <v>35</v>
      </c>
      <c r="B40" s="40" t="str">
        <f aca="false">IF(Projects!B40="","",Projects!B40)</f>
        <v/>
      </c>
      <c r="C40" s="40" t="str">
        <f aca="false">IF(Projects!C40="","",Projects!C40)</f>
        <v/>
      </c>
      <c r="D40" s="41" t="str">
        <f aca="false">IF(Projects!D40="","",Projects!D40)</f>
        <v/>
      </c>
      <c r="E40" s="41" t="str">
        <f aca="false">IF(Projects!F40="","",Projects!F40)</f>
        <v/>
      </c>
      <c r="F40" s="42" t="str">
        <f aca="false">IF($B40="","",IF(F$5&lt;=Projects!$C$2,IF(OR(IF($D40="",FALSE(),AND(F$5&gt;=DATE(YEAR($D40),MONTH($D40),1),F$5&lt;=$E40)),N('WIP Log'!D40)&lt;&gt;0),N('WIP Log'!D40),""),IF(IF($D40="",FALSE(),AND(F$5&gt;=DATE(YEAR($D40),MONTH($D40),1),F$5&lt;=$E40)),'Phased Budget'!H40,"")))</f>
        <v/>
      </c>
      <c r="G40" s="42" t="str">
        <f aca="false">IF($B40="","",IF(G$5&lt;=Projects!$C$2,IF(OR(IF($D40="",FALSE(),AND(G$5&gt;=DATE(YEAR($D40),MONTH($D40),1),G$5&lt;=$E40)),N('WIP Log'!E40)&lt;&gt;0),N('WIP Log'!E40),""),IF(IF($D40="",FALSE(),AND(G$5&gt;=DATE(YEAR($D40),MONTH($D40),1),G$5&lt;=$E40)),'Phased Budget'!I40,"")))</f>
        <v/>
      </c>
      <c r="H40" s="42" t="str">
        <f aca="false">IF($B40="","",IF(H$5&lt;=Projects!$C$2,IF(OR(IF($D40="",FALSE(),AND(H$5&gt;=DATE(YEAR($D40),MONTH($D40),1),H$5&lt;=$E40)),N('WIP Log'!F40)&lt;&gt;0),N('WIP Log'!F40),""),IF(IF($D40="",FALSE(),AND(H$5&gt;=DATE(YEAR($D40),MONTH($D40),1),H$5&lt;=$E40)),'Phased Budget'!J40,"")))</f>
        <v/>
      </c>
      <c r="I40" s="42" t="str">
        <f aca="false">IF($B40="","",IF(I$5&lt;=Projects!$C$2,IF(OR(IF($D40="",FALSE(),AND(I$5&gt;=DATE(YEAR($D40),MONTH($D40),1),I$5&lt;=$E40)),N('WIP Log'!G40)&lt;&gt;0),N('WIP Log'!G40),""),IF(IF($D40="",FALSE(),AND(I$5&gt;=DATE(YEAR($D40),MONTH($D40),1),I$5&lt;=$E40)),'Phased Budget'!K40,"")))</f>
        <v/>
      </c>
      <c r="J40" s="42" t="str">
        <f aca="false">IF($B40="","",IF(J$5&lt;=Projects!$C$2,IF(OR(IF($D40="",FALSE(),AND(J$5&gt;=DATE(YEAR($D40),MONTH($D40),1),J$5&lt;=$E40)),N('WIP Log'!H40)&lt;&gt;0),N('WIP Log'!H40),""),IF(IF($D40="",FALSE(),AND(J$5&gt;=DATE(YEAR($D40),MONTH($D40),1),J$5&lt;=$E40)),'Phased Budget'!L40,"")))</f>
        <v/>
      </c>
      <c r="K40" s="42" t="str">
        <f aca="false">IF($B40="","",IF(K$5&lt;=Projects!$C$2,IF(OR(IF($D40="",FALSE(),AND(K$5&gt;=DATE(YEAR($D40),MONTH($D40),1),K$5&lt;=$E40)),N('WIP Log'!I40)&lt;&gt;0),N('WIP Log'!I40),""),IF(IF($D40="",FALSE(),AND(K$5&gt;=DATE(YEAR($D40),MONTH($D40),1),K$5&lt;=$E40)),'Phased Budget'!M40,"")))</f>
        <v/>
      </c>
      <c r="L40" s="42" t="str">
        <f aca="false">IF($B40="","",IF(L$5&lt;=Projects!$C$2,IF(OR(IF($D40="",FALSE(),AND(L$5&gt;=DATE(YEAR($D40),MONTH($D40),1),L$5&lt;=$E40)),N('WIP Log'!J40)&lt;&gt;0),N('WIP Log'!J40),""),IF(IF($D40="",FALSE(),AND(L$5&gt;=DATE(YEAR($D40),MONTH($D40),1),L$5&lt;=$E40)),'Phased Budget'!N40,"")))</f>
        <v/>
      </c>
      <c r="M40" s="42" t="str">
        <f aca="false">IF($B40="","",IF(M$5&lt;=Projects!$C$2,IF(OR(IF($D40="",FALSE(),AND(M$5&gt;=DATE(YEAR($D40),MONTH($D40),1),M$5&lt;=$E40)),N('WIP Log'!K40)&lt;&gt;0),N('WIP Log'!K40),""),IF(IF($D40="",FALSE(),AND(M$5&gt;=DATE(YEAR($D40),MONTH($D40),1),M$5&lt;=$E40)),'Phased Budget'!O40,"")))</f>
        <v/>
      </c>
      <c r="N40" s="42" t="str">
        <f aca="false">IF($B40="","",IF(N$5&lt;=Projects!$C$2,IF(OR(IF($D40="",FALSE(),AND(N$5&gt;=DATE(YEAR($D40),MONTH($D40),1),N$5&lt;=$E40)),N('WIP Log'!L40)&lt;&gt;0),N('WIP Log'!L40),""),IF(IF($D40="",FALSE(),AND(N$5&gt;=DATE(YEAR($D40),MONTH($D40),1),N$5&lt;=$E40)),'Phased Budget'!P40,"")))</f>
        <v/>
      </c>
      <c r="O40" s="42" t="str">
        <f aca="false">IF($B40="","",IF(O$5&lt;=Projects!$C$2,IF(OR(IF($D40="",FALSE(),AND(O$5&gt;=DATE(YEAR($D40),MONTH($D40),1),O$5&lt;=$E40)),N('WIP Log'!M40)&lt;&gt;0),N('WIP Log'!M40),""),IF(IF($D40="",FALSE(),AND(O$5&gt;=DATE(YEAR($D40),MONTH($D40),1),O$5&lt;=$E40)),'Phased Budget'!Q40,"")))</f>
        <v/>
      </c>
      <c r="P40" s="42" t="str">
        <f aca="false">IF($B40="","",IF(P$5&lt;=Projects!$C$2,IF(OR(IF($D40="",FALSE(),AND(P$5&gt;=DATE(YEAR($D40),MONTH($D40),1),P$5&lt;=$E40)),N('WIP Log'!N40)&lt;&gt;0),N('WIP Log'!N40),""),IF(IF($D40="",FALSE(),AND(P$5&gt;=DATE(YEAR($D40),MONTH($D40),1),P$5&lt;=$E40)),'Phased Budget'!R40,"")))</f>
        <v/>
      </c>
      <c r="Q40" s="42" t="str">
        <f aca="false">IF($B40="","",IF(Q$5&lt;=Projects!$C$2,IF(OR(IF($D40="",FALSE(),AND(Q$5&gt;=DATE(YEAR($D40),MONTH($D40),1),Q$5&lt;=$E40)),N('WIP Log'!O40)&lt;&gt;0),N('WIP Log'!O40),""),IF(IF($D40="",FALSE(),AND(Q$5&gt;=DATE(YEAR($D40),MONTH($D40),1),Q$5&lt;=$E40)),'Phased Budget'!S40,"")))</f>
        <v/>
      </c>
      <c r="R40" s="42" t="str">
        <f aca="false">IF($B40="","",IF(R$5&lt;=Projects!$C$2,IF(OR(IF($D40="",FALSE(),AND(R$5&gt;=DATE(YEAR($D40),MONTH($D40),1),R$5&lt;=$E40)),N('WIP Log'!P40)&lt;&gt;0),N('WIP Log'!P40),""),IF(IF($D40="",FALSE(),AND(R$5&gt;=DATE(YEAR($D40),MONTH($D40),1),R$5&lt;=$E40)),'Phased Budget'!T40,"")))</f>
        <v/>
      </c>
      <c r="S40" s="42" t="str">
        <f aca="false">IF($B40="","",IF(S$5&lt;=Projects!$C$2,IF(OR(IF($D40="",FALSE(),AND(S$5&gt;=DATE(YEAR($D40),MONTH($D40),1),S$5&lt;=$E40)),N('WIP Log'!Q40)&lt;&gt;0),N('WIP Log'!Q40),""),IF(IF($D40="",FALSE(),AND(S$5&gt;=DATE(YEAR($D40),MONTH($D40),1),S$5&lt;=$E40)),'Phased Budget'!U40,"")))</f>
        <v/>
      </c>
      <c r="T40" s="42" t="str">
        <f aca="false">IF($B40="","",IF(T$5&lt;=Projects!$C$2,IF(OR(IF($D40="",FALSE(),AND(T$5&gt;=DATE(YEAR($D40),MONTH($D40),1),T$5&lt;=$E40)),N('WIP Log'!R40)&lt;&gt;0),N('WIP Log'!R40),""),IF(IF($D40="",FALSE(),AND(T$5&gt;=DATE(YEAR($D40),MONTH($D40),1),T$5&lt;=$E40)),'Phased Budget'!V40,"")))</f>
        <v/>
      </c>
      <c r="U40" s="42" t="str">
        <f aca="false">IF($B40="","",IF(U$5&lt;=Projects!$C$2,IF(OR(IF($D40="",FALSE(),AND(U$5&gt;=DATE(YEAR($D40),MONTH($D40),1),U$5&lt;=$E40)),N('WIP Log'!S40)&lt;&gt;0),N('WIP Log'!S40),""),IF(IF($D40="",FALSE(),AND(U$5&gt;=DATE(YEAR($D40),MONTH($D40),1),U$5&lt;=$E40)),'Phased Budget'!W40,"")))</f>
        <v/>
      </c>
      <c r="V40" s="42" t="str">
        <f aca="false">IF($B40="","",IF(V$5&lt;=Projects!$C$2,IF(OR(IF($D40="",FALSE(),AND(V$5&gt;=DATE(YEAR($D40),MONTH($D40),1),V$5&lt;=$E40)),N('WIP Log'!T40)&lt;&gt;0),N('WIP Log'!T40),""),IF(IF($D40="",FALSE(),AND(V$5&gt;=DATE(YEAR($D40),MONTH($D40),1),V$5&lt;=$E40)),'Phased Budget'!X40,"")))</f>
        <v/>
      </c>
      <c r="W40" s="42" t="str">
        <f aca="false">IF($B40="","",IF(W$5&lt;=Projects!$C$2,IF(OR(IF($D40="",FALSE(),AND(W$5&gt;=DATE(YEAR($D40),MONTH($D40),1),W$5&lt;=$E40)),N('WIP Log'!U40)&lt;&gt;0),N('WIP Log'!U40),""),IF(IF($D40="",FALSE(),AND(W$5&gt;=DATE(YEAR($D40),MONTH($D40),1),W$5&lt;=$E40)),'Phased Budget'!Y40,"")))</f>
        <v/>
      </c>
      <c r="X40" s="42" t="str">
        <f aca="false">IF($B40="","",IF(X$5&lt;=Projects!$C$2,IF(OR(IF($D40="",FALSE(),AND(X$5&gt;=DATE(YEAR($D40),MONTH($D40),1),X$5&lt;=$E40)),N('WIP Log'!V40)&lt;&gt;0),N('WIP Log'!V40),""),IF(IF($D40="",FALSE(),AND(X$5&gt;=DATE(YEAR($D40),MONTH($D40),1),X$5&lt;=$E40)),'Phased Budget'!Z40,"")))</f>
        <v/>
      </c>
      <c r="Y40" s="42" t="str">
        <f aca="false">IF($B40="","",IF(Y$5&lt;=Projects!$C$2,IF(OR(IF($D40="",FALSE(),AND(Y$5&gt;=DATE(YEAR($D40),MONTH($D40),1),Y$5&lt;=$E40)),N('WIP Log'!W40)&lt;&gt;0),N('WIP Log'!W40),""),IF(IF($D40="",FALSE(),AND(Y$5&gt;=DATE(YEAR($D40),MONTH($D40),1),Y$5&lt;=$E40)),'Phased Budget'!AA40,"")))</f>
        <v/>
      </c>
      <c r="Z40" s="42" t="str">
        <f aca="false">IF($B40="","",IF(Z$5&lt;=Projects!$C$2,IF(OR(IF($D40="",FALSE(),AND(Z$5&gt;=DATE(YEAR($D40),MONTH($D40),1),Z$5&lt;=$E40)),N('WIP Log'!X40)&lt;&gt;0),N('WIP Log'!X40),""),IF(IF($D40="",FALSE(),AND(Z$5&gt;=DATE(YEAR($D40),MONTH($D40),1),Z$5&lt;=$E40)),'Phased Budget'!AB40,"")))</f>
        <v/>
      </c>
      <c r="AA40" s="42" t="str">
        <f aca="false">IF($B40="","",IF(AA$5&lt;=Projects!$C$2,IF(OR(IF($D40="",FALSE(),AND(AA$5&gt;=DATE(YEAR($D40),MONTH($D40),1),AA$5&lt;=$E40)),N('WIP Log'!Y40)&lt;&gt;0),N('WIP Log'!Y40),""),IF(IF($D40="",FALSE(),AND(AA$5&gt;=DATE(YEAR($D40),MONTH($D40),1),AA$5&lt;=$E40)),'Phased Budget'!AC40,"")))</f>
        <v/>
      </c>
      <c r="AB40" s="42" t="str">
        <f aca="false">IF($B40="","",IF(AB$5&lt;=Projects!$C$2,IF(OR(IF($D40="",FALSE(),AND(AB$5&gt;=DATE(YEAR($D40),MONTH($D40),1),AB$5&lt;=$E40)),N('WIP Log'!Z40)&lt;&gt;0),N('WIP Log'!Z40),""),IF(IF($D40="",FALSE(),AND(AB$5&gt;=DATE(YEAR($D40),MONTH($D40),1),AB$5&lt;=$E40)),'Phased Budget'!AD40,"")))</f>
        <v/>
      </c>
      <c r="AC40" s="42" t="str">
        <f aca="false">IF($B40="","",IF(AC$5&lt;=Projects!$C$2,IF(OR(IF($D40="",FALSE(),AND(AC$5&gt;=DATE(YEAR($D40),MONTH($D40),1),AC$5&lt;=$E40)),N('WIP Log'!AA40)&lt;&gt;0),N('WIP Log'!AA40),""),IF(IF($D40="",FALSE(),AND(AC$5&gt;=DATE(YEAR($D40),MONTH($D40),1),AC$5&lt;=$E40)),'Phased Budget'!AE40,"")))</f>
        <v/>
      </c>
      <c r="AD40" s="42" t="str">
        <f aca="false">IF($B40="","",IF(AD$5&lt;=Projects!$C$2,IF(OR(IF($D40="",FALSE(),AND(AD$5&gt;=DATE(YEAR($D40),MONTH($D40),1),AD$5&lt;=$E40)),N('WIP Log'!AB40)&lt;&gt;0),N('WIP Log'!AB40),""),IF(IF($D40="",FALSE(),AND(AD$5&gt;=DATE(YEAR($D40),MONTH($D40),1),AD$5&lt;=$E40)),'Phased Budget'!AF40,"")))</f>
        <v/>
      </c>
      <c r="AE40" s="42" t="str">
        <f aca="false">IF($B40="","",IF(AE$5&lt;=Projects!$C$2,IF(OR(IF($D40="",FALSE(),AND(AE$5&gt;=DATE(YEAR($D40),MONTH($D40),1),AE$5&lt;=$E40)),N('WIP Log'!AC40)&lt;&gt;0),N('WIP Log'!AC40),""),IF(IF($D40="",FALSE(),AND(AE$5&gt;=DATE(YEAR($D40),MONTH($D40),1),AE$5&lt;=$E40)),'Phased Budget'!AG40,"")))</f>
        <v/>
      </c>
      <c r="AF40" s="42" t="str">
        <f aca="false">IF($B40="","",IF(AF$5&lt;=Projects!$C$2,IF(OR(IF($D40="",FALSE(),AND(AF$5&gt;=DATE(YEAR($D40),MONTH($D40),1),AF$5&lt;=$E40)),N('WIP Log'!AD40)&lt;&gt;0),N('WIP Log'!AD40),""),IF(IF($D40="",FALSE(),AND(AF$5&gt;=DATE(YEAR($D40),MONTH($D40),1),AF$5&lt;=$E40)),'Phased Budget'!AH40,"")))</f>
        <v/>
      </c>
      <c r="AG40" s="42" t="str">
        <f aca="false">IF($B40="","",IF(AG$5&lt;=Projects!$C$2,IF(OR(IF($D40="",FALSE(),AND(AG$5&gt;=DATE(YEAR($D40),MONTH($D40),1),AG$5&lt;=$E40)),N('WIP Log'!AE40)&lt;&gt;0),N('WIP Log'!AE40),""),IF(IF($D40="",FALSE(),AND(AG$5&gt;=DATE(YEAR($D40),MONTH($D40),1),AG$5&lt;=$E40)),'Phased Budget'!AI40,"")))</f>
        <v/>
      </c>
      <c r="AH40" s="42" t="str">
        <f aca="false">IF($B40="","",IF(AH$5&lt;=Projects!$C$2,IF(OR(IF($D40="",FALSE(),AND(AH$5&gt;=DATE(YEAR($D40),MONTH($D40),1),AH$5&lt;=$E40)),N('WIP Log'!AF40)&lt;&gt;0),N('WIP Log'!AF40),""),IF(IF($D40="",FALSE(),AND(AH$5&gt;=DATE(YEAR($D40),MONTH($D40),1),AH$5&lt;=$E40)),'Phased Budget'!AJ40,"")))</f>
        <v/>
      </c>
      <c r="AI40" s="42" t="str">
        <f aca="false">IF($B40="","",IF(AI$5&lt;=Projects!$C$2,IF(OR(IF($D40="",FALSE(),AND(AI$5&gt;=DATE(YEAR($D40),MONTH($D40),1),AI$5&lt;=$E40)),N('WIP Log'!AG40)&lt;&gt;0),N('WIP Log'!AG40),""),IF(IF($D40="",FALSE(),AND(AI$5&gt;=DATE(YEAR($D40),MONTH($D40),1),AI$5&lt;=$E40)),'Phased Budget'!AK40,"")))</f>
        <v/>
      </c>
      <c r="AJ40" s="42" t="str">
        <f aca="false">IF($B40="","",IF(AJ$5&lt;=Projects!$C$2,IF(OR(IF($D40="",FALSE(),AND(AJ$5&gt;=DATE(YEAR($D40),MONTH($D40),1),AJ$5&lt;=$E40)),N('WIP Log'!AH40)&lt;&gt;0),N('WIP Log'!AH40),""),IF(IF($D40="",FALSE(),AND(AJ$5&gt;=DATE(YEAR($D40),MONTH($D40),1),AJ$5&lt;=$E40)),'Phased Budget'!AL40,"")))</f>
        <v/>
      </c>
      <c r="AK40" s="42" t="str">
        <f aca="false">IF($B40="","",IF(AK$5&lt;=Projects!$C$2,IF(OR(IF($D40="",FALSE(),AND(AK$5&gt;=DATE(YEAR($D40),MONTH($D40),1),AK$5&lt;=$E40)),N('WIP Log'!AI40)&lt;&gt;0),N('WIP Log'!AI40),""),IF(IF($D40="",FALSE(),AND(AK$5&gt;=DATE(YEAR($D40),MONTH($D40),1),AK$5&lt;=$E40)),'Phased Budget'!AM40,"")))</f>
        <v/>
      </c>
      <c r="AL40" s="42" t="str">
        <f aca="false">IF($B40="","",IF(AL$5&lt;=Projects!$C$2,IF(OR(IF($D40="",FALSE(),AND(AL$5&gt;=DATE(YEAR($D40),MONTH($D40),1),AL$5&lt;=$E40)),N('WIP Log'!AJ40)&lt;&gt;0),N('WIP Log'!AJ40),""),IF(IF($D40="",FALSE(),AND(AL$5&gt;=DATE(YEAR($D40),MONTH($D40),1),AL$5&lt;=$E40)),'Phased Budget'!AN40,"")))</f>
        <v/>
      </c>
      <c r="AM40" s="42" t="str">
        <f aca="false">IF($B40="","",IF(AM$5&lt;=Projects!$C$2,IF(OR(IF($D40="",FALSE(),AND(AM$5&gt;=DATE(YEAR($D40),MONTH($D40),1),AM$5&lt;=$E40)),N('WIP Log'!AK40)&lt;&gt;0),N('WIP Log'!AK40),""),IF(IF($D40="",FALSE(),AND(AM$5&gt;=DATE(YEAR($D40),MONTH($D40),1),AM$5&lt;=$E40)),'Phased Budget'!AO40,"")))</f>
        <v/>
      </c>
      <c r="AN40" s="42" t="str">
        <f aca="false">IF($B40="","",IF(AN$5&lt;=Projects!$C$2,IF(OR(IF($D40="",FALSE(),AND(AN$5&gt;=DATE(YEAR($D40),MONTH($D40),1),AN$5&lt;=$E40)),N('WIP Log'!AL40)&lt;&gt;0),N('WIP Log'!AL40),""),IF(IF($D40="",FALSE(),AND(AN$5&gt;=DATE(YEAR($D40),MONTH($D40),1),AN$5&lt;=$E40)),'Phased Budget'!AP40,"")))</f>
        <v/>
      </c>
      <c r="AO40" s="42" t="str">
        <f aca="false">IF($B40="","",IF(AO$5&lt;=Projects!$C$2,IF(OR(IF($D40="",FALSE(),AND(AO$5&gt;=DATE(YEAR($D40),MONTH($D40),1),AO$5&lt;=$E40)),N('WIP Log'!AM40)&lt;&gt;0),N('WIP Log'!AM40),""),IF(IF($D40="",FALSE(),AND(AO$5&gt;=DATE(YEAR($D40),MONTH($D40),1),AO$5&lt;=$E40)),'Phased Budget'!AQ40,"")))</f>
        <v/>
      </c>
    </row>
    <row r="41" customFormat="false" ht="15" hidden="false" customHeight="false" outlineLevel="0" collapsed="false">
      <c r="A41" s="20" t="n">
        <v>36</v>
      </c>
      <c r="B41" s="40" t="str">
        <f aca="false">IF(Projects!B41="","",Projects!B41)</f>
        <v/>
      </c>
      <c r="C41" s="40" t="str">
        <f aca="false">IF(Projects!C41="","",Projects!C41)</f>
        <v/>
      </c>
      <c r="D41" s="41" t="str">
        <f aca="false">IF(Projects!D41="","",Projects!D41)</f>
        <v/>
      </c>
      <c r="E41" s="41" t="str">
        <f aca="false">IF(Projects!F41="","",Projects!F41)</f>
        <v/>
      </c>
      <c r="F41" s="42" t="str">
        <f aca="false">IF($B41="","",IF(F$5&lt;=Projects!$C$2,IF(OR(IF($D41="",FALSE(),AND(F$5&gt;=DATE(YEAR($D41),MONTH($D41),1),F$5&lt;=$E41)),N('WIP Log'!D41)&lt;&gt;0),N('WIP Log'!D41),""),IF(IF($D41="",FALSE(),AND(F$5&gt;=DATE(YEAR($D41),MONTH($D41),1),F$5&lt;=$E41)),'Phased Budget'!H41,"")))</f>
        <v/>
      </c>
      <c r="G41" s="42" t="str">
        <f aca="false">IF($B41="","",IF(G$5&lt;=Projects!$C$2,IF(OR(IF($D41="",FALSE(),AND(G$5&gt;=DATE(YEAR($D41),MONTH($D41),1),G$5&lt;=$E41)),N('WIP Log'!E41)&lt;&gt;0),N('WIP Log'!E41),""),IF(IF($D41="",FALSE(),AND(G$5&gt;=DATE(YEAR($D41),MONTH($D41),1),G$5&lt;=$E41)),'Phased Budget'!I41,"")))</f>
        <v/>
      </c>
      <c r="H41" s="42" t="str">
        <f aca="false">IF($B41="","",IF(H$5&lt;=Projects!$C$2,IF(OR(IF($D41="",FALSE(),AND(H$5&gt;=DATE(YEAR($D41),MONTH($D41),1),H$5&lt;=$E41)),N('WIP Log'!F41)&lt;&gt;0),N('WIP Log'!F41),""),IF(IF($D41="",FALSE(),AND(H$5&gt;=DATE(YEAR($D41),MONTH($D41),1),H$5&lt;=$E41)),'Phased Budget'!J41,"")))</f>
        <v/>
      </c>
      <c r="I41" s="42" t="str">
        <f aca="false">IF($B41="","",IF(I$5&lt;=Projects!$C$2,IF(OR(IF($D41="",FALSE(),AND(I$5&gt;=DATE(YEAR($D41),MONTH($D41),1),I$5&lt;=$E41)),N('WIP Log'!G41)&lt;&gt;0),N('WIP Log'!G41),""),IF(IF($D41="",FALSE(),AND(I$5&gt;=DATE(YEAR($D41),MONTH($D41),1),I$5&lt;=$E41)),'Phased Budget'!K41,"")))</f>
        <v/>
      </c>
      <c r="J41" s="42" t="str">
        <f aca="false">IF($B41="","",IF(J$5&lt;=Projects!$C$2,IF(OR(IF($D41="",FALSE(),AND(J$5&gt;=DATE(YEAR($D41),MONTH($D41),1),J$5&lt;=$E41)),N('WIP Log'!H41)&lt;&gt;0),N('WIP Log'!H41),""),IF(IF($D41="",FALSE(),AND(J$5&gt;=DATE(YEAR($D41),MONTH($D41),1),J$5&lt;=$E41)),'Phased Budget'!L41,"")))</f>
        <v/>
      </c>
      <c r="K41" s="42" t="str">
        <f aca="false">IF($B41="","",IF(K$5&lt;=Projects!$C$2,IF(OR(IF($D41="",FALSE(),AND(K$5&gt;=DATE(YEAR($D41),MONTH($D41),1),K$5&lt;=$E41)),N('WIP Log'!I41)&lt;&gt;0),N('WIP Log'!I41),""),IF(IF($D41="",FALSE(),AND(K$5&gt;=DATE(YEAR($D41),MONTH($D41),1),K$5&lt;=$E41)),'Phased Budget'!M41,"")))</f>
        <v/>
      </c>
      <c r="L41" s="42" t="str">
        <f aca="false">IF($B41="","",IF(L$5&lt;=Projects!$C$2,IF(OR(IF($D41="",FALSE(),AND(L$5&gt;=DATE(YEAR($D41),MONTH($D41),1),L$5&lt;=$E41)),N('WIP Log'!J41)&lt;&gt;0),N('WIP Log'!J41),""),IF(IF($D41="",FALSE(),AND(L$5&gt;=DATE(YEAR($D41),MONTH($D41),1),L$5&lt;=$E41)),'Phased Budget'!N41,"")))</f>
        <v/>
      </c>
      <c r="M41" s="42" t="str">
        <f aca="false">IF($B41="","",IF(M$5&lt;=Projects!$C$2,IF(OR(IF($D41="",FALSE(),AND(M$5&gt;=DATE(YEAR($D41),MONTH($D41),1),M$5&lt;=$E41)),N('WIP Log'!K41)&lt;&gt;0),N('WIP Log'!K41),""),IF(IF($D41="",FALSE(),AND(M$5&gt;=DATE(YEAR($D41),MONTH($D41),1),M$5&lt;=$E41)),'Phased Budget'!O41,"")))</f>
        <v/>
      </c>
      <c r="N41" s="42" t="str">
        <f aca="false">IF($B41="","",IF(N$5&lt;=Projects!$C$2,IF(OR(IF($D41="",FALSE(),AND(N$5&gt;=DATE(YEAR($D41),MONTH($D41),1),N$5&lt;=$E41)),N('WIP Log'!L41)&lt;&gt;0),N('WIP Log'!L41),""),IF(IF($D41="",FALSE(),AND(N$5&gt;=DATE(YEAR($D41),MONTH($D41),1),N$5&lt;=$E41)),'Phased Budget'!P41,"")))</f>
        <v/>
      </c>
      <c r="O41" s="42" t="str">
        <f aca="false">IF($B41="","",IF(O$5&lt;=Projects!$C$2,IF(OR(IF($D41="",FALSE(),AND(O$5&gt;=DATE(YEAR($D41),MONTH($D41),1),O$5&lt;=$E41)),N('WIP Log'!M41)&lt;&gt;0),N('WIP Log'!M41),""),IF(IF($D41="",FALSE(),AND(O$5&gt;=DATE(YEAR($D41),MONTH($D41),1),O$5&lt;=$E41)),'Phased Budget'!Q41,"")))</f>
        <v/>
      </c>
      <c r="P41" s="42" t="str">
        <f aca="false">IF($B41="","",IF(P$5&lt;=Projects!$C$2,IF(OR(IF($D41="",FALSE(),AND(P$5&gt;=DATE(YEAR($D41),MONTH($D41),1),P$5&lt;=$E41)),N('WIP Log'!N41)&lt;&gt;0),N('WIP Log'!N41),""),IF(IF($D41="",FALSE(),AND(P$5&gt;=DATE(YEAR($D41),MONTH($D41),1),P$5&lt;=$E41)),'Phased Budget'!R41,"")))</f>
        <v/>
      </c>
      <c r="Q41" s="42" t="str">
        <f aca="false">IF($B41="","",IF(Q$5&lt;=Projects!$C$2,IF(OR(IF($D41="",FALSE(),AND(Q$5&gt;=DATE(YEAR($D41),MONTH($D41),1),Q$5&lt;=$E41)),N('WIP Log'!O41)&lt;&gt;0),N('WIP Log'!O41),""),IF(IF($D41="",FALSE(),AND(Q$5&gt;=DATE(YEAR($D41),MONTH($D41),1),Q$5&lt;=$E41)),'Phased Budget'!S41,"")))</f>
        <v/>
      </c>
      <c r="R41" s="42" t="str">
        <f aca="false">IF($B41="","",IF(R$5&lt;=Projects!$C$2,IF(OR(IF($D41="",FALSE(),AND(R$5&gt;=DATE(YEAR($D41),MONTH($D41),1),R$5&lt;=$E41)),N('WIP Log'!P41)&lt;&gt;0),N('WIP Log'!P41),""),IF(IF($D41="",FALSE(),AND(R$5&gt;=DATE(YEAR($D41),MONTH($D41),1),R$5&lt;=$E41)),'Phased Budget'!T41,"")))</f>
        <v/>
      </c>
      <c r="S41" s="42" t="str">
        <f aca="false">IF($B41="","",IF(S$5&lt;=Projects!$C$2,IF(OR(IF($D41="",FALSE(),AND(S$5&gt;=DATE(YEAR($D41),MONTH($D41),1),S$5&lt;=$E41)),N('WIP Log'!Q41)&lt;&gt;0),N('WIP Log'!Q41),""),IF(IF($D41="",FALSE(),AND(S$5&gt;=DATE(YEAR($D41),MONTH($D41),1),S$5&lt;=$E41)),'Phased Budget'!U41,"")))</f>
        <v/>
      </c>
      <c r="T41" s="42" t="str">
        <f aca="false">IF($B41="","",IF(T$5&lt;=Projects!$C$2,IF(OR(IF($D41="",FALSE(),AND(T$5&gt;=DATE(YEAR($D41),MONTH($D41),1),T$5&lt;=$E41)),N('WIP Log'!R41)&lt;&gt;0),N('WIP Log'!R41),""),IF(IF($D41="",FALSE(),AND(T$5&gt;=DATE(YEAR($D41),MONTH($D41),1),T$5&lt;=$E41)),'Phased Budget'!V41,"")))</f>
        <v/>
      </c>
      <c r="U41" s="42" t="str">
        <f aca="false">IF($B41="","",IF(U$5&lt;=Projects!$C$2,IF(OR(IF($D41="",FALSE(),AND(U$5&gt;=DATE(YEAR($D41),MONTH($D41),1),U$5&lt;=$E41)),N('WIP Log'!S41)&lt;&gt;0),N('WIP Log'!S41),""),IF(IF($D41="",FALSE(),AND(U$5&gt;=DATE(YEAR($D41),MONTH($D41),1),U$5&lt;=$E41)),'Phased Budget'!W41,"")))</f>
        <v/>
      </c>
      <c r="V41" s="42" t="str">
        <f aca="false">IF($B41="","",IF(V$5&lt;=Projects!$C$2,IF(OR(IF($D41="",FALSE(),AND(V$5&gt;=DATE(YEAR($D41),MONTH($D41),1),V$5&lt;=$E41)),N('WIP Log'!T41)&lt;&gt;0),N('WIP Log'!T41),""),IF(IF($D41="",FALSE(),AND(V$5&gt;=DATE(YEAR($D41),MONTH($D41),1),V$5&lt;=$E41)),'Phased Budget'!X41,"")))</f>
        <v/>
      </c>
      <c r="W41" s="42" t="str">
        <f aca="false">IF($B41="","",IF(W$5&lt;=Projects!$C$2,IF(OR(IF($D41="",FALSE(),AND(W$5&gt;=DATE(YEAR($D41),MONTH($D41),1),W$5&lt;=$E41)),N('WIP Log'!U41)&lt;&gt;0),N('WIP Log'!U41),""),IF(IF($D41="",FALSE(),AND(W$5&gt;=DATE(YEAR($D41),MONTH($D41),1),W$5&lt;=$E41)),'Phased Budget'!Y41,"")))</f>
        <v/>
      </c>
      <c r="X41" s="42" t="str">
        <f aca="false">IF($B41="","",IF(X$5&lt;=Projects!$C$2,IF(OR(IF($D41="",FALSE(),AND(X$5&gt;=DATE(YEAR($D41),MONTH($D41),1),X$5&lt;=$E41)),N('WIP Log'!V41)&lt;&gt;0),N('WIP Log'!V41),""),IF(IF($D41="",FALSE(),AND(X$5&gt;=DATE(YEAR($D41),MONTH($D41),1),X$5&lt;=$E41)),'Phased Budget'!Z41,"")))</f>
        <v/>
      </c>
      <c r="Y41" s="42" t="str">
        <f aca="false">IF($B41="","",IF(Y$5&lt;=Projects!$C$2,IF(OR(IF($D41="",FALSE(),AND(Y$5&gt;=DATE(YEAR($D41),MONTH($D41),1),Y$5&lt;=$E41)),N('WIP Log'!W41)&lt;&gt;0),N('WIP Log'!W41),""),IF(IF($D41="",FALSE(),AND(Y$5&gt;=DATE(YEAR($D41),MONTH($D41),1),Y$5&lt;=$E41)),'Phased Budget'!AA41,"")))</f>
        <v/>
      </c>
      <c r="Z41" s="42" t="str">
        <f aca="false">IF($B41="","",IF(Z$5&lt;=Projects!$C$2,IF(OR(IF($D41="",FALSE(),AND(Z$5&gt;=DATE(YEAR($D41),MONTH($D41),1),Z$5&lt;=$E41)),N('WIP Log'!X41)&lt;&gt;0),N('WIP Log'!X41),""),IF(IF($D41="",FALSE(),AND(Z$5&gt;=DATE(YEAR($D41),MONTH($D41),1),Z$5&lt;=$E41)),'Phased Budget'!AB41,"")))</f>
        <v/>
      </c>
      <c r="AA41" s="42" t="str">
        <f aca="false">IF($B41="","",IF(AA$5&lt;=Projects!$C$2,IF(OR(IF($D41="",FALSE(),AND(AA$5&gt;=DATE(YEAR($D41),MONTH($D41),1),AA$5&lt;=$E41)),N('WIP Log'!Y41)&lt;&gt;0),N('WIP Log'!Y41),""),IF(IF($D41="",FALSE(),AND(AA$5&gt;=DATE(YEAR($D41),MONTH($D41),1),AA$5&lt;=$E41)),'Phased Budget'!AC41,"")))</f>
        <v/>
      </c>
      <c r="AB41" s="42" t="str">
        <f aca="false">IF($B41="","",IF(AB$5&lt;=Projects!$C$2,IF(OR(IF($D41="",FALSE(),AND(AB$5&gt;=DATE(YEAR($D41),MONTH($D41),1),AB$5&lt;=$E41)),N('WIP Log'!Z41)&lt;&gt;0),N('WIP Log'!Z41),""),IF(IF($D41="",FALSE(),AND(AB$5&gt;=DATE(YEAR($D41),MONTH($D41),1),AB$5&lt;=$E41)),'Phased Budget'!AD41,"")))</f>
        <v/>
      </c>
      <c r="AC41" s="42" t="str">
        <f aca="false">IF($B41="","",IF(AC$5&lt;=Projects!$C$2,IF(OR(IF($D41="",FALSE(),AND(AC$5&gt;=DATE(YEAR($D41),MONTH($D41),1),AC$5&lt;=$E41)),N('WIP Log'!AA41)&lt;&gt;0),N('WIP Log'!AA41),""),IF(IF($D41="",FALSE(),AND(AC$5&gt;=DATE(YEAR($D41),MONTH($D41),1),AC$5&lt;=$E41)),'Phased Budget'!AE41,"")))</f>
        <v/>
      </c>
      <c r="AD41" s="42" t="str">
        <f aca="false">IF($B41="","",IF(AD$5&lt;=Projects!$C$2,IF(OR(IF($D41="",FALSE(),AND(AD$5&gt;=DATE(YEAR($D41),MONTH($D41),1),AD$5&lt;=$E41)),N('WIP Log'!AB41)&lt;&gt;0),N('WIP Log'!AB41),""),IF(IF($D41="",FALSE(),AND(AD$5&gt;=DATE(YEAR($D41),MONTH($D41),1),AD$5&lt;=$E41)),'Phased Budget'!AF41,"")))</f>
        <v/>
      </c>
      <c r="AE41" s="42" t="str">
        <f aca="false">IF($B41="","",IF(AE$5&lt;=Projects!$C$2,IF(OR(IF($D41="",FALSE(),AND(AE$5&gt;=DATE(YEAR($D41),MONTH($D41),1),AE$5&lt;=$E41)),N('WIP Log'!AC41)&lt;&gt;0),N('WIP Log'!AC41),""),IF(IF($D41="",FALSE(),AND(AE$5&gt;=DATE(YEAR($D41),MONTH($D41),1),AE$5&lt;=$E41)),'Phased Budget'!AG41,"")))</f>
        <v/>
      </c>
      <c r="AF41" s="42" t="str">
        <f aca="false">IF($B41="","",IF(AF$5&lt;=Projects!$C$2,IF(OR(IF($D41="",FALSE(),AND(AF$5&gt;=DATE(YEAR($D41),MONTH($D41),1),AF$5&lt;=$E41)),N('WIP Log'!AD41)&lt;&gt;0),N('WIP Log'!AD41),""),IF(IF($D41="",FALSE(),AND(AF$5&gt;=DATE(YEAR($D41),MONTH($D41),1),AF$5&lt;=$E41)),'Phased Budget'!AH41,"")))</f>
        <v/>
      </c>
      <c r="AG41" s="42" t="str">
        <f aca="false">IF($B41="","",IF(AG$5&lt;=Projects!$C$2,IF(OR(IF($D41="",FALSE(),AND(AG$5&gt;=DATE(YEAR($D41),MONTH($D41),1),AG$5&lt;=$E41)),N('WIP Log'!AE41)&lt;&gt;0),N('WIP Log'!AE41),""),IF(IF($D41="",FALSE(),AND(AG$5&gt;=DATE(YEAR($D41),MONTH($D41),1),AG$5&lt;=$E41)),'Phased Budget'!AI41,"")))</f>
        <v/>
      </c>
      <c r="AH41" s="42" t="str">
        <f aca="false">IF($B41="","",IF(AH$5&lt;=Projects!$C$2,IF(OR(IF($D41="",FALSE(),AND(AH$5&gt;=DATE(YEAR($D41),MONTH($D41),1),AH$5&lt;=$E41)),N('WIP Log'!AF41)&lt;&gt;0),N('WIP Log'!AF41),""),IF(IF($D41="",FALSE(),AND(AH$5&gt;=DATE(YEAR($D41),MONTH($D41),1),AH$5&lt;=$E41)),'Phased Budget'!AJ41,"")))</f>
        <v/>
      </c>
      <c r="AI41" s="42" t="str">
        <f aca="false">IF($B41="","",IF(AI$5&lt;=Projects!$C$2,IF(OR(IF($D41="",FALSE(),AND(AI$5&gt;=DATE(YEAR($D41),MONTH($D41),1),AI$5&lt;=$E41)),N('WIP Log'!AG41)&lt;&gt;0),N('WIP Log'!AG41),""),IF(IF($D41="",FALSE(),AND(AI$5&gt;=DATE(YEAR($D41),MONTH($D41),1),AI$5&lt;=$E41)),'Phased Budget'!AK41,"")))</f>
        <v/>
      </c>
      <c r="AJ41" s="42" t="str">
        <f aca="false">IF($B41="","",IF(AJ$5&lt;=Projects!$C$2,IF(OR(IF($D41="",FALSE(),AND(AJ$5&gt;=DATE(YEAR($D41),MONTH($D41),1),AJ$5&lt;=$E41)),N('WIP Log'!AH41)&lt;&gt;0),N('WIP Log'!AH41),""),IF(IF($D41="",FALSE(),AND(AJ$5&gt;=DATE(YEAR($D41),MONTH($D41),1),AJ$5&lt;=$E41)),'Phased Budget'!AL41,"")))</f>
        <v/>
      </c>
      <c r="AK41" s="42" t="str">
        <f aca="false">IF($B41="","",IF(AK$5&lt;=Projects!$C$2,IF(OR(IF($D41="",FALSE(),AND(AK$5&gt;=DATE(YEAR($D41),MONTH($D41),1),AK$5&lt;=$E41)),N('WIP Log'!AI41)&lt;&gt;0),N('WIP Log'!AI41),""),IF(IF($D41="",FALSE(),AND(AK$5&gt;=DATE(YEAR($D41),MONTH($D41),1),AK$5&lt;=$E41)),'Phased Budget'!AM41,"")))</f>
        <v/>
      </c>
      <c r="AL41" s="42" t="str">
        <f aca="false">IF($B41="","",IF(AL$5&lt;=Projects!$C$2,IF(OR(IF($D41="",FALSE(),AND(AL$5&gt;=DATE(YEAR($D41),MONTH($D41),1),AL$5&lt;=$E41)),N('WIP Log'!AJ41)&lt;&gt;0),N('WIP Log'!AJ41),""),IF(IF($D41="",FALSE(),AND(AL$5&gt;=DATE(YEAR($D41),MONTH($D41),1),AL$5&lt;=$E41)),'Phased Budget'!AN41,"")))</f>
        <v/>
      </c>
      <c r="AM41" s="42" t="str">
        <f aca="false">IF($B41="","",IF(AM$5&lt;=Projects!$C$2,IF(OR(IF($D41="",FALSE(),AND(AM$5&gt;=DATE(YEAR($D41),MONTH($D41),1),AM$5&lt;=$E41)),N('WIP Log'!AK41)&lt;&gt;0),N('WIP Log'!AK41),""),IF(IF($D41="",FALSE(),AND(AM$5&gt;=DATE(YEAR($D41),MONTH($D41),1),AM$5&lt;=$E41)),'Phased Budget'!AO41,"")))</f>
        <v/>
      </c>
      <c r="AN41" s="42" t="str">
        <f aca="false">IF($B41="","",IF(AN$5&lt;=Projects!$C$2,IF(OR(IF($D41="",FALSE(),AND(AN$5&gt;=DATE(YEAR($D41),MONTH($D41),1),AN$5&lt;=$E41)),N('WIP Log'!AL41)&lt;&gt;0),N('WIP Log'!AL41),""),IF(IF($D41="",FALSE(),AND(AN$5&gt;=DATE(YEAR($D41),MONTH($D41),1),AN$5&lt;=$E41)),'Phased Budget'!AP41,"")))</f>
        <v/>
      </c>
      <c r="AO41" s="42" t="str">
        <f aca="false">IF($B41="","",IF(AO$5&lt;=Projects!$C$2,IF(OR(IF($D41="",FALSE(),AND(AO$5&gt;=DATE(YEAR($D41),MONTH($D41),1),AO$5&lt;=$E41)),N('WIP Log'!AM41)&lt;&gt;0),N('WIP Log'!AM41),""),IF(IF($D41="",FALSE(),AND(AO$5&gt;=DATE(YEAR($D41),MONTH($D41),1),AO$5&lt;=$E41)),'Phased Budget'!AQ41,"")))</f>
        <v/>
      </c>
    </row>
    <row r="42" customFormat="false" ht="15" hidden="false" customHeight="false" outlineLevel="0" collapsed="false">
      <c r="A42" s="20" t="n">
        <v>37</v>
      </c>
      <c r="B42" s="40" t="str">
        <f aca="false">IF(Projects!B42="","",Projects!B42)</f>
        <v/>
      </c>
      <c r="C42" s="40" t="str">
        <f aca="false">IF(Projects!C42="","",Projects!C42)</f>
        <v/>
      </c>
      <c r="D42" s="41" t="str">
        <f aca="false">IF(Projects!D42="","",Projects!D42)</f>
        <v/>
      </c>
      <c r="E42" s="41" t="str">
        <f aca="false">IF(Projects!F42="","",Projects!F42)</f>
        <v/>
      </c>
      <c r="F42" s="42" t="str">
        <f aca="false">IF($B42="","",IF(F$5&lt;=Projects!$C$2,IF(OR(IF($D42="",FALSE(),AND(F$5&gt;=DATE(YEAR($D42),MONTH($D42),1),F$5&lt;=$E42)),N('WIP Log'!D42)&lt;&gt;0),N('WIP Log'!D42),""),IF(IF($D42="",FALSE(),AND(F$5&gt;=DATE(YEAR($D42),MONTH($D42),1),F$5&lt;=$E42)),'Phased Budget'!H42,"")))</f>
        <v/>
      </c>
      <c r="G42" s="42" t="str">
        <f aca="false">IF($B42="","",IF(G$5&lt;=Projects!$C$2,IF(OR(IF($D42="",FALSE(),AND(G$5&gt;=DATE(YEAR($D42),MONTH($D42),1),G$5&lt;=$E42)),N('WIP Log'!E42)&lt;&gt;0),N('WIP Log'!E42),""),IF(IF($D42="",FALSE(),AND(G$5&gt;=DATE(YEAR($D42),MONTH($D42),1),G$5&lt;=$E42)),'Phased Budget'!I42,"")))</f>
        <v/>
      </c>
      <c r="H42" s="42" t="str">
        <f aca="false">IF($B42="","",IF(H$5&lt;=Projects!$C$2,IF(OR(IF($D42="",FALSE(),AND(H$5&gt;=DATE(YEAR($D42),MONTH($D42),1),H$5&lt;=$E42)),N('WIP Log'!F42)&lt;&gt;0),N('WIP Log'!F42),""),IF(IF($D42="",FALSE(),AND(H$5&gt;=DATE(YEAR($D42),MONTH($D42),1),H$5&lt;=$E42)),'Phased Budget'!J42,"")))</f>
        <v/>
      </c>
      <c r="I42" s="42" t="str">
        <f aca="false">IF($B42="","",IF(I$5&lt;=Projects!$C$2,IF(OR(IF($D42="",FALSE(),AND(I$5&gt;=DATE(YEAR($D42),MONTH($D42),1),I$5&lt;=$E42)),N('WIP Log'!G42)&lt;&gt;0),N('WIP Log'!G42),""),IF(IF($D42="",FALSE(),AND(I$5&gt;=DATE(YEAR($D42),MONTH($D42),1),I$5&lt;=$E42)),'Phased Budget'!K42,"")))</f>
        <v/>
      </c>
      <c r="J42" s="42" t="str">
        <f aca="false">IF($B42="","",IF(J$5&lt;=Projects!$C$2,IF(OR(IF($D42="",FALSE(),AND(J$5&gt;=DATE(YEAR($D42),MONTH($D42),1),J$5&lt;=$E42)),N('WIP Log'!H42)&lt;&gt;0),N('WIP Log'!H42),""),IF(IF($D42="",FALSE(),AND(J$5&gt;=DATE(YEAR($D42),MONTH($D42),1),J$5&lt;=$E42)),'Phased Budget'!L42,"")))</f>
        <v/>
      </c>
      <c r="K42" s="42" t="str">
        <f aca="false">IF($B42="","",IF(K$5&lt;=Projects!$C$2,IF(OR(IF($D42="",FALSE(),AND(K$5&gt;=DATE(YEAR($D42),MONTH($D42),1),K$5&lt;=$E42)),N('WIP Log'!I42)&lt;&gt;0),N('WIP Log'!I42),""),IF(IF($D42="",FALSE(),AND(K$5&gt;=DATE(YEAR($D42),MONTH($D42),1),K$5&lt;=$E42)),'Phased Budget'!M42,"")))</f>
        <v/>
      </c>
      <c r="L42" s="42" t="str">
        <f aca="false">IF($B42="","",IF(L$5&lt;=Projects!$C$2,IF(OR(IF($D42="",FALSE(),AND(L$5&gt;=DATE(YEAR($D42),MONTH($D42),1),L$5&lt;=$E42)),N('WIP Log'!J42)&lt;&gt;0),N('WIP Log'!J42),""),IF(IF($D42="",FALSE(),AND(L$5&gt;=DATE(YEAR($D42),MONTH($D42),1),L$5&lt;=$E42)),'Phased Budget'!N42,"")))</f>
        <v/>
      </c>
      <c r="M42" s="42" t="str">
        <f aca="false">IF($B42="","",IF(M$5&lt;=Projects!$C$2,IF(OR(IF($D42="",FALSE(),AND(M$5&gt;=DATE(YEAR($D42),MONTH($D42),1),M$5&lt;=$E42)),N('WIP Log'!K42)&lt;&gt;0),N('WIP Log'!K42),""),IF(IF($D42="",FALSE(),AND(M$5&gt;=DATE(YEAR($D42),MONTH($D42),1),M$5&lt;=$E42)),'Phased Budget'!O42,"")))</f>
        <v/>
      </c>
      <c r="N42" s="42" t="str">
        <f aca="false">IF($B42="","",IF(N$5&lt;=Projects!$C$2,IF(OR(IF($D42="",FALSE(),AND(N$5&gt;=DATE(YEAR($D42),MONTH($D42),1),N$5&lt;=$E42)),N('WIP Log'!L42)&lt;&gt;0),N('WIP Log'!L42),""),IF(IF($D42="",FALSE(),AND(N$5&gt;=DATE(YEAR($D42),MONTH($D42),1),N$5&lt;=$E42)),'Phased Budget'!P42,"")))</f>
        <v/>
      </c>
      <c r="O42" s="42" t="str">
        <f aca="false">IF($B42="","",IF(O$5&lt;=Projects!$C$2,IF(OR(IF($D42="",FALSE(),AND(O$5&gt;=DATE(YEAR($D42),MONTH($D42),1),O$5&lt;=$E42)),N('WIP Log'!M42)&lt;&gt;0),N('WIP Log'!M42),""),IF(IF($D42="",FALSE(),AND(O$5&gt;=DATE(YEAR($D42),MONTH($D42),1),O$5&lt;=$E42)),'Phased Budget'!Q42,"")))</f>
        <v/>
      </c>
      <c r="P42" s="42" t="str">
        <f aca="false">IF($B42="","",IF(P$5&lt;=Projects!$C$2,IF(OR(IF($D42="",FALSE(),AND(P$5&gt;=DATE(YEAR($D42),MONTH($D42),1),P$5&lt;=$E42)),N('WIP Log'!N42)&lt;&gt;0),N('WIP Log'!N42),""),IF(IF($D42="",FALSE(),AND(P$5&gt;=DATE(YEAR($D42),MONTH($D42),1),P$5&lt;=$E42)),'Phased Budget'!R42,"")))</f>
        <v/>
      </c>
      <c r="Q42" s="42" t="str">
        <f aca="false">IF($B42="","",IF(Q$5&lt;=Projects!$C$2,IF(OR(IF($D42="",FALSE(),AND(Q$5&gt;=DATE(YEAR($D42),MONTH($D42),1),Q$5&lt;=$E42)),N('WIP Log'!O42)&lt;&gt;0),N('WIP Log'!O42),""),IF(IF($D42="",FALSE(),AND(Q$5&gt;=DATE(YEAR($D42),MONTH($D42),1),Q$5&lt;=$E42)),'Phased Budget'!S42,"")))</f>
        <v/>
      </c>
      <c r="R42" s="42" t="str">
        <f aca="false">IF($B42="","",IF(R$5&lt;=Projects!$C$2,IF(OR(IF($D42="",FALSE(),AND(R$5&gt;=DATE(YEAR($D42),MONTH($D42),1),R$5&lt;=$E42)),N('WIP Log'!P42)&lt;&gt;0),N('WIP Log'!P42),""),IF(IF($D42="",FALSE(),AND(R$5&gt;=DATE(YEAR($D42),MONTH($D42),1),R$5&lt;=$E42)),'Phased Budget'!T42,"")))</f>
        <v/>
      </c>
      <c r="S42" s="42" t="str">
        <f aca="false">IF($B42="","",IF(S$5&lt;=Projects!$C$2,IF(OR(IF($D42="",FALSE(),AND(S$5&gt;=DATE(YEAR($D42),MONTH($D42),1),S$5&lt;=$E42)),N('WIP Log'!Q42)&lt;&gt;0),N('WIP Log'!Q42),""),IF(IF($D42="",FALSE(),AND(S$5&gt;=DATE(YEAR($D42),MONTH($D42),1),S$5&lt;=$E42)),'Phased Budget'!U42,"")))</f>
        <v/>
      </c>
      <c r="T42" s="42" t="str">
        <f aca="false">IF($B42="","",IF(T$5&lt;=Projects!$C$2,IF(OR(IF($D42="",FALSE(),AND(T$5&gt;=DATE(YEAR($D42),MONTH($D42),1),T$5&lt;=$E42)),N('WIP Log'!R42)&lt;&gt;0),N('WIP Log'!R42),""),IF(IF($D42="",FALSE(),AND(T$5&gt;=DATE(YEAR($D42),MONTH($D42),1),T$5&lt;=$E42)),'Phased Budget'!V42,"")))</f>
        <v/>
      </c>
      <c r="U42" s="42" t="str">
        <f aca="false">IF($B42="","",IF(U$5&lt;=Projects!$C$2,IF(OR(IF($D42="",FALSE(),AND(U$5&gt;=DATE(YEAR($D42),MONTH($D42),1),U$5&lt;=$E42)),N('WIP Log'!S42)&lt;&gt;0),N('WIP Log'!S42),""),IF(IF($D42="",FALSE(),AND(U$5&gt;=DATE(YEAR($D42),MONTH($D42),1),U$5&lt;=$E42)),'Phased Budget'!W42,"")))</f>
        <v/>
      </c>
      <c r="V42" s="42" t="str">
        <f aca="false">IF($B42="","",IF(V$5&lt;=Projects!$C$2,IF(OR(IF($D42="",FALSE(),AND(V$5&gt;=DATE(YEAR($D42),MONTH($D42),1),V$5&lt;=$E42)),N('WIP Log'!T42)&lt;&gt;0),N('WIP Log'!T42),""),IF(IF($D42="",FALSE(),AND(V$5&gt;=DATE(YEAR($D42),MONTH($D42),1),V$5&lt;=$E42)),'Phased Budget'!X42,"")))</f>
        <v/>
      </c>
      <c r="W42" s="42" t="str">
        <f aca="false">IF($B42="","",IF(W$5&lt;=Projects!$C$2,IF(OR(IF($D42="",FALSE(),AND(W$5&gt;=DATE(YEAR($D42),MONTH($D42),1),W$5&lt;=$E42)),N('WIP Log'!U42)&lt;&gt;0),N('WIP Log'!U42),""),IF(IF($D42="",FALSE(),AND(W$5&gt;=DATE(YEAR($D42),MONTH($D42),1),W$5&lt;=$E42)),'Phased Budget'!Y42,"")))</f>
        <v/>
      </c>
      <c r="X42" s="42" t="str">
        <f aca="false">IF($B42="","",IF(X$5&lt;=Projects!$C$2,IF(OR(IF($D42="",FALSE(),AND(X$5&gt;=DATE(YEAR($D42),MONTH($D42),1),X$5&lt;=$E42)),N('WIP Log'!V42)&lt;&gt;0),N('WIP Log'!V42),""),IF(IF($D42="",FALSE(),AND(X$5&gt;=DATE(YEAR($D42),MONTH($D42),1),X$5&lt;=$E42)),'Phased Budget'!Z42,"")))</f>
        <v/>
      </c>
      <c r="Y42" s="42" t="str">
        <f aca="false">IF($B42="","",IF(Y$5&lt;=Projects!$C$2,IF(OR(IF($D42="",FALSE(),AND(Y$5&gt;=DATE(YEAR($D42),MONTH($D42),1),Y$5&lt;=$E42)),N('WIP Log'!W42)&lt;&gt;0),N('WIP Log'!W42),""),IF(IF($D42="",FALSE(),AND(Y$5&gt;=DATE(YEAR($D42),MONTH($D42),1),Y$5&lt;=$E42)),'Phased Budget'!AA42,"")))</f>
        <v/>
      </c>
      <c r="Z42" s="42" t="str">
        <f aca="false">IF($B42="","",IF(Z$5&lt;=Projects!$C$2,IF(OR(IF($D42="",FALSE(),AND(Z$5&gt;=DATE(YEAR($D42),MONTH($D42),1),Z$5&lt;=$E42)),N('WIP Log'!X42)&lt;&gt;0),N('WIP Log'!X42),""),IF(IF($D42="",FALSE(),AND(Z$5&gt;=DATE(YEAR($D42),MONTH($D42),1),Z$5&lt;=$E42)),'Phased Budget'!AB42,"")))</f>
        <v/>
      </c>
      <c r="AA42" s="42" t="str">
        <f aca="false">IF($B42="","",IF(AA$5&lt;=Projects!$C$2,IF(OR(IF($D42="",FALSE(),AND(AA$5&gt;=DATE(YEAR($D42),MONTH($D42),1),AA$5&lt;=$E42)),N('WIP Log'!Y42)&lt;&gt;0),N('WIP Log'!Y42),""),IF(IF($D42="",FALSE(),AND(AA$5&gt;=DATE(YEAR($D42),MONTH($D42),1),AA$5&lt;=$E42)),'Phased Budget'!AC42,"")))</f>
        <v/>
      </c>
      <c r="AB42" s="42" t="str">
        <f aca="false">IF($B42="","",IF(AB$5&lt;=Projects!$C$2,IF(OR(IF($D42="",FALSE(),AND(AB$5&gt;=DATE(YEAR($D42),MONTH($D42),1),AB$5&lt;=$E42)),N('WIP Log'!Z42)&lt;&gt;0),N('WIP Log'!Z42),""),IF(IF($D42="",FALSE(),AND(AB$5&gt;=DATE(YEAR($D42),MONTH($D42),1),AB$5&lt;=$E42)),'Phased Budget'!AD42,"")))</f>
        <v/>
      </c>
      <c r="AC42" s="42" t="str">
        <f aca="false">IF($B42="","",IF(AC$5&lt;=Projects!$C$2,IF(OR(IF($D42="",FALSE(),AND(AC$5&gt;=DATE(YEAR($D42),MONTH($D42),1),AC$5&lt;=$E42)),N('WIP Log'!AA42)&lt;&gt;0),N('WIP Log'!AA42),""),IF(IF($D42="",FALSE(),AND(AC$5&gt;=DATE(YEAR($D42),MONTH($D42),1),AC$5&lt;=$E42)),'Phased Budget'!AE42,"")))</f>
        <v/>
      </c>
      <c r="AD42" s="42" t="str">
        <f aca="false">IF($B42="","",IF(AD$5&lt;=Projects!$C$2,IF(OR(IF($D42="",FALSE(),AND(AD$5&gt;=DATE(YEAR($D42),MONTH($D42),1),AD$5&lt;=$E42)),N('WIP Log'!AB42)&lt;&gt;0),N('WIP Log'!AB42),""),IF(IF($D42="",FALSE(),AND(AD$5&gt;=DATE(YEAR($D42),MONTH($D42),1),AD$5&lt;=$E42)),'Phased Budget'!AF42,"")))</f>
        <v/>
      </c>
      <c r="AE42" s="42" t="str">
        <f aca="false">IF($B42="","",IF(AE$5&lt;=Projects!$C$2,IF(OR(IF($D42="",FALSE(),AND(AE$5&gt;=DATE(YEAR($D42),MONTH($D42),1),AE$5&lt;=$E42)),N('WIP Log'!AC42)&lt;&gt;0),N('WIP Log'!AC42),""),IF(IF($D42="",FALSE(),AND(AE$5&gt;=DATE(YEAR($D42),MONTH($D42),1),AE$5&lt;=$E42)),'Phased Budget'!AG42,"")))</f>
        <v/>
      </c>
      <c r="AF42" s="42" t="str">
        <f aca="false">IF($B42="","",IF(AF$5&lt;=Projects!$C$2,IF(OR(IF($D42="",FALSE(),AND(AF$5&gt;=DATE(YEAR($D42),MONTH($D42),1),AF$5&lt;=$E42)),N('WIP Log'!AD42)&lt;&gt;0),N('WIP Log'!AD42),""),IF(IF($D42="",FALSE(),AND(AF$5&gt;=DATE(YEAR($D42),MONTH($D42),1),AF$5&lt;=$E42)),'Phased Budget'!AH42,"")))</f>
        <v/>
      </c>
      <c r="AG42" s="42" t="str">
        <f aca="false">IF($B42="","",IF(AG$5&lt;=Projects!$C$2,IF(OR(IF($D42="",FALSE(),AND(AG$5&gt;=DATE(YEAR($D42),MONTH($D42),1),AG$5&lt;=$E42)),N('WIP Log'!AE42)&lt;&gt;0),N('WIP Log'!AE42),""),IF(IF($D42="",FALSE(),AND(AG$5&gt;=DATE(YEAR($D42),MONTH($D42),1),AG$5&lt;=$E42)),'Phased Budget'!AI42,"")))</f>
        <v/>
      </c>
      <c r="AH42" s="42" t="str">
        <f aca="false">IF($B42="","",IF(AH$5&lt;=Projects!$C$2,IF(OR(IF($D42="",FALSE(),AND(AH$5&gt;=DATE(YEAR($D42),MONTH($D42),1),AH$5&lt;=$E42)),N('WIP Log'!AF42)&lt;&gt;0),N('WIP Log'!AF42),""),IF(IF($D42="",FALSE(),AND(AH$5&gt;=DATE(YEAR($D42),MONTH($D42),1),AH$5&lt;=$E42)),'Phased Budget'!AJ42,"")))</f>
        <v/>
      </c>
      <c r="AI42" s="42" t="str">
        <f aca="false">IF($B42="","",IF(AI$5&lt;=Projects!$C$2,IF(OR(IF($D42="",FALSE(),AND(AI$5&gt;=DATE(YEAR($D42),MONTH($D42),1),AI$5&lt;=$E42)),N('WIP Log'!AG42)&lt;&gt;0),N('WIP Log'!AG42),""),IF(IF($D42="",FALSE(),AND(AI$5&gt;=DATE(YEAR($D42),MONTH($D42),1),AI$5&lt;=$E42)),'Phased Budget'!AK42,"")))</f>
        <v/>
      </c>
      <c r="AJ42" s="42" t="str">
        <f aca="false">IF($B42="","",IF(AJ$5&lt;=Projects!$C$2,IF(OR(IF($D42="",FALSE(),AND(AJ$5&gt;=DATE(YEAR($D42),MONTH($D42),1),AJ$5&lt;=$E42)),N('WIP Log'!AH42)&lt;&gt;0),N('WIP Log'!AH42),""),IF(IF($D42="",FALSE(),AND(AJ$5&gt;=DATE(YEAR($D42),MONTH($D42),1),AJ$5&lt;=$E42)),'Phased Budget'!AL42,"")))</f>
        <v/>
      </c>
      <c r="AK42" s="42" t="str">
        <f aca="false">IF($B42="","",IF(AK$5&lt;=Projects!$C$2,IF(OR(IF($D42="",FALSE(),AND(AK$5&gt;=DATE(YEAR($D42),MONTH($D42),1),AK$5&lt;=$E42)),N('WIP Log'!AI42)&lt;&gt;0),N('WIP Log'!AI42),""),IF(IF($D42="",FALSE(),AND(AK$5&gt;=DATE(YEAR($D42),MONTH($D42),1),AK$5&lt;=$E42)),'Phased Budget'!AM42,"")))</f>
        <v/>
      </c>
      <c r="AL42" s="42" t="str">
        <f aca="false">IF($B42="","",IF(AL$5&lt;=Projects!$C$2,IF(OR(IF($D42="",FALSE(),AND(AL$5&gt;=DATE(YEAR($D42),MONTH($D42),1),AL$5&lt;=$E42)),N('WIP Log'!AJ42)&lt;&gt;0),N('WIP Log'!AJ42),""),IF(IF($D42="",FALSE(),AND(AL$5&gt;=DATE(YEAR($D42),MONTH($D42),1),AL$5&lt;=$E42)),'Phased Budget'!AN42,"")))</f>
        <v/>
      </c>
      <c r="AM42" s="42" t="str">
        <f aca="false">IF($B42="","",IF(AM$5&lt;=Projects!$C$2,IF(OR(IF($D42="",FALSE(),AND(AM$5&gt;=DATE(YEAR($D42),MONTH($D42),1),AM$5&lt;=$E42)),N('WIP Log'!AK42)&lt;&gt;0),N('WIP Log'!AK42),""),IF(IF($D42="",FALSE(),AND(AM$5&gt;=DATE(YEAR($D42),MONTH($D42),1),AM$5&lt;=$E42)),'Phased Budget'!AO42,"")))</f>
        <v/>
      </c>
      <c r="AN42" s="42" t="str">
        <f aca="false">IF($B42="","",IF(AN$5&lt;=Projects!$C$2,IF(OR(IF($D42="",FALSE(),AND(AN$5&gt;=DATE(YEAR($D42),MONTH($D42),1),AN$5&lt;=$E42)),N('WIP Log'!AL42)&lt;&gt;0),N('WIP Log'!AL42),""),IF(IF($D42="",FALSE(),AND(AN$5&gt;=DATE(YEAR($D42),MONTH($D42),1),AN$5&lt;=$E42)),'Phased Budget'!AP42,"")))</f>
        <v/>
      </c>
      <c r="AO42" s="42" t="str">
        <f aca="false">IF($B42="","",IF(AO$5&lt;=Projects!$C$2,IF(OR(IF($D42="",FALSE(),AND(AO$5&gt;=DATE(YEAR($D42),MONTH($D42),1),AO$5&lt;=$E42)),N('WIP Log'!AM42)&lt;&gt;0),N('WIP Log'!AM42),""),IF(IF($D42="",FALSE(),AND(AO$5&gt;=DATE(YEAR($D42),MONTH($D42),1),AO$5&lt;=$E42)),'Phased Budget'!AQ42,"")))</f>
        <v/>
      </c>
    </row>
    <row r="43" customFormat="false" ht="15" hidden="false" customHeight="false" outlineLevel="0" collapsed="false">
      <c r="A43" s="20" t="n">
        <v>38</v>
      </c>
      <c r="B43" s="40" t="str">
        <f aca="false">IF(Projects!B43="","",Projects!B43)</f>
        <v/>
      </c>
      <c r="C43" s="40" t="str">
        <f aca="false">IF(Projects!C43="","",Projects!C43)</f>
        <v/>
      </c>
      <c r="D43" s="41" t="str">
        <f aca="false">IF(Projects!D43="","",Projects!D43)</f>
        <v/>
      </c>
      <c r="E43" s="41" t="str">
        <f aca="false">IF(Projects!F43="","",Projects!F43)</f>
        <v/>
      </c>
      <c r="F43" s="42" t="str">
        <f aca="false">IF($B43="","",IF(F$5&lt;=Projects!$C$2,IF(OR(IF($D43="",FALSE(),AND(F$5&gt;=DATE(YEAR($D43),MONTH($D43),1),F$5&lt;=$E43)),N('WIP Log'!D43)&lt;&gt;0),N('WIP Log'!D43),""),IF(IF($D43="",FALSE(),AND(F$5&gt;=DATE(YEAR($D43),MONTH($D43),1),F$5&lt;=$E43)),'Phased Budget'!H43,"")))</f>
        <v/>
      </c>
      <c r="G43" s="42" t="str">
        <f aca="false">IF($B43="","",IF(G$5&lt;=Projects!$C$2,IF(OR(IF($D43="",FALSE(),AND(G$5&gt;=DATE(YEAR($D43),MONTH($D43),1),G$5&lt;=$E43)),N('WIP Log'!E43)&lt;&gt;0),N('WIP Log'!E43),""),IF(IF($D43="",FALSE(),AND(G$5&gt;=DATE(YEAR($D43),MONTH($D43),1),G$5&lt;=$E43)),'Phased Budget'!I43,"")))</f>
        <v/>
      </c>
      <c r="H43" s="42" t="str">
        <f aca="false">IF($B43="","",IF(H$5&lt;=Projects!$C$2,IF(OR(IF($D43="",FALSE(),AND(H$5&gt;=DATE(YEAR($D43),MONTH($D43),1),H$5&lt;=$E43)),N('WIP Log'!F43)&lt;&gt;0),N('WIP Log'!F43),""),IF(IF($D43="",FALSE(),AND(H$5&gt;=DATE(YEAR($D43),MONTH($D43),1),H$5&lt;=$E43)),'Phased Budget'!J43,"")))</f>
        <v/>
      </c>
      <c r="I43" s="42" t="str">
        <f aca="false">IF($B43="","",IF(I$5&lt;=Projects!$C$2,IF(OR(IF($D43="",FALSE(),AND(I$5&gt;=DATE(YEAR($D43),MONTH($D43),1),I$5&lt;=$E43)),N('WIP Log'!G43)&lt;&gt;0),N('WIP Log'!G43),""),IF(IF($D43="",FALSE(),AND(I$5&gt;=DATE(YEAR($D43),MONTH($D43),1),I$5&lt;=$E43)),'Phased Budget'!K43,"")))</f>
        <v/>
      </c>
      <c r="J43" s="42" t="str">
        <f aca="false">IF($B43="","",IF(J$5&lt;=Projects!$C$2,IF(OR(IF($D43="",FALSE(),AND(J$5&gt;=DATE(YEAR($D43),MONTH($D43),1),J$5&lt;=$E43)),N('WIP Log'!H43)&lt;&gt;0),N('WIP Log'!H43),""),IF(IF($D43="",FALSE(),AND(J$5&gt;=DATE(YEAR($D43),MONTH($D43),1),J$5&lt;=$E43)),'Phased Budget'!L43,"")))</f>
        <v/>
      </c>
      <c r="K43" s="42" t="str">
        <f aca="false">IF($B43="","",IF(K$5&lt;=Projects!$C$2,IF(OR(IF($D43="",FALSE(),AND(K$5&gt;=DATE(YEAR($D43),MONTH($D43),1),K$5&lt;=$E43)),N('WIP Log'!I43)&lt;&gt;0),N('WIP Log'!I43),""),IF(IF($D43="",FALSE(),AND(K$5&gt;=DATE(YEAR($D43),MONTH($D43),1),K$5&lt;=$E43)),'Phased Budget'!M43,"")))</f>
        <v/>
      </c>
      <c r="L43" s="42" t="str">
        <f aca="false">IF($B43="","",IF(L$5&lt;=Projects!$C$2,IF(OR(IF($D43="",FALSE(),AND(L$5&gt;=DATE(YEAR($D43),MONTH($D43),1),L$5&lt;=$E43)),N('WIP Log'!J43)&lt;&gt;0),N('WIP Log'!J43),""),IF(IF($D43="",FALSE(),AND(L$5&gt;=DATE(YEAR($D43),MONTH($D43),1),L$5&lt;=$E43)),'Phased Budget'!N43,"")))</f>
        <v/>
      </c>
      <c r="M43" s="42" t="str">
        <f aca="false">IF($B43="","",IF(M$5&lt;=Projects!$C$2,IF(OR(IF($D43="",FALSE(),AND(M$5&gt;=DATE(YEAR($D43),MONTH($D43),1),M$5&lt;=$E43)),N('WIP Log'!K43)&lt;&gt;0),N('WIP Log'!K43),""),IF(IF($D43="",FALSE(),AND(M$5&gt;=DATE(YEAR($D43),MONTH($D43),1),M$5&lt;=$E43)),'Phased Budget'!O43,"")))</f>
        <v/>
      </c>
      <c r="N43" s="42" t="str">
        <f aca="false">IF($B43="","",IF(N$5&lt;=Projects!$C$2,IF(OR(IF($D43="",FALSE(),AND(N$5&gt;=DATE(YEAR($D43),MONTH($D43),1),N$5&lt;=$E43)),N('WIP Log'!L43)&lt;&gt;0),N('WIP Log'!L43),""),IF(IF($D43="",FALSE(),AND(N$5&gt;=DATE(YEAR($D43),MONTH($D43),1),N$5&lt;=$E43)),'Phased Budget'!P43,"")))</f>
        <v/>
      </c>
      <c r="O43" s="42" t="str">
        <f aca="false">IF($B43="","",IF(O$5&lt;=Projects!$C$2,IF(OR(IF($D43="",FALSE(),AND(O$5&gt;=DATE(YEAR($D43),MONTH($D43),1),O$5&lt;=$E43)),N('WIP Log'!M43)&lt;&gt;0),N('WIP Log'!M43),""),IF(IF($D43="",FALSE(),AND(O$5&gt;=DATE(YEAR($D43),MONTH($D43),1),O$5&lt;=$E43)),'Phased Budget'!Q43,"")))</f>
        <v/>
      </c>
      <c r="P43" s="42" t="str">
        <f aca="false">IF($B43="","",IF(P$5&lt;=Projects!$C$2,IF(OR(IF($D43="",FALSE(),AND(P$5&gt;=DATE(YEAR($D43),MONTH($D43),1),P$5&lt;=$E43)),N('WIP Log'!N43)&lt;&gt;0),N('WIP Log'!N43),""),IF(IF($D43="",FALSE(),AND(P$5&gt;=DATE(YEAR($D43),MONTH($D43),1),P$5&lt;=$E43)),'Phased Budget'!R43,"")))</f>
        <v/>
      </c>
      <c r="Q43" s="42" t="str">
        <f aca="false">IF($B43="","",IF(Q$5&lt;=Projects!$C$2,IF(OR(IF($D43="",FALSE(),AND(Q$5&gt;=DATE(YEAR($D43),MONTH($D43),1),Q$5&lt;=$E43)),N('WIP Log'!O43)&lt;&gt;0),N('WIP Log'!O43),""),IF(IF($D43="",FALSE(),AND(Q$5&gt;=DATE(YEAR($D43),MONTH($D43),1),Q$5&lt;=$E43)),'Phased Budget'!S43,"")))</f>
        <v/>
      </c>
      <c r="R43" s="42" t="str">
        <f aca="false">IF($B43="","",IF(R$5&lt;=Projects!$C$2,IF(OR(IF($D43="",FALSE(),AND(R$5&gt;=DATE(YEAR($D43),MONTH($D43),1),R$5&lt;=$E43)),N('WIP Log'!P43)&lt;&gt;0),N('WIP Log'!P43),""),IF(IF($D43="",FALSE(),AND(R$5&gt;=DATE(YEAR($D43),MONTH($D43),1),R$5&lt;=$E43)),'Phased Budget'!T43,"")))</f>
        <v/>
      </c>
      <c r="S43" s="42" t="str">
        <f aca="false">IF($B43="","",IF(S$5&lt;=Projects!$C$2,IF(OR(IF($D43="",FALSE(),AND(S$5&gt;=DATE(YEAR($D43),MONTH($D43),1),S$5&lt;=$E43)),N('WIP Log'!Q43)&lt;&gt;0),N('WIP Log'!Q43),""),IF(IF($D43="",FALSE(),AND(S$5&gt;=DATE(YEAR($D43),MONTH($D43),1),S$5&lt;=$E43)),'Phased Budget'!U43,"")))</f>
        <v/>
      </c>
      <c r="T43" s="42" t="str">
        <f aca="false">IF($B43="","",IF(T$5&lt;=Projects!$C$2,IF(OR(IF($D43="",FALSE(),AND(T$5&gt;=DATE(YEAR($D43),MONTH($D43),1),T$5&lt;=$E43)),N('WIP Log'!R43)&lt;&gt;0),N('WIP Log'!R43),""),IF(IF($D43="",FALSE(),AND(T$5&gt;=DATE(YEAR($D43),MONTH($D43),1),T$5&lt;=$E43)),'Phased Budget'!V43,"")))</f>
        <v/>
      </c>
      <c r="U43" s="42" t="str">
        <f aca="false">IF($B43="","",IF(U$5&lt;=Projects!$C$2,IF(OR(IF($D43="",FALSE(),AND(U$5&gt;=DATE(YEAR($D43),MONTH($D43),1),U$5&lt;=$E43)),N('WIP Log'!S43)&lt;&gt;0),N('WIP Log'!S43),""),IF(IF($D43="",FALSE(),AND(U$5&gt;=DATE(YEAR($D43),MONTH($D43),1),U$5&lt;=$E43)),'Phased Budget'!W43,"")))</f>
        <v/>
      </c>
      <c r="V43" s="42" t="str">
        <f aca="false">IF($B43="","",IF(V$5&lt;=Projects!$C$2,IF(OR(IF($D43="",FALSE(),AND(V$5&gt;=DATE(YEAR($D43),MONTH($D43),1),V$5&lt;=$E43)),N('WIP Log'!T43)&lt;&gt;0),N('WIP Log'!T43),""),IF(IF($D43="",FALSE(),AND(V$5&gt;=DATE(YEAR($D43),MONTH($D43),1),V$5&lt;=$E43)),'Phased Budget'!X43,"")))</f>
        <v/>
      </c>
      <c r="W43" s="42" t="str">
        <f aca="false">IF($B43="","",IF(W$5&lt;=Projects!$C$2,IF(OR(IF($D43="",FALSE(),AND(W$5&gt;=DATE(YEAR($D43),MONTH($D43),1),W$5&lt;=$E43)),N('WIP Log'!U43)&lt;&gt;0),N('WIP Log'!U43),""),IF(IF($D43="",FALSE(),AND(W$5&gt;=DATE(YEAR($D43),MONTH($D43),1),W$5&lt;=$E43)),'Phased Budget'!Y43,"")))</f>
        <v/>
      </c>
      <c r="X43" s="42" t="str">
        <f aca="false">IF($B43="","",IF(X$5&lt;=Projects!$C$2,IF(OR(IF($D43="",FALSE(),AND(X$5&gt;=DATE(YEAR($D43),MONTH($D43),1),X$5&lt;=$E43)),N('WIP Log'!V43)&lt;&gt;0),N('WIP Log'!V43),""),IF(IF($D43="",FALSE(),AND(X$5&gt;=DATE(YEAR($D43),MONTH($D43),1),X$5&lt;=$E43)),'Phased Budget'!Z43,"")))</f>
        <v/>
      </c>
      <c r="Y43" s="42" t="str">
        <f aca="false">IF($B43="","",IF(Y$5&lt;=Projects!$C$2,IF(OR(IF($D43="",FALSE(),AND(Y$5&gt;=DATE(YEAR($D43),MONTH($D43),1),Y$5&lt;=$E43)),N('WIP Log'!W43)&lt;&gt;0),N('WIP Log'!W43),""),IF(IF($D43="",FALSE(),AND(Y$5&gt;=DATE(YEAR($D43),MONTH($D43),1),Y$5&lt;=$E43)),'Phased Budget'!AA43,"")))</f>
        <v/>
      </c>
      <c r="Z43" s="42" t="str">
        <f aca="false">IF($B43="","",IF(Z$5&lt;=Projects!$C$2,IF(OR(IF($D43="",FALSE(),AND(Z$5&gt;=DATE(YEAR($D43),MONTH($D43),1),Z$5&lt;=$E43)),N('WIP Log'!X43)&lt;&gt;0),N('WIP Log'!X43),""),IF(IF($D43="",FALSE(),AND(Z$5&gt;=DATE(YEAR($D43),MONTH($D43),1),Z$5&lt;=$E43)),'Phased Budget'!AB43,"")))</f>
        <v/>
      </c>
      <c r="AA43" s="42" t="str">
        <f aca="false">IF($B43="","",IF(AA$5&lt;=Projects!$C$2,IF(OR(IF($D43="",FALSE(),AND(AA$5&gt;=DATE(YEAR($D43),MONTH($D43),1),AA$5&lt;=$E43)),N('WIP Log'!Y43)&lt;&gt;0),N('WIP Log'!Y43),""),IF(IF($D43="",FALSE(),AND(AA$5&gt;=DATE(YEAR($D43),MONTH($D43),1),AA$5&lt;=$E43)),'Phased Budget'!AC43,"")))</f>
        <v/>
      </c>
      <c r="AB43" s="42" t="str">
        <f aca="false">IF($B43="","",IF(AB$5&lt;=Projects!$C$2,IF(OR(IF($D43="",FALSE(),AND(AB$5&gt;=DATE(YEAR($D43),MONTH($D43),1),AB$5&lt;=$E43)),N('WIP Log'!Z43)&lt;&gt;0),N('WIP Log'!Z43),""),IF(IF($D43="",FALSE(),AND(AB$5&gt;=DATE(YEAR($D43),MONTH($D43),1),AB$5&lt;=$E43)),'Phased Budget'!AD43,"")))</f>
        <v/>
      </c>
      <c r="AC43" s="42" t="str">
        <f aca="false">IF($B43="","",IF(AC$5&lt;=Projects!$C$2,IF(OR(IF($D43="",FALSE(),AND(AC$5&gt;=DATE(YEAR($D43),MONTH($D43),1),AC$5&lt;=$E43)),N('WIP Log'!AA43)&lt;&gt;0),N('WIP Log'!AA43),""),IF(IF($D43="",FALSE(),AND(AC$5&gt;=DATE(YEAR($D43),MONTH($D43),1),AC$5&lt;=$E43)),'Phased Budget'!AE43,"")))</f>
        <v/>
      </c>
      <c r="AD43" s="42" t="str">
        <f aca="false">IF($B43="","",IF(AD$5&lt;=Projects!$C$2,IF(OR(IF($D43="",FALSE(),AND(AD$5&gt;=DATE(YEAR($D43),MONTH($D43),1),AD$5&lt;=$E43)),N('WIP Log'!AB43)&lt;&gt;0),N('WIP Log'!AB43),""),IF(IF($D43="",FALSE(),AND(AD$5&gt;=DATE(YEAR($D43),MONTH($D43),1),AD$5&lt;=$E43)),'Phased Budget'!AF43,"")))</f>
        <v/>
      </c>
      <c r="AE43" s="42" t="str">
        <f aca="false">IF($B43="","",IF(AE$5&lt;=Projects!$C$2,IF(OR(IF($D43="",FALSE(),AND(AE$5&gt;=DATE(YEAR($D43),MONTH($D43),1),AE$5&lt;=$E43)),N('WIP Log'!AC43)&lt;&gt;0),N('WIP Log'!AC43),""),IF(IF($D43="",FALSE(),AND(AE$5&gt;=DATE(YEAR($D43),MONTH($D43),1),AE$5&lt;=$E43)),'Phased Budget'!AG43,"")))</f>
        <v/>
      </c>
      <c r="AF43" s="42" t="str">
        <f aca="false">IF($B43="","",IF(AF$5&lt;=Projects!$C$2,IF(OR(IF($D43="",FALSE(),AND(AF$5&gt;=DATE(YEAR($D43),MONTH($D43),1),AF$5&lt;=$E43)),N('WIP Log'!AD43)&lt;&gt;0),N('WIP Log'!AD43),""),IF(IF($D43="",FALSE(),AND(AF$5&gt;=DATE(YEAR($D43),MONTH($D43),1),AF$5&lt;=$E43)),'Phased Budget'!AH43,"")))</f>
        <v/>
      </c>
      <c r="AG43" s="42" t="str">
        <f aca="false">IF($B43="","",IF(AG$5&lt;=Projects!$C$2,IF(OR(IF($D43="",FALSE(),AND(AG$5&gt;=DATE(YEAR($D43),MONTH($D43),1),AG$5&lt;=$E43)),N('WIP Log'!AE43)&lt;&gt;0),N('WIP Log'!AE43),""),IF(IF($D43="",FALSE(),AND(AG$5&gt;=DATE(YEAR($D43),MONTH($D43),1),AG$5&lt;=$E43)),'Phased Budget'!AI43,"")))</f>
        <v/>
      </c>
      <c r="AH43" s="42" t="str">
        <f aca="false">IF($B43="","",IF(AH$5&lt;=Projects!$C$2,IF(OR(IF($D43="",FALSE(),AND(AH$5&gt;=DATE(YEAR($D43),MONTH($D43),1),AH$5&lt;=$E43)),N('WIP Log'!AF43)&lt;&gt;0),N('WIP Log'!AF43),""),IF(IF($D43="",FALSE(),AND(AH$5&gt;=DATE(YEAR($D43),MONTH($D43),1),AH$5&lt;=$E43)),'Phased Budget'!AJ43,"")))</f>
        <v/>
      </c>
      <c r="AI43" s="42" t="str">
        <f aca="false">IF($B43="","",IF(AI$5&lt;=Projects!$C$2,IF(OR(IF($D43="",FALSE(),AND(AI$5&gt;=DATE(YEAR($D43),MONTH($D43),1),AI$5&lt;=$E43)),N('WIP Log'!AG43)&lt;&gt;0),N('WIP Log'!AG43),""),IF(IF($D43="",FALSE(),AND(AI$5&gt;=DATE(YEAR($D43),MONTH($D43),1),AI$5&lt;=$E43)),'Phased Budget'!AK43,"")))</f>
        <v/>
      </c>
      <c r="AJ43" s="42" t="str">
        <f aca="false">IF($B43="","",IF(AJ$5&lt;=Projects!$C$2,IF(OR(IF($D43="",FALSE(),AND(AJ$5&gt;=DATE(YEAR($D43),MONTH($D43),1),AJ$5&lt;=$E43)),N('WIP Log'!AH43)&lt;&gt;0),N('WIP Log'!AH43),""),IF(IF($D43="",FALSE(),AND(AJ$5&gt;=DATE(YEAR($D43),MONTH($D43),1),AJ$5&lt;=$E43)),'Phased Budget'!AL43,"")))</f>
        <v/>
      </c>
      <c r="AK43" s="42" t="str">
        <f aca="false">IF($B43="","",IF(AK$5&lt;=Projects!$C$2,IF(OR(IF($D43="",FALSE(),AND(AK$5&gt;=DATE(YEAR($D43),MONTH($D43),1),AK$5&lt;=$E43)),N('WIP Log'!AI43)&lt;&gt;0),N('WIP Log'!AI43),""),IF(IF($D43="",FALSE(),AND(AK$5&gt;=DATE(YEAR($D43),MONTH($D43),1),AK$5&lt;=$E43)),'Phased Budget'!AM43,"")))</f>
        <v/>
      </c>
      <c r="AL43" s="42" t="str">
        <f aca="false">IF($B43="","",IF(AL$5&lt;=Projects!$C$2,IF(OR(IF($D43="",FALSE(),AND(AL$5&gt;=DATE(YEAR($D43),MONTH($D43),1),AL$5&lt;=$E43)),N('WIP Log'!AJ43)&lt;&gt;0),N('WIP Log'!AJ43),""),IF(IF($D43="",FALSE(),AND(AL$5&gt;=DATE(YEAR($D43),MONTH($D43),1),AL$5&lt;=$E43)),'Phased Budget'!AN43,"")))</f>
        <v/>
      </c>
      <c r="AM43" s="42" t="str">
        <f aca="false">IF($B43="","",IF(AM$5&lt;=Projects!$C$2,IF(OR(IF($D43="",FALSE(),AND(AM$5&gt;=DATE(YEAR($D43),MONTH($D43),1),AM$5&lt;=$E43)),N('WIP Log'!AK43)&lt;&gt;0),N('WIP Log'!AK43),""),IF(IF($D43="",FALSE(),AND(AM$5&gt;=DATE(YEAR($D43),MONTH($D43),1),AM$5&lt;=$E43)),'Phased Budget'!AO43,"")))</f>
        <v/>
      </c>
      <c r="AN43" s="42" t="str">
        <f aca="false">IF($B43="","",IF(AN$5&lt;=Projects!$C$2,IF(OR(IF($D43="",FALSE(),AND(AN$5&gt;=DATE(YEAR($D43),MONTH($D43),1),AN$5&lt;=$E43)),N('WIP Log'!AL43)&lt;&gt;0),N('WIP Log'!AL43),""),IF(IF($D43="",FALSE(),AND(AN$5&gt;=DATE(YEAR($D43),MONTH($D43),1),AN$5&lt;=$E43)),'Phased Budget'!AP43,"")))</f>
        <v/>
      </c>
      <c r="AO43" s="42" t="str">
        <f aca="false">IF($B43="","",IF(AO$5&lt;=Projects!$C$2,IF(OR(IF($D43="",FALSE(),AND(AO$5&gt;=DATE(YEAR($D43),MONTH($D43),1),AO$5&lt;=$E43)),N('WIP Log'!AM43)&lt;&gt;0),N('WIP Log'!AM43),""),IF(IF($D43="",FALSE(),AND(AO$5&gt;=DATE(YEAR($D43),MONTH($D43),1),AO$5&lt;=$E43)),'Phased Budget'!AQ43,"")))</f>
        <v/>
      </c>
    </row>
    <row r="44" customFormat="false" ht="15" hidden="false" customHeight="false" outlineLevel="0" collapsed="false">
      <c r="A44" s="20" t="n">
        <v>39</v>
      </c>
      <c r="B44" s="40" t="str">
        <f aca="false">IF(Projects!B44="","",Projects!B44)</f>
        <v/>
      </c>
      <c r="C44" s="40" t="str">
        <f aca="false">IF(Projects!C44="","",Projects!C44)</f>
        <v/>
      </c>
      <c r="D44" s="41" t="str">
        <f aca="false">IF(Projects!D44="","",Projects!D44)</f>
        <v/>
      </c>
      <c r="E44" s="41" t="str">
        <f aca="false">IF(Projects!F44="","",Projects!F44)</f>
        <v/>
      </c>
      <c r="F44" s="42" t="str">
        <f aca="false">IF($B44="","",IF(F$5&lt;=Projects!$C$2,IF(OR(IF($D44="",FALSE(),AND(F$5&gt;=DATE(YEAR($D44),MONTH($D44),1),F$5&lt;=$E44)),N('WIP Log'!D44)&lt;&gt;0),N('WIP Log'!D44),""),IF(IF($D44="",FALSE(),AND(F$5&gt;=DATE(YEAR($D44),MONTH($D44),1),F$5&lt;=$E44)),'Phased Budget'!H44,"")))</f>
        <v/>
      </c>
      <c r="G44" s="42" t="str">
        <f aca="false">IF($B44="","",IF(G$5&lt;=Projects!$C$2,IF(OR(IF($D44="",FALSE(),AND(G$5&gt;=DATE(YEAR($D44),MONTH($D44),1),G$5&lt;=$E44)),N('WIP Log'!E44)&lt;&gt;0),N('WIP Log'!E44),""),IF(IF($D44="",FALSE(),AND(G$5&gt;=DATE(YEAR($D44),MONTH($D44),1),G$5&lt;=$E44)),'Phased Budget'!I44,"")))</f>
        <v/>
      </c>
      <c r="H44" s="42" t="str">
        <f aca="false">IF($B44="","",IF(H$5&lt;=Projects!$C$2,IF(OR(IF($D44="",FALSE(),AND(H$5&gt;=DATE(YEAR($D44),MONTH($D44),1),H$5&lt;=$E44)),N('WIP Log'!F44)&lt;&gt;0),N('WIP Log'!F44),""),IF(IF($D44="",FALSE(),AND(H$5&gt;=DATE(YEAR($D44),MONTH($D44),1),H$5&lt;=$E44)),'Phased Budget'!J44,"")))</f>
        <v/>
      </c>
      <c r="I44" s="42" t="str">
        <f aca="false">IF($B44="","",IF(I$5&lt;=Projects!$C$2,IF(OR(IF($D44="",FALSE(),AND(I$5&gt;=DATE(YEAR($D44),MONTH($D44),1),I$5&lt;=$E44)),N('WIP Log'!G44)&lt;&gt;0),N('WIP Log'!G44),""),IF(IF($D44="",FALSE(),AND(I$5&gt;=DATE(YEAR($D44),MONTH($D44),1),I$5&lt;=$E44)),'Phased Budget'!K44,"")))</f>
        <v/>
      </c>
      <c r="J44" s="42" t="str">
        <f aca="false">IF($B44="","",IF(J$5&lt;=Projects!$C$2,IF(OR(IF($D44="",FALSE(),AND(J$5&gt;=DATE(YEAR($D44),MONTH($D44),1),J$5&lt;=$E44)),N('WIP Log'!H44)&lt;&gt;0),N('WIP Log'!H44),""),IF(IF($D44="",FALSE(),AND(J$5&gt;=DATE(YEAR($D44),MONTH($D44),1),J$5&lt;=$E44)),'Phased Budget'!L44,"")))</f>
        <v/>
      </c>
      <c r="K44" s="42" t="str">
        <f aca="false">IF($B44="","",IF(K$5&lt;=Projects!$C$2,IF(OR(IF($D44="",FALSE(),AND(K$5&gt;=DATE(YEAR($D44),MONTH($D44),1),K$5&lt;=$E44)),N('WIP Log'!I44)&lt;&gt;0),N('WIP Log'!I44),""),IF(IF($D44="",FALSE(),AND(K$5&gt;=DATE(YEAR($D44),MONTH($D44),1),K$5&lt;=$E44)),'Phased Budget'!M44,"")))</f>
        <v/>
      </c>
      <c r="L44" s="42" t="str">
        <f aca="false">IF($B44="","",IF(L$5&lt;=Projects!$C$2,IF(OR(IF($D44="",FALSE(),AND(L$5&gt;=DATE(YEAR($D44),MONTH($D44),1),L$5&lt;=$E44)),N('WIP Log'!J44)&lt;&gt;0),N('WIP Log'!J44),""),IF(IF($D44="",FALSE(),AND(L$5&gt;=DATE(YEAR($D44),MONTH($D44),1),L$5&lt;=$E44)),'Phased Budget'!N44,"")))</f>
        <v/>
      </c>
      <c r="M44" s="42" t="str">
        <f aca="false">IF($B44="","",IF(M$5&lt;=Projects!$C$2,IF(OR(IF($D44="",FALSE(),AND(M$5&gt;=DATE(YEAR($D44),MONTH($D44),1),M$5&lt;=$E44)),N('WIP Log'!K44)&lt;&gt;0),N('WIP Log'!K44),""),IF(IF($D44="",FALSE(),AND(M$5&gt;=DATE(YEAR($D44),MONTH($D44),1),M$5&lt;=$E44)),'Phased Budget'!O44,"")))</f>
        <v/>
      </c>
      <c r="N44" s="42" t="str">
        <f aca="false">IF($B44="","",IF(N$5&lt;=Projects!$C$2,IF(OR(IF($D44="",FALSE(),AND(N$5&gt;=DATE(YEAR($D44),MONTH($D44),1),N$5&lt;=$E44)),N('WIP Log'!L44)&lt;&gt;0),N('WIP Log'!L44),""),IF(IF($D44="",FALSE(),AND(N$5&gt;=DATE(YEAR($D44),MONTH($D44),1),N$5&lt;=$E44)),'Phased Budget'!P44,"")))</f>
        <v/>
      </c>
      <c r="O44" s="42" t="str">
        <f aca="false">IF($B44="","",IF(O$5&lt;=Projects!$C$2,IF(OR(IF($D44="",FALSE(),AND(O$5&gt;=DATE(YEAR($D44),MONTH($D44),1),O$5&lt;=$E44)),N('WIP Log'!M44)&lt;&gt;0),N('WIP Log'!M44),""),IF(IF($D44="",FALSE(),AND(O$5&gt;=DATE(YEAR($D44),MONTH($D44),1),O$5&lt;=$E44)),'Phased Budget'!Q44,"")))</f>
        <v/>
      </c>
      <c r="P44" s="42" t="str">
        <f aca="false">IF($B44="","",IF(P$5&lt;=Projects!$C$2,IF(OR(IF($D44="",FALSE(),AND(P$5&gt;=DATE(YEAR($D44),MONTH($D44),1),P$5&lt;=$E44)),N('WIP Log'!N44)&lt;&gt;0),N('WIP Log'!N44),""),IF(IF($D44="",FALSE(),AND(P$5&gt;=DATE(YEAR($D44),MONTH($D44),1),P$5&lt;=$E44)),'Phased Budget'!R44,"")))</f>
        <v/>
      </c>
      <c r="Q44" s="42" t="str">
        <f aca="false">IF($B44="","",IF(Q$5&lt;=Projects!$C$2,IF(OR(IF($D44="",FALSE(),AND(Q$5&gt;=DATE(YEAR($D44),MONTH($D44),1),Q$5&lt;=$E44)),N('WIP Log'!O44)&lt;&gt;0),N('WIP Log'!O44),""),IF(IF($D44="",FALSE(),AND(Q$5&gt;=DATE(YEAR($D44),MONTH($D44),1),Q$5&lt;=$E44)),'Phased Budget'!S44,"")))</f>
        <v/>
      </c>
      <c r="R44" s="42" t="str">
        <f aca="false">IF($B44="","",IF(R$5&lt;=Projects!$C$2,IF(OR(IF($D44="",FALSE(),AND(R$5&gt;=DATE(YEAR($D44),MONTH($D44),1),R$5&lt;=$E44)),N('WIP Log'!P44)&lt;&gt;0),N('WIP Log'!P44),""),IF(IF($D44="",FALSE(),AND(R$5&gt;=DATE(YEAR($D44),MONTH($D44),1),R$5&lt;=$E44)),'Phased Budget'!T44,"")))</f>
        <v/>
      </c>
      <c r="S44" s="42" t="str">
        <f aca="false">IF($B44="","",IF(S$5&lt;=Projects!$C$2,IF(OR(IF($D44="",FALSE(),AND(S$5&gt;=DATE(YEAR($D44),MONTH($D44),1),S$5&lt;=$E44)),N('WIP Log'!Q44)&lt;&gt;0),N('WIP Log'!Q44),""),IF(IF($D44="",FALSE(),AND(S$5&gt;=DATE(YEAR($D44),MONTH($D44),1),S$5&lt;=$E44)),'Phased Budget'!U44,"")))</f>
        <v/>
      </c>
      <c r="T44" s="42" t="str">
        <f aca="false">IF($B44="","",IF(T$5&lt;=Projects!$C$2,IF(OR(IF($D44="",FALSE(),AND(T$5&gt;=DATE(YEAR($D44),MONTH($D44),1),T$5&lt;=$E44)),N('WIP Log'!R44)&lt;&gt;0),N('WIP Log'!R44),""),IF(IF($D44="",FALSE(),AND(T$5&gt;=DATE(YEAR($D44),MONTH($D44),1),T$5&lt;=$E44)),'Phased Budget'!V44,"")))</f>
        <v/>
      </c>
      <c r="U44" s="42" t="str">
        <f aca="false">IF($B44="","",IF(U$5&lt;=Projects!$C$2,IF(OR(IF($D44="",FALSE(),AND(U$5&gt;=DATE(YEAR($D44),MONTH($D44),1),U$5&lt;=$E44)),N('WIP Log'!S44)&lt;&gt;0),N('WIP Log'!S44),""),IF(IF($D44="",FALSE(),AND(U$5&gt;=DATE(YEAR($D44),MONTH($D44),1),U$5&lt;=$E44)),'Phased Budget'!W44,"")))</f>
        <v/>
      </c>
      <c r="V44" s="42" t="str">
        <f aca="false">IF($B44="","",IF(V$5&lt;=Projects!$C$2,IF(OR(IF($D44="",FALSE(),AND(V$5&gt;=DATE(YEAR($D44),MONTH($D44),1),V$5&lt;=$E44)),N('WIP Log'!T44)&lt;&gt;0),N('WIP Log'!T44),""),IF(IF($D44="",FALSE(),AND(V$5&gt;=DATE(YEAR($D44),MONTH($D44),1),V$5&lt;=$E44)),'Phased Budget'!X44,"")))</f>
        <v/>
      </c>
      <c r="W44" s="42" t="str">
        <f aca="false">IF($B44="","",IF(W$5&lt;=Projects!$C$2,IF(OR(IF($D44="",FALSE(),AND(W$5&gt;=DATE(YEAR($D44),MONTH($D44),1),W$5&lt;=$E44)),N('WIP Log'!U44)&lt;&gt;0),N('WIP Log'!U44),""),IF(IF($D44="",FALSE(),AND(W$5&gt;=DATE(YEAR($D44),MONTH($D44),1),W$5&lt;=$E44)),'Phased Budget'!Y44,"")))</f>
        <v/>
      </c>
      <c r="X44" s="42" t="str">
        <f aca="false">IF($B44="","",IF(X$5&lt;=Projects!$C$2,IF(OR(IF($D44="",FALSE(),AND(X$5&gt;=DATE(YEAR($D44),MONTH($D44),1),X$5&lt;=$E44)),N('WIP Log'!V44)&lt;&gt;0),N('WIP Log'!V44),""),IF(IF($D44="",FALSE(),AND(X$5&gt;=DATE(YEAR($D44),MONTH($D44),1),X$5&lt;=$E44)),'Phased Budget'!Z44,"")))</f>
        <v/>
      </c>
      <c r="Y44" s="42" t="str">
        <f aca="false">IF($B44="","",IF(Y$5&lt;=Projects!$C$2,IF(OR(IF($D44="",FALSE(),AND(Y$5&gt;=DATE(YEAR($D44),MONTH($D44),1),Y$5&lt;=$E44)),N('WIP Log'!W44)&lt;&gt;0),N('WIP Log'!W44),""),IF(IF($D44="",FALSE(),AND(Y$5&gt;=DATE(YEAR($D44),MONTH($D44),1),Y$5&lt;=$E44)),'Phased Budget'!AA44,"")))</f>
        <v/>
      </c>
      <c r="Z44" s="42" t="str">
        <f aca="false">IF($B44="","",IF(Z$5&lt;=Projects!$C$2,IF(OR(IF($D44="",FALSE(),AND(Z$5&gt;=DATE(YEAR($D44),MONTH($D44),1),Z$5&lt;=$E44)),N('WIP Log'!X44)&lt;&gt;0),N('WIP Log'!X44),""),IF(IF($D44="",FALSE(),AND(Z$5&gt;=DATE(YEAR($D44),MONTH($D44),1),Z$5&lt;=$E44)),'Phased Budget'!AB44,"")))</f>
        <v/>
      </c>
      <c r="AA44" s="42" t="str">
        <f aca="false">IF($B44="","",IF(AA$5&lt;=Projects!$C$2,IF(OR(IF($D44="",FALSE(),AND(AA$5&gt;=DATE(YEAR($D44),MONTH($D44),1),AA$5&lt;=$E44)),N('WIP Log'!Y44)&lt;&gt;0),N('WIP Log'!Y44),""),IF(IF($D44="",FALSE(),AND(AA$5&gt;=DATE(YEAR($D44),MONTH($D44),1),AA$5&lt;=$E44)),'Phased Budget'!AC44,"")))</f>
        <v/>
      </c>
      <c r="AB44" s="42" t="str">
        <f aca="false">IF($B44="","",IF(AB$5&lt;=Projects!$C$2,IF(OR(IF($D44="",FALSE(),AND(AB$5&gt;=DATE(YEAR($D44),MONTH($D44),1),AB$5&lt;=$E44)),N('WIP Log'!Z44)&lt;&gt;0),N('WIP Log'!Z44),""),IF(IF($D44="",FALSE(),AND(AB$5&gt;=DATE(YEAR($D44),MONTH($D44),1),AB$5&lt;=$E44)),'Phased Budget'!AD44,"")))</f>
        <v/>
      </c>
      <c r="AC44" s="42" t="str">
        <f aca="false">IF($B44="","",IF(AC$5&lt;=Projects!$C$2,IF(OR(IF($D44="",FALSE(),AND(AC$5&gt;=DATE(YEAR($D44),MONTH($D44),1),AC$5&lt;=$E44)),N('WIP Log'!AA44)&lt;&gt;0),N('WIP Log'!AA44),""),IF(IF($D44="",FALSE(),AND(AC$5&gt;=DATE(YEAR($D44),MONTH($D44),1),AC$5&lt;=$E44)),'Phased Budget'!AE44,"")))</f>
        <v/>
      </c>
      <c r="AD44" s="42" t="str">
        <f aca="false">IF($B44="","",IF(AD$5&lt;=Projects!$C$2,IF(OR(IF($D44="",FALSE(),AND(AD$5&gt;=DATE(YEAR($D44),MONTH($D44),1),AD$5&lt;=$E44)),N('WIP Log'!AB44)&lt;&gt;0),N('WIP Log'!AB44),""),IF(IF($D44="",FALSE(),AND(AD$5&gt;=DATE(YEAR($D44),MONTH($D44),1),AD$5&lt;=$E44)),'Phased Budget'!AF44,"")))</f>
        <v/>
      </c>
      <c r="AE44" s="42" t="str">
        <f aca="false">IF($B44="","",IF(AE$5&lt;=Projects!$C$2,IF(OR(IF($D44="",FALSE(),AND(AE$5&gt;=DATE(YEAR($D44),MONTH($D44),1),AE$5&lt;=$E44)),N('WIP Log'!AC44)&lt;&gt;0),N('WIP Log'!AC44),""),IF(IF($D44="",FALSE(),AND(AE$5&gt;=DATE(YEAR($D44),MONTH($D44),1),AE$5&lt;=$E44)),'Phased Budget'!AG44,"")))</f>
        <v/>
      </c>
      <c r="AF44" s="42" t="str">
        <f aca="false">IF($B44="","",IF(AF$5&lt;=Projects!$C$2,IF(OR(IF($D44="",FALSE(),AND(AF$5&gt;=DATE(YEAR($D44),MONTH($D44),1),AF$5&lt;=$E44)),N('WIP Log'!AD44)&lt;&gt;0),N('WIP Log'!AD44),""),IF(IF($D44="",FALSE(),AND(AF$5&gt;=DATE(YEAR($D44),MONTH($D44),1),AF$5&lt;=$E44)),'Phased Budget'!AH44,"")))</f>
        <v/>
      </c>
      <c r="AG44" s="42" t="str">
        <f aca="false">IF($B44="","",IF(AG$5&lt;=Projects!$C$2,IF(OR(IF($D44="",FALSE(),AND(AG$5&gt;=DATE(YEAR($D44),MONTH($D44),1),AG$5&lt;=$E44)),N('WIP Log'!AE44)&lt;&gt;0),N('WIP Log'!AE44),""),IF(IF($D44="",FALSE(),AND(AG$5&gt;=DATE(YEAR($D44),MONTH($D44),1),AG$5&lt;=$E44)),'Phased Budget'!AI44,"")))</f>
        <v/>
      </c>
      <c r="AH44" s="42" t="str">
        <f aca="false">IF($B44="","",IF(AH$5&lt;=Projects!$C$2,IF(OR(IF($D44="",FALSE(),AND(AH$5&gt;=DATE(YEAR($D44),MONTH($D44),1),AH$5&lt;=$E44)),N('WIP Log'!AF44)&lt;&gt;0),N('WIP Log'!AF44),""),IF(IF($D44="",FALSE(),AND(AH$5&gt;=DATE(YEAR($D44),MONTH($D44),1),AH$5&lt;=$E44)),'Phased Budget'!AJ44,"")))</f>
        <v/>
      </c>
      <c r="AI44" s="42" t="str">
        <f aca="false">IF($B44="","",IF(AI$5&lt;=Projects!$C$2,IF(OR(IF($D44="",FALSE(),AND(AI$5&gt;=DATE(YEAR($D44),MONTH($D44),1),AI$5&lt;=$E44)),N('WIP Log'!AG44)&lt;&gt;0),N('WIP Log'!AG44),""),IF(IF($D44="",FALSE(),AND(AI$5&gt;=DATE(YEAR($D44),MONTH($D44),1),AI$5&lt;=$E44)),'Phased Budget'!AK44,"")))</f>
        <v/>
      </c>
      <c r="AJ44" s="42" t="str">
        <f aca="false">IF($B44="","",IF(AJ$5&lt;=Projects!$C$2,IF(OR(IF($D44="",FALSE(),AND(AJ$5&gt;=DATE(YEAR($D44),MONTH($D44),1),AJ$5&lt;=$E44)),N('WIP Log'!AH44)&lt;&gt;0),N('WIP Log'!AH44),""),IF(IF($D44="",FALSE(),AND(AJ$5&gt;=DATE(YEAR($D44),MONTH($D44),1),AJ$5&lt;=$E44)),'Phased Budget'!AL44,"")))</f>
        <v/>
      </c>
      <c r="AK44" s="42" t="str">
        <f aca="false">IF($B44="","",IF(AK$5&lt;=Projects!$C$2,IF(OR(IF($D44="",FALSE(),AND(AK$5&gt;=DATE(YEAR($D44),MONTH($D44),1),AK$5&lt;=$E44)),N('WIP Log'!AI44)&lt;&gt;0),N('WIP Log'!AI44),""),IF(IF($D44="",FALSE(),AND(AK$5&gt;=DATE(YEAR($D44),MONTH($D44),1),AK$5&lt;=$E44)),'Phased Budget'!AM44,"")))</f>
        <v/>
      </c>
      <c r="AL44" s="42" t="str">
        <f aca="false">IF($B44="","",IF(AL$5&lt;=Projects!$C$2,IF(OR(IF($D44="",FALSE(),AND(AL$5&gt;=DATE(YEAR($D44),MONTH($D44),1),AL$5&lt;=$E44)),N('WIP Log'!AJ44)&lt;&gt;0),N('WIP Log'!AJ44),""),IF(IF($D44="",FALSE(),AND(AL$5&gt;=DATE(YEAR($D44),MONTH($D44),1),AL$5&lt;=$E44)),'Phased Budget'!AN44,"")))</f>
        <v/>
      </c>
      <c r="AM44" s="42" t="str">
        <f aca="false">IF($B44="","",IF(AM$5&lt;=Projects!$C$2,IF(OR(IF($D44="",FALSE(),AND(AM$5&gt;=DATE(YEAR($D44),MONTH($D44),1),AM$5&lt;=$E44)),N('WIP Log'!AK44)&lt;&gt;0),N('WIP Log'!AK44),""),IF(IF($D44="",FALSE(),AND(AM$5&gt;=DATE(YEAR($D44),MONTH($D44),1),AM$5&lt;=$E44)),'Phased Budget'!AO44,"")))</f>
        <v/>
      </c>
      <c r="AN44" s="42" t="str">
        <f aca="false">IF($B44="","",IF(AN$5&lt;=Projects!$C$2,IF(OR(IF($D44="",FALSE(),AND(AN$5&gt;=DATE(YEAR($D44),MONTH($D44),1),AN$5&lt;=$E44)),N('WIP Log'!AL44)&lt;&gt;0),N('WIP Log'!AL44),""),IF(IF($D44="",FALSE(),AND(AN$5&gt;=DATE(YEAR($D44),MONTH($D44),1),AN$5&lt;=$E44)),'Phased Budget'!AP44,"")))</f>
        <v/>
      </c>
      <c r="AO44" s="42" t="str">
        <f aca="false">IF($B44="","",IF(AO$5&lt;=Projects!$C$2,IF(OR(IF($D44="",FALSE(),AND(AO$5&gt;=DATE(YEAR($D44),MONTH($D44),1),AO$5&lt;=$E44)),N('WIP Log'!AM44)&lt;&gt;0),N('WIP Log'!AM44),""),IF(IF($D44="",FALSE(),AND(AO$5&gt;=DATE(YEAR($D44),MONTH($D44),1),AO$5&lt;=$E44)),'Phased Budget'!AQ44,"")))</f>
        <v/>
      </c>
    </row>
    <row r="45" customFormat="false" ht="15" hidden="false" customHeight="false" outlineLevel="0" collapsed="false">
      <c r="A45" s="20" t="n">
        <v>40</v>
      </c>
      <c r="B45" s="40" t="str">
        <f aca="false">IF(Projects!B45="","",Projects!B45)</f>
        <v/>
      </c>
      <c r="C45" s="40" t="str">
        <f aca="false">IF(Projects!C45="","",Projects!C45)</f>
        <v/>
      </c>
      <c r="D45" s="41" t="str">
        <f aca="false">IF(Projects!D45="","",Projects!D45)</f>
        <v/>
      </c>
      <c r="E45" s="41" t="str">
        <f aca="false">IF(Projects!F45="","",Projects!F45)</f>
        <v/>
      </c>
      <c r="F45" s="42" t="str">
        <f aca="false">IF($B45="","",IF(F$5&lt;=Projects!$C$2,IF(OR(IF($D45="",FALSE(),AND(F$5&gt;=DATE(YEAR($D45),MONTH($D45),1),F$5&lt;=$E45)),N('WIP Log'!D45)&lt;&gt;0),N('WIP Log'!D45),""),IF(IF($D45="",FALSE(),AND(F$5&gt;=DATE(YEAR($D45),MONTH($D45),1),F$5&lt;=$E45)),'Phased Budget'!H45,"")))</f>
        <v/>
      </c>
      <c r="G45" s="42" t="str">
        <f aca="false">IF($B45="","",IF(G$5&lt;=Projects!$C$2,IF(OR(IF($D45="",FALSE(),AND(G$5&gt;=DATE(YEAR($D45),MONTH($D45),1),G$5&lt;=$E45)),N('WIP Log'!E45)&lt;&gt;0),N('WIP Log'!E45),""),IF(IF($D45="",FALSE(),AND(G$5&gt;=DATE(YEAR($D45),MONTH($D45),1),G$5&lt;=$E45)),'Phased Budget'!I45,"")))</f>
        <v/>
      </c>
      <c r="H45" s="42" t="str">
        <f aca="false">IF($B45="","",IF(H$5&lt;=Projects!$C$2,IF(OR(IF($D45="",FALSE(),AND(H$5&gt;=DATE(YEAR($D45),MONTH($D45),1),H$5&lt;=$E45)),N('WIP Log'!F45)&lt;&gt;0),N('WIP Log'!F45),""),IF(IF($D45="",FALSE(),AND(H$5&gt;=DATE(YEAR($D45),MONTH($D45),1),H$5&lt;=$E45)),'Phased Budget'!J45,"")))</f>
        <v/>
      </c>
      <c r="I45" s="42" t="str">
        <f aca="false">IF($B45="","",IF(I$5&lt;=Projects!$C$2,IF(OR(IF($D45="",FALSE(),AND(I$5&gt;=DATE(YEAR($D45),MONTH($D45),1),I$5&lt;=$E45)),N('WIP Log'!G45)&lt;&gt;0),N('WIP Log'!G45),""),IF(IF($D45="",FALSE(),AND(I$5&gt;=DATE(YEAR($D45),MONTH($D45),1),I$5&lt;=$E45)),'Phased Budget'!K45,"")))</f>
        <v/>
      </c>
      <c r="J45" s="42" t="str">
        <f aca="false">IF($B45="","",IF(J$5&lt;=Projects!$C$2,IF(OR(IF($D45="",FALSE(),AND(J$5&gt;=DATE(YEAR($D45),MONTH($D45),1),J$5&lt;=$E45)),N('WIP Log'!H45)&lt;&gt;0),N('WIP Log'!H45),""),IF(IF($D45="",FALSE(),AND(J$5&gt;=DATE(YEAR($D45),MONTH($D45),1),J$5&lt;=$E45)),'Phased Budget'!L45,"")))</f>
        <v/>
      </c>
      <c r="K45" s="42" t="str">
        <f aca="false">IF($B45="","",IF(K$5&lt;=Projects!$C$2,IF(OR(IF($D45="",FALSE(),AND(K$5&gt;=DATE(YEAR($D45),MONTH($D45),1),K$5&lt;=$E45)),N('WIP Log'!I45)&lt;&gt;0),N('WIP Log'!I45),""),IF(IF($D45="",FALSE(),AND(K$5&gt;=DATE(YEAR($D45),MONTH($D45),1),K$5&lt;=$E45)),'Phased Budget'!M45,"")))</f>
        <v/>
      </c>
      <c r="L45" s="42" t="str">
        <f aca="false">IF($B45="","",IF(L$5&lt;=Projects!$C$2,IF(OR(IF($D45="",FALSE(),AND(L$5&gt;=DATE(YEAR($D45),MONTH($D45),1),L$5&lt;=$E45)),N('WIP Log'!J45)&lt;&gt;0),N('WIP Log'!J45),""),IF(IF($D45="",FALSE(),AND(L$5&gt;=DATE(YEAR($D45),MONTH($D45),1),L$5&lt;=$E45)),'Phased Budget'!N45,"")))</f>
        <v/>
      </c>
      <c r="M45" s="42" t="str">
        <f aca="false">IF($B45="","",IF(M$5&lt;=Projects!$C$2,IF(OR(IF($D45="",FALSE(),AND(M$5&gt;=DATE(YEAR($D45),MONTH($D45),1),M$5&lt;=$E45)),N('WIP Log'!K45)&lt;&gt;0),N('WIP Log'!K45),""),IF(IF($D45="",FALSE(),AND(M$5&gt;=DATE(YEAR($D45),MONTH($D45),1),M$5&lt;=$E45)),'Phased Budget'!O45,"")))</f>
        <v/>
      </c>
      <c r="N45" s="42" t="str">
        <f aca="false">IF($B45="","",IF(N$5&lt;=Projects!$C$2,IF(OR(IF($D45="",FALSE(),AND(N$5&gt;=DATE(YEAR($D45),MONTH($D45),1),N$5&lt;=$E45)),N('WIP Log'!L45)&lt;&gt;0),N('WIP Log'!L45),""),IF(IF($D45="",FALSE(),AND(N$5&gt;=DATE(YEAR($D45),MONTH($D45),1),N$5&lt;=$E45)),'Phased Budget'!P45,"")))</f>
        <v/>
      </c>
      <c r="O45" s="42" t="str">
        <f aca="false">IF($B45="","",IF(O$5&lt;=Projects!$C$2,IF(OR(IF($D45="",FALSE(),AND(O$5&gt;=DATE(YEAR($D45),MONTH($D45),1),O$5&lt;=$E45)),N('WIP Log'!M45)&lt;&gt;0),N('WIP Log'!M45),""),IF(IF($D45="",FALSE(),AND(O$5&gt;=DATE(YEAR($D45),MONTH($D45),1),O$5&lt;=$E45)),'Phased Budget'!Q45,"")))</f>
        <v/>
      </c>
      <c r="P45" s="42" t="str">
        <f aca="false">IF($B45="","",IF(P$5&lt;=Projects!$C$2,IF(OR(IF($D45="",FALSE(),AND(P$5&gt;=DATE(YEAR($D45),MONTH($D45),1),P$5&lt;=$E45)),N('WIP Log'!N45)&lt;&gt;0),N('WIP Log'!N45),""),IF(IF($D45="",FALSE(),AND(P$5&gt;=DATE(YEAR($D45),MONTH($D45),1),P$5&lt;=$E45)),'Phased Budget'!R45,"")))</f>
        <v/>
      </c>
      <c r="Q45" s="42" t="str">
        <f aca="false">IF($B45="","",IF(Q$5&lt;=Projects!$C$2,IF(OR(IF($D45="",FALSE(),AND(Q$5&gt;=DATE(YEAR($D45),MONTH($D45),1),Q$5&lt;=$E45)),N('WIP Log'!O45)&lt;&gt;0),N('WIP Log'!O45),""),IF(IF($D45="",FALSE(),AND(Q$5&gt;=DATE(YEAR($D45),MONTH($D45),1),Q$5&lt;=$E45)),'Phased Budget'!S45,"")))</f>
        <v/>
      </c>
      <c r="R45" s="42" t="str">
        <f aca="false">IF($B45="","",IF(R$5&lt;=Projects!$C$2,IF(OR(IF($D45="",FALSE(),AND(R$5&gt;=DATE(YEAR($D45),MONTH($D45),1),R$5&lt;=$E45)),N('WIP Log'!P45)&lt;&gt;0),N('WIP Log'!P45),""),IF(IF($D45="",FALSE(),AND(R$5&gt;=DATE(YEAR($D45),MONTH($D45),1),R$5&lt;=$E45)),'Phased Budget'!T45,"")))</f>
        <v/>
      </c>
      <c r="S45" s="42" t="str">
        <f aca="false">IF($B45="","",IF(S$5&lt;=Projects!$C$2,IF(OR(IF($D45="",FALSE(),AND(S$5&gt;=DATE(YEAR($D45),MONTH($D45),1),S$5&lt;=$E45)),N('WIP Log'!Q45)&lt;&gt;0),N('WIP Log'!Q45),""),IF(IF($D45="",FALSE(),AND(S$5&gt;=DATE(YEAR($D45),MONTH($D45),1),S$5&lt;=$E45)),'Phased Budget'!U45,"")))</f>
        <v/>
      </c>
      <c r="T45" s="42" t="str">
        <f aca="false">IF($B45="","",IF(T$5&lt;=Projects!$C$2,IF(OR(IF($D45="",FALSE(),AND(T$5&gt;=DATE(YEAR($D45),MONTH($D45),1),T$5&lt;=$E45)),N('WIP Log'!R45)&lt;&gt;0),N('WIP Log'!R45),""),IF(IF($D45="",FALSE(),AND(T$5&gt;=DATE(YEAR($D45),MONTH($D45),1),T$5&lt;=$E45)),'Phased Budget'!V45,"")))</f>
        <v/>
      </c>
      <c r="U45" s="42" t="str">
        <f aca="false">IF($B45="","",IF(U$5&lt;=Projects!$C$2,IF(OR(IF($D45="",FALSE(),AND(U$5&gt;=DATE(YEAR($D45),MONTH($D45),1),U$5&lt;=$E45)),N('WIP Log'!S45)&lt;&gt;0),N('WIP Log'!S45),""),IF(IF($D45="",FALSE(),AND(U$5&gt;=DATE(YEAR($D45),MONTH($D45),1),U$5&lt;=$E45)),'Phased Budget'!W45,"")))</f>
        <v/>
      </c>
      <c r="V45" s="42" t="str">
        <f aca="false">IF($B45="","",IF(V$5&lt;=Projects!$C$2,IF(OR(IF($D45="",FALSE(),AND(V$5&gt;=DATE(YEAR($D45),MONTH($D45),1),V$5&lt;=$E45)),N('WIP Log'!T45)&lt;&gt;0),N('WIP Log'!T45),""),IF(IF($D45="",FALSE(),AND(V$5&gt;=DATE(YEAR($D45),MONTH($D45),1),V$5&lt;=$E45)),'Phased Budget'!X45,"")))</f>
        <v/>
      </c>
      <c r="W45" s="42" t="str">
        <f aca="false">IF($B45="","",IF(W$5&lt;=Projects!$C$2,IF(OR(IF($D45="",FALSE(),AND(W$5&gt;=DATE(YEAR($D45),MONTH($D45),1),W$5&lt;=$E45)),N('WIP Log'!U45)&lt;&gt;0),N('WIP Log'!U45),""),IF(IF($D45="",FALSE(),AND(W$5&gt;=DATE(YEAR($D45),MONTH($D45),1),W$5&lt;=$E45)),'Phased Budget'!Y45,"")))</f>
        <v/>
      </c>
      <c r="X45" s="42" t="str">
        <f aca="false">IF($B45="","",IF(X$5&lt;=Projects!$C$2,IF(OR(IF($D45="",FALSE(),AND(X$5&gt;=DATE(YEAR($D45),MONTH($D45),1),X$5&lt;=$E45)),N('WIP Log'!V45)&lt;&gt;0),N('WIP Log'!V45),""),IF(IF($D45="",FALSE(),AND(X$5&gt;=DATE(YEAR($D45),MONTH($D45),1),X$5&lt;=$E45)),'Phased Budget'!Z45,"")))</f>
        <v/>
      </c>
      <c r="Y45" s="42" t="str">
        <f aca="false">IF($B45="","",IF(Y$5&lt;=Projects!$C$2,IF(OR(IF($D45="",FALSE(),AND(Y$5&gt;=DATE(YEAR($D45),MONTH($D45),1),Y$5&lt;=$E45)),N('WIP Log'!W45)&lt;&gt;0),N('WIP Log'!W45),""),IF(IF($D45="",FALSE(),AND(Y$5&gt;=DATE(YEAR($D45),MONTH($D45),1),Y$5&lt;=$E45)),'Phased Budget'!AA45,"")))</f>
        <v/>
      </c>
      <c r="Z45" s="42" t="str">
        <f aca="false">IF($B45="","",IF(Z$5&lt;=Projects!$C$2,IF(OR(IF($D45="",FALSE(),AND(Z$5&gt;=DATE(YEAR($D45),MONTH($D45),1),Z$5&lt;=$E45)),N('WIP Log'!X45)&lt;&gt;0),N('WIP Log'!X45),""),IF(IF($D45="",FALSE(),AND(Z$5&gt;=DATE(YEAR($D45),MONTH($D45),1),Z$5&lt;=$E45)),'Phased Budget'!AB45,"")))</f>
        <v/>
      </c>
      <c r="AA45" s="42" t="str">
        <f aca="false">IF($B45="","",IF(AA$5&lt;=Projects!$C$2,IF(OR(IF($D45="",FALSE(),AND(AA$5&gt;=DATE(YEAR($D45),MONTH($D45),1),AA$5&lt;=$E45)),N('WIP Log'!Y45)&lt;&gt;0),N('WIP Log'!Y45),""),IF(IF($D45="",FALSE(),AND(AA$5&gt;=DATE(YEAR($D45),MONTH($D45),1),AA$5&lt;=$E45)),'Phased Budget'!AC45,"")))</f>
        <v/>
      </c>
      <c r="AB45" s="42" t="str">
        <f aca="false">IF($B45="","",IF(AB$5&lt;=Projects!$C$2,IF(OR(IF($D45="",FALSE(),AND(AB$5&gt;=DATE(YEAR($D45),MONTH($D45),1),AB$5&lt;=$E45)),N('WIP Log'!Z45)&lt;&gt;0),N('WIP Log'!Z45),""),IF(IF($D45="",FALSE(),AND(AB$5&gt;=DATE(YEAR($D45),MONTH($D45),1),AB$5&lt;=$E45)),'Phased Budget'!AD45,"")))</f>
        <v/>
      </c>
      <c r="AC45" s="42" t="str">
        <f aca="false">IF($B45="","",IF(AC$5&lt;=Projects!$C$2,IF(OR(IF($D45="",FALSE(),AND(AC$5&gt;=DATE(YEAR($D45),MONTH($D45),1),AC$5&lt;=$E45)),N('WIP Log'!AA45)&lt;&gt;0),N('WIP Log'!AA45),""),IF(IF($D45="",FALSE(),AND(AC$5&gt;=DATE(YEAR($D45),MONTH($D45),1),AC$5&lt;=$E45)),'Phased Budget'!AE45,"")))</f>
        <v/>
      </c>
      <c r="AD45" s="42" t="str">
        <f aca="false">IF($B45="","",IF(AD$5&lt;=Projects!$C$2,IF(OR(IF($D45="",FALSE(),AND(AD$5&gt;=DATE(YEAR($D45),MONTH($D45),1),AD$5&lt;=$E45)),N('WIP Log'!AB45)&lt;&gt;0),N('WIP Log'!AB45),""),IF(IF($D45="",FALSE(),AND(AD$5&gt;=DATE(YEAR($D45),MONTH($D45),1),AD$5&lt;=$E45)),'Phased Budget'!AF45,"")))</f>
        <v/>
      </c>
      <c r="AE45" s="42" t="str">
        <f aca="false">IF($B45="","",IF(AE$5&lt;=Projects!$C$2,IF(OR(IF($D45="",FALSE(),AND(AE$5&gt;=DATE(YEAR($D45),MONTH($D45),1),AE$5&lt;=$E45)),N('WIP Log'!AC45)&lt;&gt;0),N('WIP Log'!AC45),""),IF(IF($D45="",FALSE(),AND(AE$5&gt;=DATE(YEAR($D45),MONTH($D45),1),AE$5&lt;=$E45)),'Phased Budget'!AG45,"")))</f>
        <v/>
      </c>
      <c r="AF45" s="42" t="str">
        <f aca="false">IF($B45="","",IF(AF$5&lt;=Projects!$C$2,IF(OR(IF($D45="",FALSE(),AND(AF$5&gt;=DATE(YEAR($D45),MONTH($D45),1),AF$5&lt;=$E45)),N('WIP Log'!AD45)&lt;&gt;0),N('WIP Log'!AD45),""),IF(IF($D45="",FALSE(),AND(AF$5&gt;=DATE(YEAR($D45),MONTH($D45),1),AF$5&lt;=$E45)),'Phased Budget'!AH45,"")))</f>
        <v/>
      </c>
      <c r="AG45" s="42" t="str">
        <f aca="false">IF($B45="","",IF(AG$5&lt;=Projects!$C$2,IF(OR(IF($D45="",FALSE(),AND(AG$5&gt;=DATE(YEAR($D45),MONTH($D45),1),AG$5&lt;=$E45)),N('WIP Log'!AE45)&lt;&gt;0),N('WIP Log'!AE45),""),IF(IF($D45="",FALSE(),AND(AG$5&gt;=DATE(YEAR($D45),MONTH($D45),1),AG$5&lt;=$E45)),'Phased Budget'!AI45,"")))</f>
        <v/>
      </c>
      <c r="AH45" s="42" t="str">
        <f aca="false">IF($B45="","",IF(AH$5&lt;=Projects!$C$2,IF(OR(IF($D45="",FALSE(),AND(AH$5&gt;=DATE(YEAR($D45),MONTH($D45),1),AH$5&lt;=$E45)),N('WIP Log'!AF45)&lt;&gt;0),N('WIP Log'!AF45),""),IF(IF($D45="",FALSE(),AND(AH$5&gt;=DATE(YEAR($D45),MONTH($D45),1),AH$5&lt;=$E45)),'Phased Budget'!AJ45,"")))</f>
        <v/>
      </c>
      <c r="AI45" s="42" t="str">
        <f aca="false">IF($B45="","",IF(AI$5&lt;=Projects!$C$2,IF(OR(IF($D45="",FALSE(),AND(AI$5&gt;=DATE(YEAR($D45),MONTH($D45),1),AI$5&lt;=$E45)),N('WIP Log'!AG45)&lt;&gt;0),N('WIP Log'!AG45),""),IF(IF($D45="",FALSE(),AND(AI$5&gt;=DATE(YEAR($D45),MONTH($D45),1),AI$5&lt;=$E45)),'Phased Budget'!AK45,"")))</f>
        <v/>
      </c>
      <c r="AJ45" s="42" t="str">
        <f aca="false">IF($B45="","",IF(AJ$5&lt;=Projects!$C$2,IF(OR(IF($D45="",FALSE(),AND(AJ$5&gt;=DATE(YEAR($D45),MONTH($D45),1),AJ$5&lt;=$E45)),N('WIP Log'!AH45)&lt;&gt;0),N('WIP Log'!AH45),""),IF(IF($D45="",FALSE(),AND(AJ$5&gt;=DATE(YEAR($D45),MONTH($D45),1),AJ$5&lt;=$E45)),'Phased Budget'!AL45,"")))</f>
        <v/>
      </c>
      <c r="AK45" s="42" t="str">
        <f aca="false">IF($B45="","",IF(AK$5&lt;=Projects!$C$2,IF(OR(IF($D45="",FALSE(),AND(AK$5&gt;=DATE(YEAR($D45),MONTH($D45),1),AK$5&lt;=$E45)),N('WIP Log'!AI45)&lt;&gt;0),N('WIP Log'!AI45),""),IF(IF($D45="",FALSE(),AND(AK$5&gt;=DATE(YEAR($D45),MONTH($D45),1),AK$5&lt;=$E45)),'Phased Budget'!AM45,"")))</f>
        <v/>
      </c>
      <c r="AL45" s="42" t="str">
        <f aca="false">IF($B45="","",IF(AL$5&lt;=Projects!$C$2,IF(OR(IF($D45="",FALSE(),AND(AL$5&gt;=DATE(YEAR($D45),MONTH($D45),1),AL$5&lt;=$E45)),N('WIP Log'!AJ45)&lt;&gt;0),N('WIP Log'!AJ45),""),IF(IF($D45="",FALSE(),AND(AL$5&gt;=DATE(YEAR($D45),MONTH($D45),1),AL$5&lt;=$E45)),'Phased Budget'!AN45,"")))</f>
        <v/>
      </c>
      <c r="AM45" s="42" t="str">
        <f aca="false">IF($B45="","",IF(AM$5&lt;=Projects!$C$2,IF(OR(IF($D45="",FALSE(),AND(AM$5&gt;=DATE(YEAR($D45),MONTH($D45),1),AM$5&lt;=$E45)),N('WIP Log'!AK45)&lt;&gt;0),N('WIP Log'!AK45),""),IF(IF($D45="",FALSE(),AND(AM$5&gt;=DATE(YEAR($D45),MONTH($D45),1),AM$5&lt;=$E45)),'Phased Budget'!AO45,"")))</f>
        <v/>
      </c>
      <c r="AN45" s="42" t="str">
        <f aca="false">IF($B45="","",IF(AN$5&lt;=Projects!$C$2,IF(OR(IF($D45="",FALSE(),AND(AN$5&gt;=DATE(YEAR($D45),MONTH($D45),1),AN$5&lt;=$E45)),N('WIP Log'!AL45)&lt;&gt;0),N('WIP Log'!AL45),""),IF(IF($D45="",FALSE(),AND(AN$5&gt;=DATE(YEAR($D45),MONTH($D45),1),AN$5&lt;=$E45)),'Phased Budget'!AP45,"")))</f>
        <v/>
      </c>
      <c r="AO45" s="42" t="str">
        <f aca="false">IF($B45="","",IF(AO$5&lt;=Projects!$C$2,IF(OR(IF($D45="",FALSE(),AND(AO$5&gt;=DATE(YEAR($D45),MONTH($D45),1),AO$5&lt;=$E45)),N('WIP Log'!AM45)&lt;&gt;0),N('WIP Log'!AM45),""),IF(IF($D45="",FALSE(),AND(AO$5&gt;=DATE(YEAR($D45),MONTH($D45),1),AO$5&lt;=$E45)),'Phased Budget'!AQ45,"")))</f>
        <v/>
      </c>
    </row>
    <row r="46" customFormat="false" ht="15" hidden="false" customHeight="false" outlineLevel="0" collapsed="false">
      <c r="A46" s="20" t="n">
        <v>41</v>
      </c>
      <c r="B46" s="40" t="str">
        <f aca="false">IF(Projects!B46="","",Projects!B46)</f>
        <v/>
      </c>
      <c r="C46" s="40" t="str">
        <f aca="false">IF(Projects!C46="","",Projects!C46)</f>
        <v/>
      </c>
      <c r="D46" s="41" t="str">
        <f aca="false">IF(Projects!D46="","",Projects!D46)</f>
        <v/>
      </c>
      <c r="E46" s="41" t="str">
        <f aca="false">IF(Projects!F46="","",Projects!F46)</f>
        <v/>
      </c>
      <c r="F46" s="42" t="str">
        <f aca="false">IF($B46="","",IF(F$5&lt;=Projects!$C$2,IF(OR(IF($D46="",FALSE(),AND(F$5&gt;=DATE(YEAR($D46),MONTH($D46),1),F$5&lt;=$E46)),N('WIP Log'!D46)&lt;&gt;0),N('WIP Log'!D46),""),IF(IF($D46="",FALSE(),AND(F$5&gt;=DATE(YEAR($D46),MONTH($D46),1),F$5&lt;=$E46)),'Phased Budget'!H46,"")))</f>
        <v/>
      </c>
      <c r="G46" s="42" t="str">
        <f aca="false">IF($B46="","",IF(G$5&lt;=Projects!$C$2,IF(OR(IF($D46="",FALSE(),AND(G$5&gt;=DATE(YEAR($D46),MONTH($D46),1),G$5&lt;=$E46)),N('WIP Log'!E46)&lt;&gt;0),N('WIP Log'!E46),""),IF(IF($D46="",FALSE(),AND(G$5&gt;=DATE(YEAR($D46),MONTH($D46),1),G$5&lt;=$E46)),'Phased Budget'!I46,"")))</f>
        <v/>
      </c>
      <c r="H46" s="42" t="str">
        <f aca="false">IF($B46="","",IF(H$5&lt;=Projects!$C$2,IF(OR(IF($D46="",FALSE(),AND(H$5&gt;=DATE(YEAR($D46),MONTH($D46),1),H$5&lt;=$E46)),N('WIP Log'!F46)&lt;&gt;0),N('WIP Log'!F46),""),IF(IF($D46="",FALSE(),AND(H$5&gt;=DATE(YEAR($D46),MONTH($D46),1),H$5&lt;=$E46)),'Phased Budget'!J46,"")))</f>
        <v/>
      </c>
      <c r="I46" s="42" t="str">
        <f aca="false">IF($B46="","",IF(I$5&lt;=Projects!$C$2,IF(OR(IF($D46="",FALSE(),AND(I$5&gt;=DATE(YEAR($D46),MONTH($D46),1),I$5&lt;=$E46)),N('WIP Log'!G46)&lt;&gt;0),N('WIP Log'!G46),""),IF(IF($D46="",FALSE(),AND(I$5&gt;=DATE(YEAR($D46),MONTH($D46),1),I$5&lt;=$E46)),'Phased Budget'!K46,"")))</f>
        <v/>
      </c>
      <c r="J46" s="42" t="str">
        <f aca="false">IF($B46="","",IF(J$5&lt;=Projects!$C$2,IF(OR(IF($D46="",FALSE(),AND(J$5&gt;=DATE(YEAR($D46),MONTH($D46),1),J$5&lt;=$E46)),N('WIP Log'!H46)&lt;&gt;0),N('WIP Log'!H46),""),IF(IF($D46="",FALSE(),AND(J$5&gt;=DATE(YEAR($D46),MONTH($D46),1),J$5&lt;=$E46)),'Phased Budget'!L46,"")))</f>
        <v/>
      </c>
      <c r="K46" s="42" t="str">
        <f aca="false">IF($B46="","",IF(K$5&lt;=Projects!$C$2,IF(OR(IF($D46="",FALSE(),AND(K$5&gt;=DATE(YEAR($D46),MONTH($D46),1),K$5&lt;=$E46)),N('WIP Log'!I46)&lt;&gt;0),N('WIP Log'!I46),""),IF(IF($D46="",FALSE(),AND(K$5&gt;=DATE(YEAR($D46),MONTH($D46),1),K$5&lt;=$E46)),'Phased Budget'!M46,"")))</f>
        <v/>
      </c>
      <c r="L46" s="42" t="str">
        <f aca="false">IF($B46="","",IF(L$5&lt;=Projects!$C$2,IF(OR(IF($D46="",FALSE(),AND(L$5&gt;=DATE(YEAR($D46),MONTH($D46),1),L$5&lt;=$E46)),N('WIP Log'!J46)&lt;&gt;0),N('WIP Log'!J46),""),IF(IF($D46="",FALSE(),AND(L$5&gt;=DATE(YEAR($D46),MONTH($D46),1),L$5&lt;=$E46)),'Phased Budget'!N46,"")))</f>
        <v/>
      </c>
      <c r="M46" s="42" t="str">
        <f aca="false">IF($B46="","",IF(M$5&lt;=Projects!$C$2,IF(OR(IF($D46="",FALSE(),AND(M$5&gt;=DATE(YEAR($D46),MONTH($D46),1),M$5&lt;=$E46)),N('WIP Log'!K46)&lt;&gt;0),N('WIP Log'!K46),""),IF(IF($D46="",FALSE(),AND(M$5&gt;=DATE(YEAR($D46),MONTH($D46),1),M$5&lt;=$E46)),'Phased Budget'!O46,"")))</f>
        <v/>
      </c>
      <c r="N46" s="42" t="str">
        <f aca="false">IF($B46="","",IF(N$5&lt;=Projects!$C$2,IF(OR(IF($D46="",FALSE(),AND(N$5&gt;=DATE(YEAR($D46),MONTH($D46),1),N$5&lt;=$E46)),N('WIP Log'!L46)&lt;&gt;0),N('WIP Log'!L46),""),IF(IF($D46="",FALSE(),AND(N$5&gt;=DATE(YEAR($D46),MONTH($D46),1),N$5&lt;=$E46)),'Phased Budget'!P46,"")))</f>
        <v/>
      </c>
      <c r="O46" s="42" t="str">
        <f aca="false">IF($B46="","",IF(O$5&lt;=Projects!$C$2,IF(OR(IF($D46="",FALSE(),AND(O$5&gt;=DATE(YEAR($D46),MONTH($D46),1),O$5&lt;=$E46)),N('WIP Log'!M46)&lt;&gt;0),N('WIP Log'!M46),""),IF(IF($D46="",FALSE(),AND(O$5&gt;=DATE(YEAR($D46),MONTH($D46),1),O$5&lt;=$E46)),'Phased Budget'!Q46,"")))</f>
        <v/>
      </c>
      <c r="P46" s="42" t="str">
        <f aca="false">IF($B46="","",IF(P$5&lt;=Projects!$C$2,IF(OR(IF($D46="",FALSE(),AND(P$5&gt;=DATE(YEAR($D46),MONTH($D46),1),P$5&lt;=$E46)),N('WIP Log'!N46)&lt;&gt;0),N('WIP Log'!N46),""),IF(IF($D46="",FALSE(),AND(P$5&gt;=DATE(YEAR($D46),MONTH($D46),1),P$5&lt;=$E46)),'Phased Budget'!R46,"")))</f>
        <v/>
      </c>
      <c r="Q46" s="42" t="str">
        <f aca="false">IF($B46="","",IF(Q$5&lt;=Projects!$C$2,IF(OR(IF($D46="",FALSE(),AND(Q$5&gt;=DATE(YEAR($D46),MONTH($D46),1),Q$5&lt;=$E46)),N('WIP Log'!O46)&lt;&gt;0),N('WIP Log'!O46),""),IF(IF($D46="",FALSE(),AND(Q$5&gt;=DATE(YEAR($D46),MONTH($D46),1),Q$5&lt;=$E46)),'Phased Budget'!S46,"")))</f>
        <v/>
      </c>
      <c r="R46" s="42" t="str">
        <f aca="false">IF($B46="","",IF(R$5&lt;=Projects!$C$2,IF(OR(IF($D46="",FALSE(),AND(R$5&gt;=DATE(YEAR($D46),MONTH($D46),1),R$5&lt;=$E46)),N('WIP Log'!P46)&lt;&gt;0),N('WIP Log'!P46),""),IF(IF($D46="",FALSE(),AND(R$5&gt;=DATE(YEAR($D46),MONTH($D46),1),R$5&lt;=$E46)),'Phased Budget'!T46,"")))</f>
        <v/>
      </c>
      <c r="S46" s="42" t="str">
        <f aca="false">IF($B46="","",IF(S$5&lt;=Projects!$C$2,IF(OR(IF($D46="",FALSE(),AND(S$5&gt;=DATE(YEAR($D46),MONTH($D46),1),S$5&lt;=$E46)),N('WIP Log'!Q46)&lt;&gt;0),N('WIP Log'!Q46),""),IF(IF($D46="",FALSE(),AND(S$5&gt;=DATE(YEAR($D46),MONTH($D46),1),S$5&lt;=$E46)),'Phased Budget'!U46,"")))</f>
        <v/>
      </c>
      <c r="T46" s="42" t="str">
        <f aca="false">IF($B46="","",IF(T$5&lt;=Projects!$C$2,IF(OR(IF($D46="",FALSE(),AND(T$5&gt;=DATE(YEAR($D46),MONTH($D46),1),T$5&lt;=$E46)),N('WIP Log'!R46)&lt;&gt;0),N('WIP Log'!R46),""),IF(IF($D46="",FALSE(),AND(T$5&gt;=DATE(YEAR($D46),MONTH($D46),1),T$5&lt;=$E46)),'Phased Budget'!V46,"")))</f>
        <v/>
      </c>
      <c r="U46" s="42" t="str">
        <f aca="false">IF($B46="","",IF(U$5&lt;=Projects!$C$2,IF(OR(IF($D46="",FALSE(),AND(U$5&gt;=DATE(YEAR($D46),MONTH($D46),1),U$5&lt;=$E46)),N('WIP Log'!S46)&lt;&gt;0),N('WIP Log'!S46),""),IF(IF($D46="",FALSE(),AND(U$5&gt;=DATE(YEAR($D46),MONTH($D46),1),U$5&lt;=$E46)),'Phased Budget'!W46,"")))</f>
        <v/>
      </c>
      <c r="V46" s="42" t="str">
        <f aca="false">IF($B46="","",IF(V$5&lt;=Projects!$C$2,IF(OR(IF($D46="",FALSE(),AND(V$5&gt;=DATE(YEAR($D46),MONTH($D46),1),V$5&lt;=$E46)),N('WIP Log'!T46)&lt;&gt;0),N('WIP Log'!T46),""),IF(IF($D46="",FALSE(),AND(V$5&gt;=DATE(YEAR($D46),MONTH($D46),1),V$5&lt;=$E46)),'Phased Budget'!X46,"")))</f>
        <v/>
      </c>
      <c r="W46" s="42" t="str">
        <f aca="false">IF($B46="","",IF(W$5&lt;=Projects!$C$2,IF(OR(IF($D46="",FALSE(),AND(W$5&gt;=DATE(YEAR($D46),MONTH($D46),1),W$5&lt;=$E46)),N('WIP Log'!U46)&lt;&gt;0),N('WIP Log'!U46),""),IF(IF($D46="",FALSE(),AND(W$5&gt;=DATE(YEAR($D46),MONTH($D46),1),W$5&lt;=$E46)),'Phased Budget'!Y46,"")))</f>
        <v/>
      </c>
      <c r="X46" s="42" t="str">
        <f aca="false">IF($B46="","",IF(X$5&lt;=Projects!$C$2,IF(OR(IF($D46="",FALSE(),AND(X$5&gt;=DATE(YEAR($D46),MONTH($D46),1),X$5&lt;=$E46)),N('WIP Log'!V46)&lt;&gt;0),N('WIP Log'!V46),""),IF(IF($D46="",FALSE(),AND(X$5&gt;=DATE(YEAR($D46),MONTH($D46),1),X$5&lt;=$E46)),'Phased Budget'!Z46,"")))</f>
        <v/>
      </c>
      <c r="Y46" s="42" t="str">
        <f aca="false">IF($B46="","",IF(Y$5&lt;=Projects!$C$2,IF(OR(IF($D46="",FALSE(),AND(Y$5&gt;=DATE(YEAR($D46),MONTH($D46),1),Y$5&lt;=$E46)),N('WIP Log'!W46)&lt;&gt;0),N('WIP Log'!W46),""),IF(IF($D46="",FALSE(),AND(Y$5&gt;=DATE(YEAR($D46),MONTH($D46),1),Y$5&lt;=$E46)),'Phased Budget'!AA46,"")))</f>
        <v/>
      </c>
      <c r="Z46" s="42" t="str">
        <f aca="false">IF($B46="","",IF(Z$5&lt;=Projects!$C$2,IF(OR(IF($D46="",FALSE(),AND(Z$5&gt;=DATE(YEAR($D46),MONTH($D46),1),Z$5&lt;=$E46)),N('WIP Log'!X46)&lt;&gt;0),N('WIP Log'!X46),""),IF(IF($D46="",FALSE(),AND(Z$5&gt;=DATE(YEAR($D46),MONTH($D46),1),Z$5&lt;=$E46)),'Phased Budget'!AB46,"")))</f>
        <v/>
      </c>
      <c r="AA46" s="42" t="str">
        <f aca="false">IF($B46="","",IF(AA$5&lt;=Projects!$C$2,IF(OR(IF($D46="",FALSE(),AND(AA$5&gt;=DATE(YEAR($D46),MONTH($D46),1),AA$5&lt;=$E46)),N('WIP Log'!Y46)&lt;&gt;0),N('WIP Log'!Y46),""),IF(IF($D46="",FALSE(),AND(AA$5&gt;=DATE(YEAR($D46),MONTH($D46),1),AA$5&lt;=$E46)),'Phased Budget'!AC46,"")))</f>
        <v/>
      </c>
      <c r="AB46" s="42" t="str">
        <f aca="false">IF($B46="","",IF(AB$5&lt;=Projects!$C$2,IF(OR(IF($D46="",FALSE(),AND(AB$5&gt;=DATE(YEAR($D46),MONTH($D46),1),AB$5&lt;=$E46)),N('WIP Log'!Z46)&lt;&gt;0),N('WIP Log'!Z46),""),IF(IF($D46="",FALSE(),AND(AB$5&gt;=DATE(YEAR($D46),MONTH($D46),1),AB$5&lt;=$E46)),'Phased Budget'!AD46,"")))</f>
        <v/>
      </c>
      <c r="AC46" s="42" t="str">
        <f aca="false">IF($B46="","",IF(AC$5&lt;=Projects!$C$2,IF(OR(IF($D46="",FALSE(),AND(AC$5&gt;=DATE(YEAR($D46),MONTH($D46),1),AC$5&lt;=$E46)),N('WIP Log'!AA46)&lt;&gt;0),N('WIP Log'!AA46),""),IF(IF($D46="",FALSE(),AND(AC$5&gt;=DATE(YEAR($D46),MONTH($D46),1),AC$5&lt;=$E46)),'Phased Budget'!AE46,"")))</f>
        <v/>
      </c>
      <c r="AD46" s="42" t="str">
        <f aca="false">IF($B46="","",IF(AD$5&lt;=Projects!$C$2,IF(OR(IF($D46="",FALSE(),AND(AD$5&gt;=DATE(YEAR($D46),MONTH($D46),1),AD$5&lt;=$E46)),N('WIP Log'!AB46)&lt;&gt;0),N('WIP Log'!AB46),""),IF(IF($D46="",FALSE(),AND(AD$5&gt;=DATE(YEAR($D46),MONTH($D46),1),AD$5&lt;=$E46)),'Phased Budget'!AF46,"")))</f>
        <v/>
      </c>
      <c r="AE46" s="42" t="str">
        <f aca="false">IF($B46="","",IF(AE$5&lt;=Projects!$C$2,IF(OR(IF($D46="",FALSE(),AND(AE$5&gt;=DATE(YEAR($D46),MONTH($D46),1),AE$5&lt;=$E46)),N('WIP Log'!AC46)&lt;&gt;0),N('WIP Log'!AC46),""),IF(IF($D46="",FALSE(),AND(AE$5&gt;=DATE(YEAR($D46),MONTH($D46),1),AE$5&lt;=$E46)),'Phased Budget'!AG46,"")))</f>
        <v/>
      </c>
      <c r="AF46" s="42" t="str">
        <f aca="false">IF($B46="","",IF(AF$5&lt;=Projects!$C$2,IF(OR(IF($D46="",FALSE(),AND(AF$5&gt;=DATE(YEAR($D46),MONTH($D46),1),AF$5&lt;=$E46)),N('WIP Log'!AD46)&lt;&gt;0),N('WIP Log'!AD46),""),IF(IF($D46="",FALSE(),AND(AF$5&gt;=DATE(YEAR($D46),MONTH($D46),1),AF$5&lt;=$E46)),'Phased Budget'!AH46,"")))</f>
        <v/>
      </c>
      <c r="AG46" s="42" t="str">
        <f aca="false">IF($B46="","",IF(AG$5&lt;=Projects!$C$2,IF(OR(IF($D46="",FALSE(),AND(AG$5&gt;=DATE(YEAR($D46),MONTH($D46),1),AG$5&lt;=$E46)),N('WIP Log'!AE46)&lt;&gt;0),N('WIP Log'!AE46),""),IF(IF($D46="",FALSE(),AND(AG$5&gt;=DATE(YEAR($D46),MONTH($D46),1),AG$5&lt;=$E46)),'Phased Budget'!AI46,"")))</f>
        <v/>
      </c>
      <c r="AH46" s="42" t="str">
        <f aca="false">IF($B46="","",IF(AH$5&lt;=Projects!$C$2,IF(OR(IF($D46="",FALSE(),AND(AH$5&gt;=DATE(YEAR($D46),MONTH($D46),1),AH$5&lt;=$E46)),N('WIP Log'!AF46)&lt;&gt;0),N('WIP Log'!AF46),""),IF(IF($D46="",FALSE(),AND(AH$5&gt;=DATE(YEAR($D46),MONTH($D46),1),AH$5&lt;=$E46)),'Phased Budget'!AJ46,"")))</f>
        <v/>
      </c>
      <c r="AI46" s="42" t="str">
        <f aca="false">IF($B46="","",IF(AI$5&lt;=Projects!$C$2,IF(OR(IF($D46="",FALSE(),AND(AI$5&gt;=DATE(YEAR($D46),MONTH($D46),1),AI$5&lt;=$E46)),N('WIP Log'!AG46)&lt;&gt;0),N('WIP Log'!AG46),""),IF(IF($D46="",FALSE(),AND(AI$5&gt;=DATE(YEAR($D46),MONTH($D46),1),AI$5&lt;=$E46)),'Phased Budget'!AK46,"")))</f>
        <v/>
      </c>
      <c r="AJ46" s="42" t="str">
        <f aca="false">IF($B46="","",IF(AJ$5&lt;=Projects!$C$2,IF(OR(IF($D46="",FALSE(),AND(AJ$5&gt;=DATE(YEAR($D46),MONTH($D46),1),AJ$5&lt;=$E46)),N('WIP Log'!AH46)&lt;&gt;0),N('WIP Log'!AH46),""),IF(IF($D46="",FALSE(),AND(AJ$5&gt;=DATE(YEAR($D46),MONTH($D46),1),AJ$5&lt;=$E46)),'Phased Budget'!AL46,"")))</f>
        <v/>
      </c>
      <c r="AK46" s="42" t="str">
        <f aca="false">IF($B46="","",IF(AK$5&lt;=Projects!$C$2,IF(OR(IF($D46="",FALSE(),AND(AK$5&gt;=DATE(YEAR($D46),MONTH($D46),1),AK$5&lt;=$E46)),N('WIP Log'!AI46)&lt;&gt;0),N('WIP Log'!AI46),""),IF(IF($D46="",FALSE(),AND(AK$5&gt;=DATE(YEAR($D46),MONTH($D46),1),AK$5&lt;=$E46)),'Phased Budget'!AM46,"")))</f>
        <v/>
      </c>
      <c r="AL46" s="42" t="str">
        <f aca="false">IF($B46="","",IF(AL$5&lt;=Projects!$C$2,IF(OR(IF($D46="",FALSE(),AND(AL$5&gt;=DATE(YEAR($D46),MONTH($D46),1),AL$5&lt;=$E46)),N('WIP Log'!AJ46)&lt;&gt;0),N('WIP Log'!AJ46),""),IF(IF($D46="",FALSE(),AND(AL$5&gt;=DATE(YEAR($D46),MONTH($D46),1),AL$5&lt;=$E46)),'Phased Budget'!AN46,"")))</f>
        <v/>
      </c>
      <c r="AM46" s="42" t="str">
        <f aca="false">IF($B46="","",IF(AM$5&lt;=Projects!$C$2,IF(OR(IF($D46="",FALSE(),AND(AM$5&gt;=DATE(YEAR($D46),MONTH($D46),1),AM$5&lt;=$E46)),N('WIP Log'!AK46)&lt;&gt;0),N('WIP Log'!AK46),""),IF(IF($D46="",FALSE(),AND(AM$5&gt;=DATE(YEAR($D46),MONTH($D46),1),AM$5&lt;=$E46)),'Phased Budget'!AO46,"")))</f>
        <v/>
      </c>
      <c r="AN46" s="42" t="str">
        <f aca="false">IF($B46="","",IF(AN$5&lt;=Projects!$C$2,IF(OR(IF($D46="",FALSE(),AND(AN$5&gt;=DATE(YEAR($D46),MONTH($D46),1),AN$5&lt;=$E46)),N('WIP Log'!AL46)&lt;&gt;0),N('WIP Log'!AL46),""),IF(IF($D46="",FALSE(),AND(AN$5&gt;=DATE(YEAR($D46),MONTH($D46),1),AN$5&lt;=$E46)),'Phased Budget'!AP46,"")))</f>
        <v/>
      </c>
      <c r="AO46" s="42" t="str">
        <f aca="false">IF($B46="","",IF(AO$5&lt;=Projects!$C$2,IF(OR(IF($D46="",FALSE(),AND(AO$5&gt;=DATE(YEAR($D46),MONTH($D46),1),AO$5&lt;=$E46)),N('WIP Log'!AM46)&lt;&gt;0),N('WIP Log'!AM46),""),IF(IF($D46="",FALSE(),AND(AO$5&gt;=DATE(YEAR($D46),MONTH($D46),1),AO$5&lt;=$E46)),'Phased Budget'!AQ46,"")))</f>
        <v/>
      </c>
    </row>
    <row r="47" customFormat="false" ht="15" hidden="false" customHeight="false" outlineLevel="0" collapsed="false">
      <c r="A47" s="20" t="n">
        <v>42</v>
      </c>
      <c r="B47" s="40" t="str">
        <f aca="false">IF(Projects!B47="","",Projects!B47)</f>
        <v/>
      </c>
      <c r="C47" s="40" t="str">
        <f aca="false">IF(Projects!C47="","",Projects!C47)</f>
        <v/>
      </c>
      <c r="D47" s="41" t="str">
        <f aca="false">IF(Projects!D47="","",Projects!D47)</f>
        <v/>
      </c>
      <c r="E47" s="41" t="str">
        <f aca="false">IF(Projects!F47="","",Projects!F47)</f>
        <v/>
      </c>
      <c r="F47" s="42" t="str">
        <f aca="false">IF($B47="","",IF(F$5&lt;=Projects!$C$2,IF(OR(IF($D47="",FALSE(),AND(F$5&gt;=DATE(YEAR($D47),MONTH($D47),1),F$5&lt;=$E47)),N('WIP Log'!D47)&lt;&gt;0),N('WIP Log'!D47),""),IF(IF($D47="",FALSE(),AND(F$5&gt;=DATE(YEAR($D47),MONTH($D47),1),F$5&lt;=$E47)),'Phased Budget'!H47,"")))</f>
        <v/>
      </c>
      <c r="G47" s="42" t="str">
        <f aca="false">IF($B47="","",IF(G$5&lt;=Projects!$C$2,IF(OR(IF($D47="",FALSE(),AND(G$5&gt;=DATE(YEAR($D47),MONTH($D47),1),G$5&lt;=$E47)),N('WIP Log'!E47)&lt;&gt;0),N('WIP Log'!E47),""),IF(IF($D47="",FALSE(),AND(G$5&gt;=DATE(YEAR($D47),MONTH($D47),1),G$5&lt;=$E47)),'Phased Budget'!I47,"")))</f>
        <v/>
      </c>
      <c r="H47" s="42" t="str">
        <f aca="false">IF($B47="","",IF(H$5&lt;=Projects!$C$2,IF(OR(IF($D47="",FALSE(),AND(H$5&gt;=DATE(YEAR($D47),MONTH($D47),1),H$5&lt;=$E47)),N('WIP Log'!F47)&lt;&gt;0),N('WIP Log'!F47),""),IF(IF($D47="",FALSE(),AND(H$5&gt;=DATE(YEAR($D47),MONTH($D47),1),H$5&lt;=$E47)),'Phased Budget'!J47,"")))</f>
        <v/>
      </c>
      <c r="I47" s="42" t="str">
        <f aca="false">IF($B47="","",IF(I$5&lt;=Projects!$C$2,IF(OR(IF($D47="",FALSE(),AND(I$5&gt;=DATE(YEAR($D47),MONTH($D47),1),I$5&lt;=$E47)),N('WIP Log'!G47)&lt;&gt;0),N('WIP Log'!G47),""),IF(IF($D47="",FALSE(),AND(I$5&gt;=DATE(YEAR($D47),MONTH($D47),1),I$5&lt;=$E47)),'Phased Budget'!K47,"")))</f>
        <v/>
      </c>
      <c r="J47" s="42" t="str">
        <f aca="false">IF($B47="","",IF(J$5&lt;=Projects!$C$2,IF(OR(IF($D47="",FALSE(),AND(J$5&gt;=DATE(YEAR($D47),MONTH($D47),1),J$5&lt;=$E47)),N('WIP Log'!H47)&lt;&gt;0),N('WIP Log'!H47),""),IF(IF($D47="",FALSE(),AND(J$5&gt;=DATE(YEAR($D47),MONTH($D47),1),J$5&lt;=$E47)),'Phased Budget'!L47,"")))</f>
        <v/>
      </c>
      <c r="K47" s="42" t="str">
        <f aca="false">IF($B47="","",IF(K$5&lt;=Projects!$C$2,IF(OR(IF($D47="",FALSE(),AND(K$5&gt;=DATE(YEAR($D47),MONTH($D47),1),K$5&lt;=$E47)),N('WIP Log'!I47)&lt;&gt;0),N('WIP Log'!I47),""),IF(IF($D47="",FALSE(),AND(K$5&gt;=DATE(YEAR($D47),MONTH($D47),1),K$5&lt;=$E47)),'Phased Budget'!M47,"")))</f>
        <v/>
      </c>
      <c r="L47" s="42" t="str">
        <f aca="false">IF($B47="","",IF(L$5&lt;=Projects!$C$2,IF(OR(IF($D47="",FALSE(),AND(L$5&gt;=DATE(YEAR($D47),MONTH($D47),1),L$5&lt;=$E47)),N('WIP Log'!J47)&lt;&gt;0),N('WIP Log'!J47),""),IF(IF($D47="",FALSE(),AND(L$5&gt;=DATE(YEAR($D47),MONTH($D47),1),L$5&lt;=$E47)),'Phased Budget'!N47,"")))</f>
        <v/>
      </c>
      <c r="M47" s="42" t="str">
        <f aca="false">IF($B47="","",IF(M$5&lt;=Projects!$C$2,IF(OR(IF($D47="",FALSE(),AND(M$5&gt;=DATE(YEAR($D47),MONTH($D47),1),M$5&lt;=$E47)),N('WIP Log'!K47)&lt;&gt;0),N('WIP Log'!K47),""),IF(IF($D47="",FALSE(),AND(M$5&gt;=DATE(YEAR($D47),MONTH($D47),1),M$5&lt;=$E47)),'Phased Budget'!O47,"")))</f>
        <v/>
      </c>
      <c r="N47" s="42" t="str">
        <f aca="false">IF($B47="","",IF(N$5&lt;=Projects!$C$2,IF(OR(IF($D47="",FALSE(),AND(N$5&gt;=DATE(YEAR($D47),MONTH($D47),1),N$5&lt;=$E47)),N('WIP Log'!L47)&lt;&gt;0),N('WIP Log'!L47),""),IF(IF($D47="",FALSE(),AND(N$5&gt;=DATE(YEAR($D47),MONTH($D47),1),N$5&lt;=$E47)),'Phased Budget'!P47,"")))</f>
        <v/>
      </c>
      <c r="O47" s="42" t="str">
        <f aca="false">IF($B47="","",IF(O$5&lt;=Projects!$C$2,IF(OR(IF($D47="",FALSE(),AND(O$5&gt;=DATE(YEAR($D47),MONTH($D47),1),O$5&lt;=$E47)),N('WIP Log'!M47)&lt;&gt;0),N('WIP Log'!M47),""),IF(IF($D47="",FALSE(),AND(O$5&gt;=DATE(YEAR($D47),MONTH($D47),1),O$5&lt;=$E47)),'Phased Budget'!Q47,"")))</f>
        <v/>
      </c>
      <c r="P47" s="42" t="str">
        <f aca="false">IF($B47="","",IF(P$5&lt;=Projects!$C$2,IF(OR(IF($D47="",FALSE(),AND(P$5&gt;=DATE(YEAR($D47),MONTH($D47),1),P$5&lt;=$E47)),N('WIP Log'!N47)&lt;&gt;0),N('WIP Log'!N47),""),IF(IF($D47="",FALSE(),AND(P$5&gt;=DATE(YEAR($D47),MONTH($D47),1),P$5&lt;=$E47)),'Phased Budget'!R47,"")))</f>
        <v/>
      </c>
      <c r="Q47" s="42" t="str">
        <f aca="false">IF($B47="","",IF(Q$5&lt;=Projects!$C$2,IF(OR(IF($D47="",FALSE(),AND(Q$5&gt;=DATE(YEAR($D47),MONTH($D47),1),Q$5&lt;=$E47)),N('WIP Log'!O47)&lt;&gt;0),N('WIP Log'!O47),""),IF(IF($D47="",FALSE(),AND(Q$5&gt;=DATE(YEAR($D47),MONTH($D47),1),Q$5&lt;=$E47)),'Phased Budget'!S47,"")))</f>
        <v/>
      </c>
      <c r="R47" s="42" t="str">
        <f aca="false">IF($B47="","",IF(R$5&lt;=Projects!$C$2,IF(OR(IF($D47="",FALSE(),AND(R$5&gt;=DATE(YEAR($D47),MONTH($D47),1),R$5&lt;=$E47)),N('WIP Log'!P47)&lt;&gt;0),N('WIP Log'!P47),""),IF(IF($D47="",FALSE(),AND(R$5&gt;=DATE(YEAR($D47),MONTH($D47),1),R$5&lt;=$E47)),'Phased Budget'!T47,"")))</f>
        <v/>
      </c>
      <c r="S47" s="42" t="str">
        <f aca="false">IF($B47="","",IF(S$5&lt;=Projects!$C$2,IF(OR(IF($D47="",FALSE(),AND(S$5&gt;=DATE(YEAR($D47),MONTH($D47),1),S$5&lt;=$E47)),N('WIP Log'!Q47)&lt;&gt;0),N('WIP Log'!Q47),""),IF(IF($D47="",FALSE(),AND(S$5&gt;=DATE(YEAR($D47),MONTH($D47),1),S$5&lt;=$E47)),'Phased Budget'!U47,"")))</f>
        <v/>
      </c>
      <c r="T47" s="42" t="str">
        <f aca="false">IF($B47="","",IF(T$5&lt;=Projects!$C$2,IF(OR(IF($D47="",FALSE(),AND(T$5&gt;=DATE(YEAR($D47),MONTH($D47),1),T$5&lt;=$E47)),N('WIP Log'!R47)&lt;&gt;0),N('WIP Log'!R47),""),IF(IF($D47="",FALSE(),AND(T$5&gt;=DATE(YEAR($D47),MONTH($D47),1),T$5&lt;=$E47)),'Phased Budget'!V47,"")))</f>
        <v/>
      </c>
      <c r="U47" s="42" t="str">
        <f aca="false">IF($B47="","",IF(U$5&lt;=Projects!$C$2,IF(OR(IF($D47="",FALSE(),AND(U$5&gt;=DATE(YEAR($D47),MONTH($D47),1),U$5&lt;=$E47)),N('WIP Log'!S47)&lt;&gt;0),N('WIP Log'!S47),""),IF(IF($D47="",FALSE(),AND(U$5&gt;=DATE(YEAR($D47),MONTH($D47),1),U$5&lt;=$E47)),'Phased Budget'!W47,"")))</f>
        <v/>
      </c>
      <c r="V47" s="42" t="str">
        <f aca="false">IF($B47="","",IF(V$5&lt;=Projects!$C$2,IF(OR(IF($D47="",FALSE(),AND(V$5&gt;=DATE(YEAR($D47),MONTH($D47),1),V$5&lt;=$E47)),N('WIP Log'!T47)&lt;&gt;0),N('WIP Log'!T47),""),IF(IF($D47="",FALSE(),AND(V$5&gt;=DATE(YEAR($D47),MONTH($D47),1),V$5&lt;=$E47)),'Phased Budget'!X47,"")))</f>
        <v/>
      </c>
      <c r="W47" s="42" t="str">
        <f aca="false">IF($B47="","",IF(W$5&lt;=Projects!$C$2,IF(OR(IF($D47="",FALSE(),AND(W$5&gt;=DATE(YEAR($D47),MONTH($D47),1),W$5&lt;=$E47)),N('WIP Log'!U47)&lt;&gt;0),N('WIP Log'!U47),""),IF(IF($D47="",FALSE(),AND(W$5&gt;=DATE(YEAR($D47),MONTH($D47),1),W$5&lt;=$E47)),'Phased Budget'!Y47,"")))</f>
        <v/>
      </c>
      <c r="X47" s="42" t="str">
        <f aca="false">IF($B47="","",IF(X$5&lt;=Projects!$C$2,IF(OR(IF($D47="",FALSE(),AND(X$5&gt;=DATE(YEAR($D47),MONTH($D47),1),X$5&lt;=$E47)),N('WIP Log'!V47)&lt;&gt;0),N('WIP Log'!V47),""),IF(IF($D47="",FALSE(),AND(X$5&gt;=DATE(YEAR($D47),MONTH($D47),1),X$5&lt;=$E47)),'Phased Budget'!Z47,"")))</f>
        <v/>
      </c>
      <c r="Y47" s="42" t="str">
        <f aca="false">IF($B47="","",IF(Y$5&lt;=Projects!$C$2,IF(OR(IF($D47="",FALSE(),AND(Y$5&gt;=DATE(YEAR($D47),MONTH($D47),1),Y$5&lt;=$E47)),N('WIP Log'!W47)&lt;&gt;0),N('WIP Log'!W47),""),IF(IF($D47="",FALSE(),AND(Y$5&gt;=DATE(YEAR($D47),MONTH($D47),1),Y$5&lt;=$E47)),'Phased Budget'!AA47,"")))</f>
        <v/>
      </c>
      <c r="Z47" s="42" t="str">
        <f aca="false">IF($B47="","",IF(Z$5&lt;=Projects!$C$2,IF(OR(IF($D47="",FALSE(),AND(Z$5&gt;=DATE(YEAR($D47),MONTH($D47),1),Z$5&lt;=$E47)),N('WIP Log'!X47)&lt;&gt;0),N('WIP Log'!X47),""),IF(IF($D47="",FALSE(),AND(Z$5&gt;=DATE(YEAR($D47),MONTH($D47),1),Z$5&lt;=$E47)),'Phased Budget'!AB47,"")))</f>
        <v/>
      </c>
      <c r="AA47" s="42" t="str">
        <f aca="false">IF($B47="","",IF(AA$5&lt;=Projects!$C$2,IF(OR(IF($D47="",FALSE(),AND(AA$5&gt;=DATE(YEAR($D47),MONTH($D47),1),AA$5&lt;=$E47)),N('WIP Log'!Y47)&lt;&gt;0),N('WIP Log'!Y47),""),IF(IF($D47="",FALSE(),AND(AA$5&gt;=DATE(YEAR($D47),MONTH($D47),1),AA$5&lt;=$E47)),'Phased Budget'!AC47,"")))</f>
        <v/>
      </c>
      <c r="AB47" s="42" t="str">
        <f aca="false">IF($B47="","",IF(AB$5&lt;=Projects!$C$2,IF(OR(IF($D47="",FALSE(),AND(AB$5&gt;=DATE(YEAR($D47),MONTH($D47),1),AB$5&lt;=$E47)),N('WIP Log'!Z47)&lt;&gt;0),N('WIP Log'!Z47),""),IF(IF($D47="",FALSE(),AND(AB$5&gt;=DATE(YEAR($D47),MONTH($D47),1),AB$5&lt;=$E47)),'Phased Budget'!AD47,"")))</f>
        <v/>
      </c>
      <c r="AC47" s="42" t="str">
        <f aca="false">IF($B47="","",IF(AC$5&lt;=Projects!$C$2,IF(OR(IF($D47="",FALSE(),AND(AC$5&gt;=DATE(YEAR($D47),MONTH($D47),1),AC$5&lt;=$E47)),N('WIP Log'!AA47)&lt;&gt;0),N('WIP Log'!AA47),""),IF(IF($D47="",FALSE(),AND(AC$5&gt;=DATE(YEAR($D47),MONTH($D47),1),AC$5&lt;=$E47)),'Phased Budget'!AE47,"")))</f>
        <v/>
      </c>
      <c r="AD47" s="42" t="str">
        <f aca="false">IF($B47="","",IF(AD$5&lt;=Projects!$C$2,IF(OR(IF($D47="",FALSE(),AND(AD$5&gt;=DATE(YEAR($D47),MONTH($D47),1),AD$5&lt;=$E47)),N('WIP Log'!AB47)&lt;&gt;0),N('WIP Log'!AB47),""),IF(IF($D47="",FALSE(),AND(AD$5&gt;=DATE(YEAR($D47),MONTH($D47),1),AD$5&lt;=$E47)),'Phased Budget'!AF47,"")))</f>
        <v/>
      </c>
      <c r="AE47" s="42" t="str">
        <f aca="false">IF($B47="","",IF(AE$5&lt;=Projects!$C$2,IF(OR(IF($D47="",FALSE(),AND(AE$5&gt;=DATE(YEAR($D47),MONTH($D47),1),AE$5&lt;=$E47)),N('WIP Log'!AC47)&lt;&gt;0),N('WIP Log'!AC47),""),IF(IF($D47="",FALSE(),AND(AE$5&gt;=DATE(YEAR($D47),MONTH($D47),1),AE$5&lt;=$E47)),'Phased Budget'!AG47,"")))</f>
        <v/>
      </c>
      <c r="AF47" s="42" t="str">
        <f aca="false">IF($B47="","",IF(AF$5&lt;=Projects!$C$2,IF(OR(IF($D47="",FALSE(),AND(AF$5&gt;=DATE(YEAR($D47),MONTH($D47),1),AF$5&lt;=$E47)),N('WIP Log'!AD47)&lt;&gt;0),N('WIP Log'!AD47),""),IF(IF($D47="",FALSE(),AND(AF$5&gt;=DATE(YEAR($D47),MONTH($D47),1),AF$5&lt;=$E47)),'Phased Budget'!AH47,"")))</f>
        <v/>
      </c>
      <c r="AG47" s="42" t="str">
        <f aca="false">IF($B47="","",IF(AG$5&lt;=Projects!$C$2,IF(OR(IF($D47="",FALSE(),AND(AG$5&gt;=DATE(YEAR($D47),MONTH($D47),1),AG$5&lt;=$E47)),N('WIP Log'!AE47)&lt;&gt;0),N('WIP Log'!AE47),""),IF(IF($D47="",FALSE(),AND(AG$5&gt;=DATE(YEAR($D47),MONTH($D47),1),AG$5&lt;=$E47)),'Phased Budget'!AI47,"")))</f>
        <v/>
      </c>
      <c r="AH47" s="42" t="str">
        <f aca="false">IF($B47="","",IF(AH$5&lt;=Projects!$C$2,IF(OR(IF($D47="",FALSE(),AND(AH$5&gt;=DATE(YEAR($D47),MONTH($D47),1),AH$5&lt;=$E47)),N('WIP Log'!AF47)&lt;&gt;0),N('WIP Log'!AF47),""),IF(IF($D47="",FALSE(),AND(AH$5&gt;=DATE(YEAR($D47),MONTH($D47),1),AH$5&lt;=$E47)),'Phased Budget'!AJ47,"")))</f>
        <v/>
      </c>
      <c r="AI47" s="42" t="str">
        <f aca="false">IF($B47="","",IF(AI$5&lt;=Projects!$C$2,IF(OR(IF($D47="",FALSE(),AND(AI$5&gt;=DATE(YEAR($D47),MONTH($D47),1),AI$5&lt;=$E47)),N('WIP Log'!AG47)&lt;&gt;0),N('WIP Log'!AG47),""),IF(IF($D47="",FALSE(),AND(AI$5&gt;=DATE(YEAR($D47),MONTH($D47),1),AI$5&lt;=$E47)),'Phased Budget'!AK47,"")))</f>
        <v/>
      </c>
      <c r="AJ47" s="42" t="str">
        <f aca="false">IF($B47="","",IF(AJ$5&lt;=Projects!$C$2,IF(OR(IF($D47="",FALSE(),AND(AJ$5&gt;=DATE(YEAR($D47),MONTH($D47),1),AJ$5&lt;=$E47)),N('WIP Log'!AH47)&lt;&gt;0),N('WIP Log'!AH47),""),IF(IF($D47="",FALSE(),AND(AJ$5&gt;=DATE(YEAR($D47),MONTH($D47),1),AJ$5&lt;=$E47)),'Phased Budget'!AL47,"")))</f>
        <v/>
      </c>
      <c r="AK47" s="42" t="str">
        <f aca="false">IF($B47="","",IF(AK$5&lt;=Projects!$C$2,IF(OR(IF($D47="",FALSE(),AND(AK$5&gt;=DATE(YEAR($D47),MONTH($D47),1),AK$5&lt;=$E47)),N('WIP Log'!AI47)&lt;&gt;0),N('WIP Log'!AI47),""),IF(IF($D47="",FALSE(),AND(AK$5&gt;=DATE(YEAR($D47),MONTH($D47),1),AK$5&lt;=$E47)),'Phased Budget'!AM47,"")))</f>
        <v/>
      </c>
      <c r="AL47" s="42" t="str">
        <f aca="false">IF($B47="","",IF(AL$5&lt;=Projects!$C$2,IF(OR(IF($D47="",FALSE(),AND(AL$5&gt;=DATE(YEAR($D47),MONTH($D47),1),AL$5&lt;=$E47)),N('WIP Log'!AJ47)&lt;&gt;0),N('WIP Log'!AJ47),""),IF(IF($D47="",FALSE(),AND(AL$5&gt;=DATE(YEAR($D47),MONTH($D47),1),AL$5&lt;=$E47)),'Phased Budget'!AN47,"")))</f>
        <v/>
      </c>
      <c r="AM47" s="42" t="str">
        <f aca="false">IF($B47="","",IF(AM$5&lt;=Projects!$C$2,IF(OR(IF($D47="",FALSE(),AND(AM$5&gt;=DATE(YEAR($D47),MONTH($D47),1),AM$5&lt;=$E47)),N('WIP Log'!AK47)&lt;&gt;0),N('WIP Log'!AK47),""),IF(IF($D47="",FALSE(),AND(AM$5&gt;=DATE(YEAR($D47),MONTH($D47),1),AM$5&lt;=$E47)),'Phased Budget'!AO47,"")))</f>
        <v/>
      </c>
      <c r="AN47" s="42" t="str">
        <f aca="false">IF($B47="","",IF(AN$5&lt;=Projects!$C$2,IF(OR(IF($D47="",FALSE(),AND(AN$5&gt;=DATE(YEAR($D47),MONTH($D47),1),AN$5&lt;=$E47)),N('WIP Log'!AL47)&lt;&gt;0),N('WIP Log'!AL47),""),IF(IF($D47="",FALSE(),AND(AN$5&gt;=DATE(YEAR($D47),MONTH($D47),1),AN$5&lt;=$E47)),'Phased Budget'!AP47,"")))</f>
        <v/>
      </c>
      <c r="AO47" s="42" t="str">
        <f aca="false">IF($B47="","",IF(AO$5&lt;=Projects!$C$2,IF(OR(IF($D47="",FALSE(),AND(AO$5&gt;=DATE(YEAR($D47),MONTH($D47),1),AO$5&lt;=$E47)),N('WIP Log'!AM47)&lt;&gt;0),N('WIP Log'!AM47),""),IF(IF($D47="",FALSE(),AND(AO$5&gt;=DATE(YEAR($D47),MONTH($D47),1),AO$5&lt;=$E47)),'Phased Budget'!AQ47,"")))</f>
        <v/>
      </c>
    </row>
    <row r="48" customFormat="false" ht="15" hidden="false" customHeight="false" outlineLevel="0" collapsed="false">
      <c r="A48" s="20" t="n">
        <v>43</v>
      </c>
      <c r="B48" s="40" t="str">
        <f aca="false">IF(Projects!B48="","",Projects!B48)</f>
        <v/>
      </c>
      <c r="C48" s="40" t="str">
        <f aca="false">IF(Projects!C48="","",Projects!C48)</f>
        <v/>
      </c>
      <c r="D48" s="41" t="str">
        <f aca="false">IF(Projects!D48="","",Projects!D48)</f>
        <v/>
      </c>
      <c r="E48" s="41" t="str">
        <f aca="false">IF(Projects!F48="","",Projects!F48)</f>
        <v/>
      </c>
      <c r="F48" s="42" t="str">
        <f aca="false">IF($B48="","",IF(F$5&lt;=Projects!$C$2,IF(OR(IF($D48="",FALSE(),AND(F$5&gt;=DATE(YEAR($D48),MONTH($D48),1),F$5&lt;=$E48)),N('WIP Log'!D48)&lt;&gt;0),N('WIP Log'!D48),""),IF(IF($D48="",FALSE(),AND(F$5&gt;=DATE(YEAR($D48),MONTH($D48),1),F$5&lt;=$E48)),'Phased Budget'!H48,"")))</f>
        <v/>
      </c>
      <c r="G48" s="42" t="str">
        <f aca="false">IF($B48="","",IF(G$5&lt;=Projects!$C$2,IF(OR(IF($D48="",FALSE(),AND(G$5&gt;=DATE(YEAR($D48),MONTH($D48),1),G$5&lt;=$E48)),N('WIP Log'!E48)&lt;&gt;0),N('WIP Log'!E48),""),IF(IF($D48="",FALSE(),AND(G$5&gt;=DATE(YEAR($D48),MONTH($D48),1),G$5&lt;=$E48)),'Phased Budget'!I48,"")))</f>
        <v/>
      </c>
      <c r="H48" s="42" t="str">
        <f aca="false">IF($B48="","",IF(H$5&lt;=Projects!$C$2,IF(OR(IF($D48="",FALSE(),AND(H$5&gt;=DATE(YEAR($D48),MONTH($D48),1),H$5&lt;=$E48)),N('WIP Log'!F48)&lt;&gt;0),N('WIP Log'!F48),""),IF(IF($D48="",FALSE(),AND(H$5&gt;=DATE(YEAR($D48),MONTH($D48),1),H$5&lt;=$E48)),'Phased Budget'!J48,"")))</f>
        <v/>
      </c>
      <c r="I48" s="42" t="str">
        <f aca="false">IF($B48="","",IF(I$5&lt;=Projects!$C$2,IF(OR(IF($D48="",FALSE(),AND(I$5&gt;=DATE(YEAR($D48),MONTH($D48),1),I$5&lt;=$E48)),N('WIP Log'!G48)&lt;&gt;0),N('WIP Log'!G48),""),IF(IF($D48="",FALSE(),AND(I$5&gt;=DATE(YEAR($D48),MONTH($D48),1),I$5&lt;=$E48)),'Phased Budget'!K48,"")))</f>
        <v/>
      </c>
      <c r="J48" s="42" t="str">
        <f aca="false">IF($B48="","",IF(J$5&lt;=Projects!$C$2,IF(OR(IF($D48="",FALSE(),AND(J$5&gt;=DATE(YEAR($D48),MONTH($D48),1),J$5&lt;=$E48)),N('WIP Log'!H48)&lt;&gt;0),N('WIP Log'!H48),""),IF(IF($D48="",FALSE(),AND(J$5&gt;=DATE(YEAR($D48),MONTH($D48),1),J$5&lt;=$E48)),'Phased Budget'!L48,"")))</f>
        <v/>
      </c>
      <c r="K48" s="42" t="str">
        <f aca="false">IF($B48="","",IF(K$5&lt;=Projects!$C$2,IF(OR(IF($D48="",FALSE(),AND(K$5&gt;=DATE(YEAR($D48),MONTH($D48),1),K$5&lt;=$E48)),N('WIP Log'!I48)&lt;&gt;0),N('WIP Log'!I48),""),IF(IF($D48="",FALSE(),AND(K$5&gt;=DATE(YEAR($D48),MONTH($D48),1),K$5&lt;=$E48)),'Phased Budget'!M48,"")))</f>
        <v/>
      </c>
      <c r="L48" s="42" t="str">
        <f aca="false">IF($B48="","",IF(L$5&lt;=Projects!$C$2,IF(OR(IF($D48="",FALSE(),AND(L$5&gt;=DATE(YEAR($D48),MONTH($D48),1),L$5&lt;=$E48)),N('WIP Log'!J48)&lt;&gt;0),N('WIP Log'!J48),""),IF(IF($D48="",FALSE(),AND(L$5&gt;=DATE(YEAR($D48),MONTH($D48),1),L$5&lt;=$E48)),'Phased Budget'!N48,"")))</f>
        <v/>
      </c>
      <c r="M48" s="42" t="str">
        <f aca="false">IF($B48="","",IF(M$5&lt;=Projects!$C$2,IF(OR(IF($D48="",FALSE(),AND(M$5&gt;=DATE(YEAR($D48),MONTH($D48),1),M$5&lt;=$E48)),N('WIP Log'!K48)&lt;&gt;0),N('WIP Log'!K48),""),IF(IF($D48="",FALSE(),AND(M$5&gt;=DATE(YEAR($D48),MONTH($D48),1),M$5&lt;=$E48)),'Phased Budget'!O48,"")))</f>
        <v/>
      </c>
      <c r="N48" s="42" t="str">
        <f aca="false">IF($B48="","",IF(N$5&lt;=Projects!$C$2,IF(OR(IF($D48="",FALSE(),AND(N$5&gt;=DATE(YEAR($D48),MONTH($D48),1),N$5&lt;=$E48)),N('WIP Log'!L48)&lt;&gt;0),N('WIP Log'!L48),""),IF(IF($D48="",FALSE(),AND(N$5&gt;=DATE(YEAR($D48),MONTH($D48),1),N$5&lt;=$E48)),'Phased Budget'!P48,"")))</f>
        <v/>
      </c>
      <c r="O48" s="42" t="str">
        <f aca="false">IF($B48="","",IF(O$5&lt;=Projects!$C$2,IF(OR(IF($D48="",FALSE(),AND(O$5&gt;=DATE(YEAR($D48),MONTH($D48),1),O$5&lt;=$E48)),N('WIP Log'!M48)&lt;&gt;0),N('WIP Log'!M48),""),IF(IF($D48="",FALSE(),AND(O$5&gt;=DATE(YEAR($D48),MONTH($D48),1),O$5&lt;=$E48)),'Phased Budget'!Q48,"")))</f>
        <v/>
      </c>
      <c r="P48" s="42" t="str">
        <f aca="false">IF($B48="","",IF(P$5&lt;=Projects!$C$2,IF(OR(IF($D48="",FALSE(),AND(P$5&gt;=DATE(YEAR($D48),MONTH($D48),1),P$5&lt;=$E48)),N('WIP Log'!N48)&lt;&gt;0),N('WIP Log'!N48),""),IF(IF($D48="",FALSE(),AND(P$5&gt;=DATE(YEAR($D48),MONTH($D48),1),P$5&lt;=$E48)),'Phased Budget'!R48,"")))</f>
        <v/>
      </c>
      <c r="Q48" s="42" t="str">
        <f aca="false">IF($B48="","",IF(Q$5&lt;=Projects!$C$2,IF(OR(IF($D48="",FALSE(),AND(Q$5&gt;=DATE(YEAR($D48),MONTH($D48),1),Q$5&lt;=$E48)),N('WIP Log'!O48)&lt;&gt;0),N('WIP Log'!O48),""),IF(IF($D48="",FALSE(),AND(Q$5&gt;=DATE(YEAR($D48),MONTH($D48),1),Q$5&lt;=$E48)),'Phased Budget'!S48,"")))</f>
        <v/>
      </c>
      <c r="R48" s="42" t="str">
        <f aca="false">IF($B48="","",IF(R$5&lt;=Projects!$C$2,IF(OR(IF($D48="",FALSE(),AND(R$5&gt;=DATE(YEAR($D48),MONTH($D48),1),R$5&lt;=$E48)),N('WIP Log'!P48)&lt;&gt;0),N('WIP Log'!P48),""),IF(IF($D48="",FALSE(),AND(R$5&gt;=DATE(YEAR($D48),MONTH($D48),1),R$5&lt;=$E48)),'Phased Budget'!T48,"")))</f>
        <v/>
      </c>
      <c r="S48" s="42" t="str">
        <f aca="false">IF($B48="","",IF(S$5&lt;=Projects!$C$2,IF(OR(IF($D48="",FALSE(),AND(S$5&gt;=DATE(YEAR($D48),MONTH($D48),1),S$5&lt;=$E48)),N('WIP Log'!Q48)&lt;&gt;0),N('WIP Log'!Q48),""),IF(IF($D48="",FALSE(),AND(S$5&gt;=DATE(YEAR($D48),MONTH($D48),1),S$5&lt;=$E48)),'Phased Budget'!U48,"")))</f>
        <v/>
      </c>
      <c r="T48" s="42" t="str">
        <f aca="false">IF($B48="","",IF(T$5&lt;=Projects!$C$2,IF(OR(IF($D48="",FALSE(),AND(T$5&gt;=DATE(YEAR($D48),MONTH($D48),1),T$5&lt;=$E48)),N('WIP Log'!R48)&lt;&gt;0),N('WIP Log'!R48),""),IF(IF($D48="",FALSE(),AND(T$5&gt;=DATE(YEAR($D48),MONTH($D48),1),T$5&lt;=$E48)),'Phased Budget'!V48,"")))</f>
        <v/>
      </c>
      <c r="U48" s="42" t="str">
        <f aca="false">IF($B48="","",IF(U$5&lt;=Projects!$C$2,IF(OR(IF($D48="",FALSE(),AND(U$5&gt;=DATE(YEAR($D48),MONTH($D48),1),U$5&lt;=$E48)),N('WIP Log'!S48)&lt;&gt;0),N('WIP Log'!S48),""),IF(IF($D48="",FALSE(),AND(U$5&gt;=DATE(YEAR($D48),MONTH($D48),1),U$5&lt;=$E48)),'Phased Budget'!W48,"")))</f>
        <v/>
      </c>
      <c r="V48" s="42" t="str">
        <f aca="false">IF($B48="","",IF(V$5&lt;=Projects!$C$2,IF(OR(IF($D48="",FALSE(),AND(V$5&gt;=DATE(YEAR($D48),MONTH($D48),1),V$5&lt;=$E48)),N('WIP Log'!T48)&lt;&gt;0),N('WIP Log'!T48),""),IF(IF($D48="",FALSE(),AND(V$5&gt;=DATE(YEAR($D48),MONTH($D48),1),V$5&lt;=$E48)),'Phased Budget'!X48,"")))</f>
        <v/>
      </c>
      <c r="W48" s="42" t="str">
        <f aca="false">IF($B48="","",IF(W$5&lt;=Projects!$C$2,IF(OR(IF($D48="",FALSE(),AND(W$5&gt;=DATE(YEAR($D48),MONTH($D48),1),W$5&lt;=$E48)),N('WIP Log'!U48)&lt;&gt;0),N('WIP Log'!U48),""),IF(IF($D48="",FALSE(),AND(W$5&gt;=DATE(YEAR($D48),MONTH($D48),1),W$5&lt;=$E48)),'Phased Budget'!Y48,"")))</f>
        <v/>
      </c>
      <c r="X48" s="42" t="str">
        <f aca="false">IF($B48="","",IF(X$5&lt;=Projects!$C$2,IF(OR(IF($D48="",FALSE(),AND(X$5&gt;=DATE(YEAR($D48),MONTH($D48),1),X$5&lt;=$E48)),N('WIP Log'!V48)&lt;&gt;0),N('WIP Log'!V48),""),IF(IF($D48="",FALSE(),AND(X$5&gt;=DATE(YEAR($D48),MONTH($D48),1),X$5&lt;=$E48)),'Phased Budget'!Z48,"")))</f>
        <v/>
      </c>
      <c r="Y48" s="42" t="str">
        <f aca="false">IF($B48="","",IF(Y$5&lt;=Projects!$C$2,IF(OR(IF($D48="",FALSE(),AND(Y$5&gt;=DATE(YEAR($D48),MONTH($D48),1),Y$5&lt;=$E48)),N('WIP Log'!W48)&lt;&gt;0),N('WIP Log'!W48),""),IF(IF($D48="",FALSE(),AND(Y$5&gt;=DATE(YEAR($D48),MONTH($D48),1),Y$5&lt;=$E48)),'Phased Budget'!AA48,"")))</f>
        <v/>
      </c>
      <c r="Z48" s="42" t="str">
        <f aca="false">IF($B48="","",IF(Z$5&lt;=Projects!$C$2,IF(OR(IF($D48="",FALSE(),AND(Z$5&gt;=DATE(YEAR($D48),MONTH($D48),1),Z$5&lt;=$E48)),N('WIP Log'!X48)&lt;&gt;0),N('WIP Log'!X48),""),IF(IF($D48="",FALSE(),AND(Z$5&gt;=DATE(YEAR($D48),MONTH($D48),1),Z$5&lt;=$E48)),'Phased Budget'!AB48,"")))</f>
        <v/>
      </c>
      <c r="AA48" s="42" t="str">
        <f aca="false">IF($B48="","",IF(AA$5&lt;=Projects!$C$2,IF(OR(IF($D48="",FALSE(),AND(AA$5&gt;=DATE(YEAR($D48),MONTH($D48),1),AA$5&lt;=$E48)),N('WIP Log'!Y48)&lt;&gt;0),N('WIP Log'!Y48),""),IF(IF($D48="",FALSE(),AND(AA$5&gt;=DATE(YEAR($D48),MONTH($D48),1),AA$5&lt;=$E48)),'Phased Budget'!AC48,"")))</f>
        <v/>
      </c>
      <c r="AB48" s="42" t="str">
        <f aca="false">IF($B48="","",IF(AB$5&lt;=Projects!$C$2,IF(OR(IF($D48="",FALSE(),AND(AB$5&gt;=DATE(YEAR($D48),MONTH($D48),1),AB$5&lt;=$E48)),N('WIP Log'!Z48)&lt;&gt;0),N('WIP Log'!Z48),""),IF(IF($D48="",FALSE(),AND(AB$5&gt;=DATE(YEAR($D48),MONTH($D48),1),AB$5&lt;=$E48)),'Phased Budget'!AD48,"")))</f>
        <v/>
      </c>
      <c r="AC48" s="42" t="str">
        <f aca="false">IF($B48="","",IF(AC$5&lt;=Projects!$C$2,IF(OR(IF($D48="",FALSE(),AND(AC$5&gt;=DATE(YEAR($D48),MONTH($D48),1),AC$5&lt;=$E48)),N('WIP Log'!AA48)&lt;&gt;0),N('WIP Log'!AA48),""),IF(IF($D48="",FALSE(),AND(AC$5&gt;=DATE(YEAR($D48),MONTH($D48),1),AC$5&lt;=$E48)),'Phased Budget'!AE48,"")))</f>
        <v/>
      </c>
      <c r="AD48" s="42" t="str">
        <f aca="false">IF($B48="","",IF(AD$5&lt;=Projects!$C$2,IF(OR(IF($D48="",FALSE(),AND(AD$5&gt;=DATE(YEAR($D48),MONTH($D48),1),AD$5&lt;=$E48)),N('WIP Log'!AB48)&lt;&gt;0),N('WIP Log'!AB48),""),IF(IF($D48="",FALSE(),AND(AD$5&gt;=DATE(YEAR($D48),MONTH($D48),1),AD$5&lt;=$E48)),'Phased Budget'!AF48,"")))</f>
        <v/>
      </c>
      <c r="AE48" s="42" t="str">
        <f aca="false">IF($B48="","",IF(AE$5&lt;=Projects!$C$2,IF(OR(IF($D48="",FALSE(),AND(AE$5&gt;=DATE(YEAR($D48),MONTH($D48),1),AE$5&lt;=$E48)),N('WIP Log'!AC48)&lt;&gt;0),N('WIP Log'!AC48),""),IF(IF($D48="",FALSE(),AND(AE$5&gt;=DATE(YEAR($D48),MONTH($D48),1),AE$5&lt;=$E48)),'Phased Budget'!AG48,"")))</f>
        <v/>
      </c>
      <c r="AF48" s="42" t="str">
        <f aca="false">IF($B48="","",IF(AF$5&lt;=Projects!$C$2,IF(OR(IF($D48="",FALSE(),AND(AF$5&gt;=DATE(YEAR($D48),MONTH($D48),1),AF$5&lt;=$E48)),N('WIP Log'!AD48)&lt;&gt;0),N('WIP Log'!AD48),""),IF(IF($D48="",FALSE(),AND(AF$5&gt;=DATE(YEAR($D48),MONTH($D48),1),AF$5&lt;=$E48)),'Phased Budget'!AH48,"")))</f>
        <v/>
      </c>
      <c r="AG48" s="42" t="str">
        <f aca="false">IF($B48="","",IF(AG$5&lt;=Projects!$C$2,IF(OR(IF($D48="",FALSE(),AND(AG$5&gt;=DATE(YEAR($D48),MONTH($D48),1),AG$5&lt;=$E48)),N('WIP Log'!AE48)&lt;&gt;0),N('WIP Log'!AE48),""),IF(IF($D48="",FALSE(),AND(AG$5&gt;=DATE(YEAR($D48),MONTH($D48),1),AG$5&lt;=$E48)),'Phased Budget'!AI48,"")))</f>
        <v/>
      </c>
      <c r="AH48" s="42" t="str">
        <f aca="false">IF($B48="","",IF(AH$5&lt;=Projects!$C$2,IF(OR(IF($D48="",FALSE(),AND(AH$5&gt;=DATE(YEAR($D48),MONTH($D48),1),AH$5&lt;=$E48)),N('WIP Log'!AF48)&lt;&gt;0),N('WIP Log'!AF48),""),IF(IF($D48="",FALSE(),AND(AH$5&gt;=DATE(YEAR($D48),MONTH($D48),1),AH$5&lt;=$E48)),'Phased Budget'!AJ48,"")))</f>
        <v/>
      </c>
      <c r="AI48" s="42" t="str">
        <f aca="false">IF($B48="","",IF(AI$5&lt;=Projects!$C$2,IF(OR(IF($D48="",FALSE(),AND(AI$5&gt;=DATE(YEAR($D48),MONTH($D48),1),AI$5&lt;=$E48)),N('WIP Log'!AG48)&lt;&gt;0),N('WIP Log'!AG48),""),IF(IF($D48="",FALSE(),AND(AI$5&gt;=DATE(YEAR($D48),MONTH($D48),1),AI$5&lt;=$E48)),'Phased Budget'!AK48,"")))</f>
        <v/>
      </c>
      <c r="AJ48" s="42" t="str">
        <f aca="false">IF($B48="","",IF(AJ$5&lt;=Projects!$C$2,IF(OR(IF($D48="",FALSE(),AND(AJ$5&gt;=DATE(YEAR($D48),MONTH($D48),1),AJ$5&lt;=$E48)),N('WIP Log'!AH48)&lt;&gt;0),N('WIP Log'!AH48),""),IF(IF($D48="",FALSE(),AND(AJ$5&gt;=DATE(YEAR($D48),MONTH($D48),1),AJ$5&lt;=$E48)),'Phased Budget'!AL48,"")))</f>
        <v/>
      </c>
      <c r="AK48" s="42" t="str">
        <f aca="false">IF($B48="","",IF(AK$5&lt;=Projects!$C$2,IF(OR(IF($D48="",FALSE(),AND(AK$5&gt;=DATE(YEAR($D48),MONTH($D48),1),AK$5&lt;=$E48)),N('WIP Log'!AI48)&lt;&gt;0),N('WIP Log'!AI48),""),IF(IF($D48="",FALSE(),AND(AK$5&gt;=DATE(YEAR($D48),MONTH($D48),1),AK$5&lt;=$E48)),'Phased Budget'!AM48,"")))</f>
        <v/>
      </c>
      <c r="AL48" s="42" t="str">
        <f aca="false">IF($B48="","",IF(AL$5&lt;=Projects!$C$2,IF(OR(IF($D48="",FALSE(),AND(AL$5&gt;=DATE(YEAR($D48),MONTH($D48),1),AL$5&lt;=$E48)),N('WIP Log'!AJ48)&lt;&gt;0),N('WIP Log'!AJ48),""),IF(IF($D48="",FALSE(),AND(AL$5&gt;=DATE(YEAR($D48),MONTH($D48),1),AL$5&lt;=$E48)),'Phased Budget'!AN48,"")))</f>
        <v/>
      </c>
      <c r="AM48" s="42" t="str">
        <f aca="false">IF($B48="","",IF(AM$5&lt;=Projects!$C$2,IF(OR(IF($D48="",FALSE(),AND(AM$5&gt;=DATE(YEAR($D48),MONTH($D48),1),AM$5&lt;=$E48)),N('WIP Log'!AK48)&lt;&gt;0),N('WIP Log'!AK48),""),IF(IF($D48="",FALSE(),AND(AM$5&gt;=DATE(YEAR($D48),MONTH($D48),1),AM$5&lt;=$E48)),'Phased Budget'!AO48,"")))</f>
        <v/>
      </c>
      <c r="AN48" s="42" t="str">
        <f aca="false">IF($B48="","",IF(AN$5&lt;=Projects!$C$2,IF(OR(IF($D48="",FALSE(),AND(AN$5&gt;=DATE(YEAR($D48),MONTH($D48),1),AN$5&lt;=$E48)),N('WIP Log'!AL48)&lt;&gt;0),N('WIP Log'!AL48),""),IF(IF($D48="",FALSE(),AND(AN$5&gt;=DATE(YEAR($D48),MONTH($D48),1),AN$5&lt;=$E48)),'Phased Budget'!AP48,"")))</f>
        <v/>
      </c>
      <c r="AO48" s="42" t="str">
        <f aca="false">IF($B48="","",IF(AO$5&lt;=Projects!$C$2,IF(OR(IF($D48="",FALSE(),AND(AO$5&gt;=DATE(YEAR($D48),MONTH($D48),1),AO$5&lt;=$E48)),N('WIP Log'!AM48)&lt;&gt;0),N('WIP Log'!AM48),""),IF(IF($D48="",FALSE(),AND(AO$5&gt;=DATE(YEAR($D48),MONTH($D48),1),AO$5&lt;=$E48)),'Phased Budget'!AQ48,"")))</f>
        <v/>
      </c>
    </row>
    <row r="49" customFormat="false" ht="15" hidden="false" customHeight="false" outlineLevel="0" collapsed="false">
      <c r="A49" s="20" t="n">
        <v>44</v>
      </c>
      <c r="B49" s="40" t="str">
        <f aca="false">IF(Projects!B49="","",Projects!B49)</f>
        <v/>
      </c>
      <c r="C49" s="40" t="str">
        <f aca="false">IF(Projects!C49="","",Projects!C49)</f>
        <v/>
      </c>
      <c r="D49" s="41" t="str">
        <f aca="false">IF(Projects!D49="","",Projects!D49)</f>
        <v/>
      </c>
      <c r="E49" s="41" t="str">
        <f aca="false">IF(Projects!F49="","",Projects!F49)</f>
        <v/>
      </c>
      <c r="F49" s="42" t="str">
        <f aca="false">IF($B49="","",IF(F$5&lt;=Projects!$C$2,IF(OR(IF($D49="",FALSE(),AND(F$5&gt;=DATE(YEAR($D49),MONTH($D49),1),F$5&lt;=$E49)),N('WIP Log'!D49)&lt;&gt;0),N('WIP Log'!D49),""),IF(IF($D49="",FALSE(),AND(F$5&gt;=DATE(YEAR($D49),MONTH($D49),1),F$5&lt;=$E49)),'Phased Budget'!H49,"")))</f>
        <v/>
      </c>
      <c r="G49" s="42" t="str">
        <f aca="false">IF($B49="","",IF(G$5&lt;=Projects!$C$2,IF(OR(IF($D49="",FALSE(),AND(G$5&gt;=DATE(YEAR($D49),MONTH($D49),1),G$5&lt;=$E49)),N('WIP Log'!E49)&lt;&gt;0),N('WIP Log'!E49),""),IF(IF($D49="",FALSE(),AND(G$5&gt;=DATE(YEAR($D49),MONTH($D49),1),G$5&lt;=$E49)),'Phased Budget'!I49,"")))</f>
        <v/>
      </c>
      <c r="H49" s="42" t="str">
        <f aca="false">IF($B49="","",IF(H$5&lt;=Projects!$C$2,IF(OR(IF($D49="",FALSE(),AND(H$5&gt;=DATE(YEAR($D49),MONTH($D49),1),H$5&lt;=$E49)),N('WIP Log'!F49)&lt;&gt;0),N('WIP Log'!F49),""),IF(IF($D49="",FALSE(),AND(H$5&gt;=DATE(YEAR($D49),MONTH($D49),1),H$5&lt;=$E49)),'Phased Budget'!J49,"")))</f>
        <v/>
      </c>
      <c r="I49" s="42" t="str">
        <f aca="false">IF($B49="","",IF(I$5&lt;=Projects!$C$2,IF(OR(IF($D49="",FALSE(),AND(I$5&gt;=DATE(YEAR($D49),MONTH($D49),1),I$5&lt;=$E49)),N('WIP Log'!G49)&lt;&gt;0),N('WIP Log'!G49),""),IF(IF($D49="",FALSE(),AND(I$5&gt;=DATE(YEAR($D49),MONTH($D49),1),I$5&lt;=$E49)),'Phased Budget'!K49,"")))</f>
        <v/>
      </c>
      <c r="J49" s="42" t="str">
        <f aca="false">IF($B49="","",IF(J$5&lt;=Projects!$C$2,IF(OR(IF($D49="",FALSE(),AND(J$5&gt;=DATE(YEAR($D49),MONTH($D49),1),J$5&lt;=$E49)),N('WIP Log'!H49)&lt;&gt;0),N('WIP Log'!H49),""),IF(IF($D49="",FALSE(),AND(J$5&gt;=DATE(YEAR($D49),MONTH($D49),1),J$5&lt;=$E49)),'Phased Budget'!L49,"")))</f>
        <v/>
      </c>
      <c r="K49" s="42" t="str">
        <f aca="false">IF($B49="","",IF(K$5&lt;=Projects!$C$2,IF(OR(IF($D49="",FALSE(),AND(K$5&gt;=DATE(YEAR($D49),MONTH($D49),1),K$5&lt;=$E49)),N('WIP Log'!I49)&lt;&gt;0),N('WIP Log'!I49),""),IF(IF($D49="",FALSE(),AND(K$5&gt;=DATE(YEAR($D49),MONTH($D49),1),K$5&lt;=$E49)),'Phased Budget'!M49,"")))</f>
        <v/>
      </c>
      <c r="L49" s="42" t="str">
        <f aca="false">IF($B49="","",IF(L$5&lt;=Projects!$C$2,IF(OR(IF($D49="",FALSE(),AND(L$5&gt;=DATE(YEAR($D49),MONTH($D49),1),L$5&lt;=$E49)),N('WIP Log'!J49)&lt;&gt;0),N('WIP Log'!J49),""),IF(IF($D49="",FALSE(),AND(L$5&gt;=DATE(YEAR($D49),MONTH($D49),1),L$5&lt;=$E49)),'Phased Budget'!N49,"")))</f>
        <v/>
      </c>
      <c r="M49" s="42" t="str">
        <f aca="false">IF($B49="","",IF(M$5&lt;=Projects!$C$2,IF(OR(IF($D49="",FALSE(),AND(M$5&gt;=DATE(YEAR($D49),MONTH($D49),1),M$5&lt;=$E49)),N('WIP Log'!K49)&lt;&gt;0),N('WIP Log'!K49),""),IF(IF($D49="",FALSE(),AND(M$5&gt;=DATE(YEAR($D49),MONTH($D49),1),M$5&lt;=$E49)),'Phased Budget'!O49,"")))</f>
        <v/>
      </c>
      <c r="N49" s="42" t="str">
        <f aca="false">IF($B49="","",IF(N$5&lt;=Projects!$C$2,IF(OR(IF($D49="",FALSE(),AND(N$5&gt;=DATE(YEAR($D49),MONTH($D49),1),N$5&lt;=$E49)),N('WIP Log'!L49)&lt;&gt;0),N('WIP Log'!L49),""),IF(IF($D49="",FALSE(),AND(N$5&gt;=DATE(YEAR($D49),MONTH($D49),1),N$5&lt;=$E49)),'Phased Budget'!P49,"")))</f>
        <v/>
      </c>
      <c r="O49" s="42" t="str">
        <f aca="false">IF($B49="","",IF(O$5&lt;=Projects!$C$2,IF(OR(IF($D49="",FALSE(),AND(O$5&gt;=DATE(YEAR($D49),MONTH($D49),1),O$5&lt;=$E49)),N('WIP Log'!M49)&lt;&gt;0),N('WIP Log'!M49),""),IF(IF($D49="",FALSE(),AND(O$5&gt;=DATE(YEAR($D49),MONTH($D49),1),O$5&lt;=$E49)),'Phased Budget'!Q49,"")))</f>
        <v/>
      </c>
      <c r="P49" s="42" t="str">
        <f aca="false">IF($B49="","",IF(P$5&lt;=Projects!$C$2,IF(OR(IF($D49="",FALSE(),AND(P$5&gt;=DATE(YEAR($D49),MONTH($D49),1),P$5&lt;=$E49)),N('WIP Log'!N49)&lt;&gt;0),N('WIP Log'!N49),""),IF(IF($D49="",FALSE(),AND(P$5&gt;=DATE(YEAR($D49),MONTH($D49),1),P$5&lt;=$E49)),'Phased Budget'!R49,"")))</f>
        <v/>
      </c>
      <c r="Q49" s="42" t="str">
        <f aca="false">IF($B49="","",IF(Q$5&lt;=Projects!$C$2,IF(OR(IF($D49="",FALSE(),AND(Q$5&gt;=DATE(YEAR($D49),MONTH($D49),1),Q$5&lt;=$E49)),N('WIP Log'!O49)&lt;&gt;0),N('WIP Log'!O49),""),IF(IF($D49="",FALSE(),AND(Q$5&gt;=DATE(YEAR($D49),MONTH($D49),1),Q$5&lt;=$E49)),'Phased Budget'!S49,"")))</f>
        <v/>
      </c>
      <c r="R49" s="42" t="str">
        <f aca="false">IF($B49="","",IF(R$5&lt;=Projects!$C$2,IF(OR(IF($D49="",FALSE(),AND(R$5&gt;=DATE(YEAR($D49),MONTH($D49),1),R$5&lt;=$E49)),N('WIP Log'!P49)&lt;&gt;0),N('WIP Log'!P49),""),IF(IF($D49="",FALSE(),AND(R$5&gt;=DATE(YEAR($D49),MONTH($D49),1),R$5&lt;=$E49)),'Phased Budget'!T49,"")))</f>
        <v/>
      </c>
      <c r="S49" s="42" t="str">
        <f aca="false">IF($B49="","",IF(S$5&lt;=Projects!$C$2,IF(OR(IF($D49="",FALSE(),AND(S$5&gt;=DATE(YEAR($D49),MONTH($D49),1),S$5&lt;=$E49)),N('WIP Log'!Q49)&lt;&gt;0),N('WIP Log'!Q49),""),IF(IF($D49="",FALSE(),AND(S$5&gt;=DATE(YEAR($D49),MONTH($D49),1),S$5&lt;=$E49)),'Phased Budget'!U49,"")))</f>
        <v/>
      </c>
      <c r="T49" s="42" t="str">
        <f aca="false">IF($B49="","",IF(T$5&lt;=Projects!$C$2,IF(OR(IF($D49="",FALSE(),AND(T$5&gt;=DATE(YEAR($D49),MONTH($D49),1),T$5&lt;=$E49)),N('WIP Log'!R49)&lt;&gt;0),N('WIP Log'!R49),""),IF(IF($D49="",FALSE(),AND(T$5&gt;=DATE(YEAR($D49),MONTH($D49),1),T$5&lt;=$E49)),'Phased Budget'!V49,"")))</f>
        <v/>
      </c>
      <c r="U49" s="42" t="str">
        <f aca="false">IF($B49="","",IF(U$5&lt;=Projects!$C$2,IF(OR(IF($D49="",FALSE(),AND(U$5&gt;=DATE(YEAR($D49),MONTH($D49),1),U$5&lt;=$E49)),N('WIP Log'!S49)&lt;&gt;0),N('WIP Log'!S49),""),IF(IF($D49="",FALSE(),AND(U$5&gt;=DATE(YEAR($D49),MONTH($D49),1),U$5&lt;=$E49)),'Phased Budget'!W49,"")))</f>
        <v/>
      </c>
      <c r="V49" s="42" t="str">
        <f aca="false">IF($B49="","",IF(V$5&lt;=Projects!$C$2,IF(OR(IF($D49="",FALSE(),AND(V$5&gt;=DATE(YEAR($D49),MONTH($D49),1),V$5&lt;=$E49)),N('WIP Log'!T49)&lt;&gt;0),N('WIP Log'!T49),""),IF(IF($D49="",FALSE(),AND(V$5&gt;=DATE(YEAR($D49),MONTH($D49),1),V$5&lt;=$E49)),'Phased Budget'!X49,"")))</f>
        <v/>
      </c>
      <c r="W49" s="42" t="str">
        <f aca="false">IF($B49="","",IF(W$5&lt;=Projects!$C$2,IF(OR(IF($D49="",FALSE(),AND(W$5&gt;=DATE(YEAR($D49),MONTH($D49),1),W$5&lt;=$E49)),N('WIP Log'!U49)&lt;&gt;0),N('WIP Log'!U49),""),IF(IF($D49="",FALSE(),AND(W$5&gt;=DATE(YEAR($D49),MONTH($D49),1),W$5&lt;=$E49)),'Phased Budget'!Y49,"")))</f>
        <v/>
      </c>
      <c r="X49" s="42" t="str">
        <f aca="false">IF($B49="","",IF(X$5&lt;=Projects!$C$2,IF(OR(IF($D49="",FALSE(),AND(X$5&gt;=DATE(YEAR($D49),MONTH($D49),1),X$5&lt;=$E49)),N('WIP Log'!V49)&lt;&gt;0),N('WIP Log'!V49),""),IF(IF($D49="",FALSE(),AND(X$5&gt;=DATE(YEAR($D49),MONTH($D49),1),X$5&lt;=$E49)),'Phased Budget'!Z49,"")))</f>
        <v/>
      </c>
      <c r="Y49" s="42" t="str">
        <f aca="false">IF($B49="","",IF(Y$5&lt;=Projects!$C$2,IF(OR(IF($D49="",FALSE(),AND(Y$5&gt;=DATE(YEAR($D49),MONTH($D49),1),Y$5&lt;=$E49)),N('WIP Log'!W49)&lt;&gt;0),N('WIP Log'!W49),""),IF(IF($D49="",FALSE(),AND(Y$5&gt;=DATE(YEAR($D49),MONTH($D49),1),Y$5&lt;=$E49)),'Phased Budget'!AA49,"")))</f>
        <v/>
      </c>
      <c r="Z49" s="42" t="str">
        <f aca="false">IF($B49="","",IF(Z$5&lt;=Projects!$C$2,IF(OR(IF($D49="",FALSE(),AND(Z$5&gt;=DATE(YEAR($D49),MONTH($D49),1),Z$5&lt;=$E49)),N('WIP Log'!X49)&lt;&gt;0),N('WIP Log'!X49),""),IF(IF($D49="",FALSE(),AND(Z$5&gt;=DATE(YEAR($D49),MONTH($D49),1),Z$5&lt;=$E49)),'Phased Budget'!AB49,"")))</f>
        <v/>
      </c>
      <c r="AA49" s="42" t="str">
        <f aca="false">IF($B49="","",IF(AA$5&lt;=Projects!$C$2,IF(OR(IF($D49="",FALSE(),AND(AA$5&gt;=DATE(YEAR($D49),MONTH($D49),1),AA$5&lt;=$E49)),N('WIP Log'!Y49)&lt;&gt;0),N('WIP Log'!Y49),""),IF(IF($D49="",FALSE(),AND(AA$5&gt;=DATE(YEAR($D49),MONTH($D49),1),AA$5&lt;=$E49)),'Phased Budget'!AC49,"")))</f>
        <v/>
      </c>
      <c r="AB49" s="42" t="str">
        <f aca="false">IF($B49="","",IF(AB$5&lt;=Projects!$C$2,IF(OR(IF($D49="",FALSE(),AND(AB$5&gt;=DATE(YEAR($D49),MONTH($D49),1),AB$5&lt;=$E49)),N('WIP Log'!Z49)&lt;&gt;0),N('WIP Log'!Z49),""),IF(IF($D49="",FALSE(),AND(AB$5&gt;=DATE(YEAR($D49),MONTH($D49),1),AB$5&lt;=$E49)),'Phased Budget'!AD49,"")))</f>
        <v/>
      </c>
      <c r="AC49" s="42" t="str">
        <f aca="false">IF($B49="","",IF(AC$5&lt;=Projects!$C$2,IF(OR(IF($D49="",FALSE(),AND(AC$5&gt;=DATE(YEAR($D49),MONTH($D49),1),AC$5&lt;=$E49)),N('WIP Log'!AA49)&lt;&gt;0),N('WIP Log'!AA49),""),IF(IF($D49="",FALSE(),AND(AC$5&gt;=DATE(YEAR($D49),MONTH($D49),1),AC$5&lt;=$E49)),'Phased Budget'!AE49,"")))</f>
        <v/>
      </c>
      <c r="AD49" s="42" t="str">
        <f aca="false">IF($B49="","",IF(AD$5&lt;=Projects!$C$2,IF(OR(IF($D49="",FALSE(),AND(AD$5&gt;=DATE(YEAR($D49),MONTH($D49),1),AD$5&lt;=$E49)),N('WIP Log'!AB49)&lt;&gt;0),N('WIP Log'!AB49),""),IF(IF($D49="",FALSE(),AND(AD$5&gt;=DATE(YEAR($D49),MONTH($D49),1),AD$5&lt;=$E49)),'Phased Budget'!AF49,"")))</f>
        <v/>
      </c>
      <c r="AE49" s="42" t="str">
        <f aca="false">IF($B49="","",IF(AE$5&lt;=Projects!$C$2,IF(OR(IF($D49="",FALSE(),AND(AE$5&gt;=DATE(YEAR($D49),MONTH($D49),1),AE$5&lt;=$E49)),N('WIP Log'!AC49)&lt;&gt;0),N('WIP Log'!AC49),""),IF(IF($D49="",FALSE(),AND(AE$5&gt;=DATE(YEAR($D49),MONTH($D49),1),AE$5&lt;=$E49)),'Phased Budget'!AG49,"")))</f>
        <v/>
      </c>
      <c r="AF49" s="42" t="str">
        <f aca="false">IF($B49="","",IF(AF$5&lt;=Projects!$C$2,IF(OR(IF($D49="",FALSE(),AND(AF$5&gt;=DATE(YEAR($D49),MONTH($D49),1),AF$5&lt;=$E49)),N('WIP Log'!AD49)&lt;&gt;0),N('WIP Log'!AD49),""),IF(IF($D49="",FALSE(),AND(AF$5&gt;=DATE(YEAR($D49),MONTH($D49),1),AF$5&lt;=$E49)),'Phased Budget'!AH49,"")))</f>
        <v/>
      </c>
      <c r="AG49" s="42" t="str">
        <f aca="false">IF($B49="","",IF(AG$5&lt;=Projects!$C$2,IF(OR(IF($D49="",FALSE(),AND(AG$5&gt;=DATE(YEAR($D49),MONTH($D49),1),AG$5&lt;=$E49)),N('WIP Log'!AE49)&lt;&gt;0),N('WIP Log'!AE49),""),IF(IF($D49="",FALSE(),AND(AG$5&gt;=DATE(YEAR($D49),MONTH($D49),1),AG$5&lt;=$E49)),'Phased Budget'!AI49,"")))</f>
        <v/>
      </c>
      <c r="AH49" s="42" t="str">
        <f aca="false">IF($B49="","",IF(AH$5&lt;=Projects!$C$2,IF(OR(IF($D49="",FALSE(),AND(AH$5&gt;=DATE(YEAR($D49),MONTH($D49),1),AH$5&lt;=$E49)),N('WIP Log'!AF49)&lt;&gt;0),N('WIP Log'!AF49),""),IF(IF($D49="",FALSE(),AND(AH$5&gt;=DATE(YEAR($D49),MONTH($D49),1),AH$5&lt;=$E49)),'Phased Budget'!AJ49,"")))</f>
        <v/>
      </c>
      <c r="AI49" s="42" t="str">
        <f aca="false">IF($B49="","",IF(AI$5&lt;=Projects!$C$2,IF(OR(IF($D49="",FALSE(),AND(AI$5&gt;=DATE(YEAR($D49),MONTH($D49),1),AI$5&lt;=$E49)),N('WIP Log'!AG49)&lt;&gt;0),N('WIP Log'!AG49),""),IF(IF($D49="",FALSE(),AND(AI$5&gt;=DATE(YEAR($D49),MONTH($D49),1),AI$5&lt;=$E49)),'Phased Budget'!AK49,"")))</f>
        <v/>
      </c>
      <c r="AJ49" s="42" t="str">
        <f aca="false">IF($B49="","",IF(AJ$5&lt;=Projects!$C$2,IF(OR(IF($D49="",FALSE(),AND(AJ$5&gt;=DATE(YEAR($D49),MONTH($D49),1),AJ$5&lt;=$E49)),N('WIP Log'!AH49)&lt;&gt;0),N('WIP Log'!AH49),""),IF(IF($D49="",FALSE(),AND(AJ$5&gt;=DATE(YEAR($D49),MONTH($D49),1),AJ$5&lt;=$E49)),'Phased Budget'!AL49,"")))</f>
        <v/>
      </c>
      <c r="AK49" s="42" t="str">
        <f aca="false">IF($B49="","",IF(AK$5&lt;=Projects!$C$2,IF(OR(IF($D49="",FALSE(),AND(AK$5&gt;=DATE(YEAR($D49),MONTH($D49),1),AK$5&lt;=$E49)),N('WIP Log'!AI49)&lt;&gt;0),N('WIP Log'!AI49),""),IF(IF($D49="",FALSE(),AND(AK$5&gt;=DATE(YEAR($D49),MONTH($D49),1),AK$5&lt;=$E49)),'Phased Budget'!AM49,"")))</f>
        <v/>
      </c>
      <c r="AL49" s="42" t="str">
        <f aca="false">IF($B49="","",IF(AL$5&lt;=Projects!$C$2,IF(OR(IF($D49="",FALSE(),AND(AL$5&gt;=DATE(YEAR($D49),MONTH($D49),1),AL$5&lt;=$E49)),N('WIP Log'!AJ49)&lt;&gt;0),N('WIP Log'!AJ49),""),IF(IF($D49="",FALSE(),AND(AL$5&gt;=DATE(YEAR($D49),MONTH($D49),1),AL$5&lt;=$E49)),'Phased Budget'!AN49,"")))</f>
        <v/>
      </c>
      <c r="AM49" s="42" t="str">
        <f aca="false">IF($B49="","",IF(AM$5&lt;=Projects!$C$2,IF(OR(IF($D49="",FALSE(),AND(AM$5&gt;=DATE(YEAR($D49),MONTH($D49),1),AM$5&lt;=$E49)),N('WIP Log'!AK49)&lt;&gt;0),N('WIP Log'!AK49),""),IF(IF($D49="",FALSE(),AND(AM$5&gt;=DATE(YEAR($D49),MONTH($D49),1),AM$5&lt;=$E49)),'Phased Budget'!AO49,"")))</f>
        <v/>
      </c>
      <c r="AN49" s="42" t="str">
        <f aca="false">IF($B49="","",IF(AN$5&lt;=Projects!$C$2,IF(OR(IF($D49="",FALSE(),AND(AN$5&gt;=DATE(YEAR($D49),MONTH($D49),1),AN$5&lt;=$E49)),N('WIP Log'!AL49)&lt;&gt;0),N('WIP Log'!AL49),""),IF(IF($D49="",FALSE(),AND(AN$5&gt;=DATE(YEAR($D49),MONTH($D49),1),AN$5&lt;=$E49)),'Phased Budget'!AP49,"")))</f>
        <v/>
      </c>
      <c r="AO49" s="42" t="str">
        <f aca="false">IF($B49="","",IF(AO$5&lt;=Projects!$C$2,IF(OR(IF($D49="",FALSE(),AND(AO$5&gt;=DATE(YEAR($D49),MONTH($D49),1),AO$5&lt;=$E49)),N('WIP Log'!AM49)&lt;&gt;0),N('WIP Log'!AM49),""),IF(IF($D49="",FALSE(),AND(AO$5&gt;=DATE(YEAR($D49),MONTH($D49),1),AO$5&lt;=$E49)),'Phased Budget'!AQ49,"")))</f>
        <v/>
      </c>
    </row>
    <row r="50" customFormat="false" ht="15" hidden="false" customHeight="false" outlineLevel="0" collapsed="false">
      <c r="A50" s="20" t="n">
        <v>45</v>
      </c>
      <c r="B50" s="40" t="str">
        <f aca="false">IF(Projects!B50="","",Projects!B50)</f>
        <v/>
      </c>
      <c r="C50" s="40" t="str">
        <f aca="false">IF(Projects!C50="","",Projects!C50)</f>
        <v/>
      </c>
      <c r="D50" s="41" t="str">
        <f aca="false">IF(Projects!D50="","",Projects!D50)</f>
        <v/>
      </c>
      <c r="E50" s="41" t="str">
        <f aca="false">IF(Projects!F50="","",Projects!F50)</f>
        <v/>
      </c>
      <c r="F50" s="42" t="str">
        <f aca="false">IF($B50="","",IF(F$5&lt;=Projects!$C$2,IF(OR(IF($D50="",FALSE(),AND(F$5&gt;=DATE(YEAR($D50),MONTH($D50),1),F$5&lt;=$E50)),N('WIP Log'!D50)&lt;&gt;0),N('WIP Log'!D50),""),IF(IF($D50="",FALSE(),AND(F$5&gt;=DATE(YEAR($D50),MONTH($D50),1),F$5&lt;=$E50)),'Phased Budget'!H50,"")))</f>
        <v/>
      </c>
      <c r="G50" s="42" t="str">
        <f aca="false">IF($B50="","",IF(G$5&lt;=Projects!$C$2,IF(OR(IF($D50="",FALSE(),AND(G$5&gt;=DATE(YEAR($D50),MONTH($D50),1),G$5&lt;=$E50)),N('WIP Log'!E50)&lt;&gt;0),N('WIP Log'!E50),""),IF(IF($D50="",FALSE(),AND(G$5&gt;=DATE(YEAR($D50),MONTH($D50),1),G$5&lt;=$E50)),'Phased Budget'!I50,"")))</f>
        <v/>
      </c>
      <c r="H50" s="42" t="str">
        <f aca="false">IF($B50="","",IF(H$5&lt;=Projects!$C$2,IF(OR(IF($D50="",FALSE(),AND(H$5&gt;=DATE(YEAR($D50),MONTH($D50),1),H$5&lt;=$E50)),N('WIP Log'!F50)&lt;&gt;0),N('WIP Log'!F50),""),IF(IF($D50="",FALSE(),AND(H$5&gt;=DATE(YEAR($D50),MONTH($D50),1),H$5&lt;=$E50)),'Phased Budget'!J50,"")))</f>
        <v/>
      </c>
      <c r="I50" s="42" t="str">
        <f aca="false">IF($B50="","",IF(I$5&lt;=Projects!$C$2,IF(OR(IF($D50="",FALSE(),AND(I$5&gt;=DATE(YEAR($D50),MONTH($D50),1),I$5&lt;=$E50)),N('WIP Log'!G50)&lt;&gt;0),N('WIP Log'!G50),""),IF(IF($D50="",FALSE(),AND(I$5&gt;=DATE(YEAR($D50),MONTH($D50),1),I$5&lt;=$E50)),'Phased Budget'!K50,"")))</f>
        <v/>
      </c>
      <c r="J50" s="42" t="str">
        <f aca="false">IF($B50="","",IF(J$5&lt;=Projects!$C$2,IF(OR(IF($D50="",FALSE(),AND(J$5&gt;=DATE(YEAR($D50),MONTH($D50),1),J$5&lt;=$E50)),N('WIP Log'!H50)&lt;&gt;0),N('WIP Log'!H50),""),IF(IF($D50="",FALSE(),AND(J$5&gt;=DATE(YEAR($D50),MONTH($D50),1),J$5&lt;=$E50)),'Phased Budget'!L50,"")))</f>
        <v/>
      </c>
      <c r="K50" s="42" t="str">
        <f aca="false">IF($B50="","",IF(K$5&lt;=Projects!$C$2,IF(OR(IF($D50="",FALSE(),AND(K$5&gt;=DATE(YEAR($D50),MONTH($D50),1),K$5&lt;=$E50)),N('WIP Log'!I50)&lt;&gt;0),N('WIP Log'!I50),""),IF(IF($D50="",FALSE(),AND(K$5&gt;=DATE(YEAR($D50),MONTH($D50),1),K$5&lt;=$E50)),'Phased Budget'!M50,"")))</f>
        <v/>
      </c>
      <c r="L50" s="42" t="str">
        <f aca="false">IF($B50="","",IF(L$5&lt;=Projects!$C$2,IF(OR(IF($D50="",FALSE(),AND(L$5&gt;=DATE(YEAR($D50),MONTH($D50),1),L$5&lt;=$E50)),N('WIP Log'!J50)&lt;&gt;0),N('WIP Log'!J50),""),IF(IF($D50="",FALSE(),AND(L$5&gt;=DATE(YEAR($D50),MONTH($D50),1),L$5&lt;=$E50)),'Phased Budget'!N50,"")))</f>
        <v/>
      </c>
      <c r="M50" s="42" t="str">
        <f aca="false">IF($B50="","",IF(M$5&lt;=Projects!$C$2,IF(OR(IF($D50="",FALSE(),AND(M$5&gt;=DATE(YEAR($D50),MONTH($D50),1),M$5&lt;=$E50)),N('WIP Log'!K50)&lt;&gt;0),N('WIP Log'!K50),""),IF(IF($D50="",FALSE(),AND(M$5&gt;=DATE(YEAR($D50),MONTH($D50),1),M$5&lt;=$E50)),'Phased Budget'!O50,"")))</f>
        <v/>
      </c>
      <c r="N50" s="42" t="str">
        <f aca="false">IF($B50="","",IF(N$5&lt;=Projects!$C$2,IF(OR(IF($D50="",FALSE(),AND(N$5&gt;=DATE(YEAR($D50),MONTH($D50),1),N$5&lt;=$E50)),N('WIP Log'!L50)&lt;&gt;0),N('WIP Log'!L50),""),IF(IF($D50="",FALSE(),AND(N$5&gt;=DATE(YEAR($D50),MONTH($D50),1),N$5&lt;=$E50)),'Phased Budget'!P50,"")))</f>
        <v/>
      </c>
      <c r="O50" s="42" t="str">
        <f aca="false">IF($B50="","",IF(O$5&lt;=Projects!$C$2,IF(OR(IF($D50="",FALSE(),AND(O$5&gt;=DATE(YEAR($D50),MONTH($D50),1),O$5&lt;=$E50)),N('WIP Log'!M50)&lt;&gt;0),N('WIP Log'!M50),""),IF(IF($D50="",FALSE(),AND(O$5&gt;=DATE(YEAR($D50),MONTH($D50),1),O$5&lt;=$E50)),'Phased Budget'!Q50,"")))</f>
        <v/>
      </c>
      <c r="P50" s="42" t="str">
        <f aca="false">IF($B50="","",IF(P$5&lt;=Projects!$C$2,IF(OR(IF($D50="",FALSE(),AND(P$5&gt;=DATE(YEAR($D50),MONTH($D50),1),P$5&lt;=$E50)),N('WIP Log'!N50)&lt;&gt;0),N('WIP Log'!N50),""),IF(IF($D50="",FALSE(),AND(P$5&gt;=DATE(YEAR($D50),MONTH($D50),1),P$5&lt;=$E50)),'Phased Budget'!R50,"")))</f>
        <v/>
      </c>
      <c r="Q50" s="42" t="str">
        <f aca="false">IF($B50="","",IF(Q$5&lt;=Projects!$C$2,IF(OR(IF($D50="",FALSE(),AND(Q$5&gt;=DATE(YEAR($D50),MONTH($D50),1),Q$5&lt;=$E50)),N('WIP Log'!O50)&lt;&gt;0),N('WIP Log'!O50),""),IF(IF($D50="",FALSE(),AND(Q$5&gt;=DATE(YEAR($D50),MONTH($D50),1),Q$5&lt;=$E50)),'Phased Budget'!S50,"")))</f>
        <v/>
      </c>
      <c r="R50" s="42" t="str">
        <f aca="false">IF($B50="","",IF(R$5&lt;=Projects!$C$2,IF(OR(IF($D50="",FALSE(),AND(R$5&gt;=DATE(YEAR($D50),MONTH($D50),1),R$5&lt;=$E50)),N('WIP Log'!P50)&lt;&gt;0),N('WIP Log'!P50),""),IF(IF($D50="",FALSE(),AND(R$5&gt;=DATE(YEAR($D50),MONTH($D50),1),R$5&lt;=$E50)),'Phased Budget'!T50,"")))</f>
        <v/>
      </c>
      <c r="S50" s="42" t="str">
        <f aca="false">IF($B50="","",IF(S$5&lt;=Projects!$C$2,IF(OR(IF($D50="",FALSE(),AND(S$5&gt;=DATE(YEAR($D50),MONTH($D50),1),S$5&lt;=$E50)),N('WIP Log'!Q50)&lt;&gt;0),N('WIP Log'!Q50),""),IF(IF($D50="",FALSE(),AND(S$5&gt;=DATE(YEAR($D50),MONTH($D50),1),S$5&lt;=$E50)),'Phased Budget'!U50,"")))</f>
        <v/>
      </c>
      <c r="T50" s="42" t="str">
        <f aca="false">IF($B50="","",IF(T$5&lt;=Projects!$C$2,IF(OR(IF($D50="",FALSE(),AND(T$5&gt;=DATE(YEAR($D50),MONTH($D50),1),T$5&lt;=$E50)),N('WIP Log'!R50)&lt;&gt;0),N('WIP Log'!R50),""),IF(IF($D50="",FALSE(),AND(T$5&gt;=DATE(YEAR($D50),MONTH($D50),1),T$5&lt;=$E50)),'Phased Budget'!V50,"")))</f>
        <v/>
      </c>
      <c r="U50" s="42" t="str">
        <f aca="false">IF($B50="","",IF(U$5&lt;=Projects!$C$2,IF(OR(IF($D50="",FALSE(),AND(U$5&gt;=DATE(YEAR($D50),MONTH($D50),1),U$5&lt;=$E50)),N('WIP Log'!S50)&lt;&gt;0),N('WIP Log'!S50),""),IF(IF($D50="",FALSE(),AND(U$5&gt;=DATE(YEAR($D50),MONTH($D50),1),U$5&lt;=$E50)),'Phased Budget'!W50,"")))</f>
        <v/>
      </c>
      <c r="V50" s="42" t="str">
        <f aca="false">IF($B50="","",IF(V$5&lt;=Projects!$C$2,IF(OR(IF($D50="",FALSE(),AND(V$5&gt;=DATE(YEAR($D50),MONTH($D50),1),V$5&lt;=$E50)),N('WIP Log'!T50)&lt;&gt;0),N('WIP Log'!T50),""),IF(IF($D50="",FALSE(),AND(V$5&gt;=DATE(YEAR($D50),MONTH($D50),1),V$5&lt;=$E50)),'Phased Budget'!X50,"")))</f>
        <v/>
      </c>
      <c r="W50" s="42" t="str">
        <f aca="false">IF($B50="","",IF(W$5&lt;=Projects!$C$2,IF(OR(IF($D50="",FALSE(),AND(W$5&gt;=DATE(YEAR($D50),MONTH($D50),1),W$5&lt;=$E50)),N('WIP Log'!U50)&lt;&gt;0),N('WIP Log'!U50),""),IF(IF($D50="",FALSE(),AND(W$5&gt;=DATE(YEAR($D50),MONTH($D50),1),W$5&lt;=$E50)),'Phased Budget'!Y50,"")))</f>
        <v/>
      </c>
      <c r="X50" s="42" t="str">
        <f aca="false">IF($B50="","",IF(X$5&lt;=Projects!$C$2,IF(OR(IF($D50="",FALSE(),AND(X$5&gt;=DATE(YEAR($D50),MONTH($D50),1),X$5&lt;=$E50)),N('WIP Log'!V50)&lt;&gt;0),N('WIP Log'!V50),""),IF(IF($D50="",FALSE(),AND(X$5&gt;=DATE(YEAR($D50),MONTH($D50),1),X$5&lt;=$E50)),'Phased Budget'!Z50,"")))</f>
        <v/>
      </c>
      <c r="Y50" s="42" t="str">
        <f aca="false">IF($B50="","",IF(Y$5&lt;=Projects!$C$2,IF(OR(IF($D50="",FALSE(),AND(Y$5&gt;=DATE(YEAR($D50),MONTH($D50),1),Y$5&lt;=$E50)),N('WIP Log'!W50)&lt;&gt;0),N('WIP Log'!W50),""),IF(IF($D50="",FALSE(),AND(Y$5&gt;=DATE(YEAR($D50),MONTH($D50),1),Y$5&lt;=$E50)),'Phased Budget'!AA50,"")))</f>
        <v/>
      </c>
      <c r="Z50" s="42" t="str">
        <f aca="false">IF($B50="","",IF(Z$5&lt;=Projects!$C$2,IF(OR(IF($D50="",FALSE(),AND(Z$5&gt;=DATE(YEAR($D50),MONTH($D50),1),Z$5&lt;=$E50)),N('WIP Log'!X50)&lt;&gt;0),N('WIP Log'!X50),""),IF(IF($D50="",FALSE(),AND(Z$5&gt;=DATE(YEAR($D50),MONTH($D50),1),Z$5&lt;=$E50)),'Phased Budget'!AB50,"")))</f>
        <v/>
      </c>
      <c r="AA50" s="42" t="str">
        <f aca="false">IF($B50="","",IF(AA$5&lt;=Projects!$C$2,IF(OR(IF($D50="",FALSE(),AND(AA$5&gt;=DATE(YEAR($D50),MONTH($D50),1),AA$5&lt;=$E50)),N('WIP Log'!Y50)&lt;&gt;0),N('WIP Log'!Y50),""),IF(IF($D50="",FALSE(),AND(AA$5&gt;=DATE(YEAR($D50),MONTH($D50),1),AA$5&lt;=$E50)),'Phased Budget'!AC50,"")))</f>
        <v/>
      </c>
      <c r="AB50" s="42" t="str">
        <f aca="false">IF($B50="","",IF(AB$5&lt;=Projects!$C$2,IF(OR(IF($D50="",FALSE(),AND(AB$5&gt;=DATE(YEAR($D50),MONTH($D50),1),AB$5&lt;=$E50)),N('WIP Log'!Z50)&lt;&gt;0),N('WIP Log'!Z50),""),IF(IF($D50="",FALSE(),AND(AB$5&gt;=DATE(YEAR($D50),MONTH($D50),1),AB$5&lt;=$E50)),'Phased Budget'!AD50,"")))</f>
        <v/>
      </c>
      <c r="AC50" s="42" t="str">
        <f aca="false">IF($B50="","",IF(AC$5&lt;=Projects!$C$2,IF(OR(IF($D50="",FALSE(),AND(AC$5&gt;=DATE(YEAR($D50),MONTH($D50),1),AC$5&lt;=$E50)),N('WIP Log'!AA50)&lt;&gt;0),N('WIP Log'!AA50),""),IF(IF($D50="",FALSE(),AND(AC$5&gt;=DATE(YEAR($D50),MONTH($D50),1),AC$5&lt;=$E50)),'Phased Budget'!AE50,"")))</f>
        <v/>
      </c>
      <c r="AD50" s="42" t="str">
        <f aca="false">IF($B50="","",IF(AD$5&lt;=Projects!$C$2,IF(OR(IF($D50="",FALSE(),AND(AD$5&gt;=DATE(YEAR($D50),MONTH($D50),1),AD$5&lt;=$E50)),N('WIP Log'!AB50)&lt;&gt;0),N('WIP Log'!AB50),""),IF(IF($D50="",FALSE(),AND(AD$5&gt;=DATE(YEAR($D50),MONTH($D50),1),AD$5&lt;=$E50)),'Phased Budget'!AF50,"")))</f>
        <v/>
      </c>
      <c r="AE50" s="42" t="str">
        <f aca="false">IF($B50="","",IF(AE$5&lt;=Projects!$C$2,IF(OR(IF($D50="",FALSE(),AND(AE$5&gt;=DATE(YEAR($D50),MONTH($D50),1),AE$5&lt;=$E50)),N('WIP Log'!AC50)&lt;&gt;0),N('WIP Log'!AC50),""),IF(IF($D50="",FALSE(),AND(AE$5&gt;=DATE(YEAR($D50),MONTH($D50),1),AE$5&lt;=$E50)),'Phased Budget'!AG50,"")))</f>
        <v/>
      </c>
      <c r="AF50" s="42" t="str">
        <f aca="false">IF($B50="","",IF(AF$5&lt;=Projects!$C$2,IF(OR(IF($D50="",FALSE(),AND(AF$5&gt;=DATE(YEAR($D50),MONTH($D50),1),AF$5&lt;=$E50)),N('WIP Log'!AD50)&lt;&gt;0),N('WIP Log'!AD50),""),IF(IF($D50="",FALSE(),AND(AF$5&gt;=DATE(YEAR($D50),MONTH($D50),1),AF$5&lt;=$E50)),'Phased Budget'!AH50,"")))</f>
        <v/>
      </c>
      <c r="AG50" s="42" t="str">
        <f aca="false">IF($B50="","",IF(AG$5&lt;=Projects!$C$2,IF(OR(IF($D50="",FALSE(),AND(AG$5&gt;=DATE(YEAR($D50),MONTH($D50),1),AG$5&lt;=$E50)),N('WIP Log'!AE50)&lt;&gt;0),N('WIP Log'!AE50),""),IF(IF($D50="",FALSE(),AND(AG$5&gt;=DATE(YEAR($D50),MONTH($D50),1),AG$5&lt;=$E50)),'Phased Budget'!AI50,"")))</f>
        <v/>
      </c>
      <c r="AH50" s="42" t="str">
        <f aca="false">IF($B50="","",IF(AH$5&lt;=Projects!$C$2,IF(OR(IF($D50="",FALSE(),AND(AH$5&gt;=DATE(YEAR($D50),MONTH($D50),1),AH$5&lt;=$E50)),N('WIP Log'!AF50)&lt;&gt;0),N('WIP Log'!AF50),""),IF(IF($D50="",FALSE(),AND(AH$5&gt;=DATE(YEAR($D50),MONTH($D50),1),AH$5&lt;=$E50)),'Phased Budget'!AJ50,"")))</f>
        <v/>
      </c>
      <c r="AI50" s="42" t="str">
        <f aca="false">IF($B50="","",IF(AI$5&lt;=Projects!$C$2,IF(OR(IF($D50="",FALSE(),AND(AI$5&gt;=DATE(YEAR($D50),MONTH($D50),1),AI$5&lt;=$E50)),N('WIP Log'!AG50)&lt;&gt;0),N('WIP Log'!AG50),""),IF(IF($D50="",FALSE(),AND(AI$5&gt;=DATE(YEAR($D50),MONTH($D50),1),AI$5&lt;=$E50)),'Phased Budget'!AK50,"")))</f>
        <v/>
      </c>
      <c r="AJ50" s="42" t="str">
        <f aca="false">IF($B50="","",IF(AJ$5&lt;=Projects!$C$2,IF(OR(IF($D50="",FALSE(),AND(AJ$5&gt;=DATE(YEAR($D50),MONTH($D50),1),AJ$5&lt;=$E50)),N('WIP Log'!AH50)&lt;&gt;0),N('WIP Log'!AH50),""),IF(IF($D50="",FALSE(),AND(AJ$5&gt;=DATE(YEAR($D50),MONTH($D50),1),AJ$5&lt;=$E50)),'Phased Budget'!AL50,"")))</f>
        <v/>
      </c>
      <c r="AK50" s="42" t="str">
        <f aca="false">IF($B50="","",IF(AK$5&lt;=Projects!$C$2,IF(OR(IF($D50="",FALSE(),AND(AK$5&gt;=DATE(YEAR($D50),MONTH($D50),1),AK$5&lt;=$E50)),N('WIP Log'!AI50)&lt;&gt;0),N('WIP Log'!AI50),""),IF(IF($D50="",FALSE(),AND(AK$5&gt;=DATE(YEAR($D50),MONTH($D50),1),AK$5&lt;=$E50)),'Phased Budget'!AM50,"")))</f>
        <v/>
      </c>
      <c r="AL50" s="42" t="str">
        <f aca="false">IF($B50="","",IF(AL$5&lt;=Projects!$C$2,IF(OR(IF($D50="",FALSE(),AND(AL$5&gt;=DATE(YEAR($D50),MONTH($D50),1),AL$5&lt;=$E50)),N('WIP Log'!AJ50)&lt;&gt;0),N('WIP Log'!AJ50),""),IF(IF($D50="",FALSE(),AND(AL$5&gt;=DATE(YEAR($D50),MONTH($D50),1),AL$5&lt;=$E50)),'Phased Budget'!AN50,"")))</f>
        <v/>
      </c>
      <c r="AM50" s="42" t="str">
        <f aca="false">IF($B50="","",IF(AM$5&lt;=Projects!$C$2,IF(OR(IF($D50="",FALSE(),AND(AM$5&gt;=DATE(YEAR($D50),MONTH($D50),1),AM$5&lt;=$E50)),N('WIP Log'!AK50)&lt;&gt;0),N('WIP Log'!AK50),""),IF(IF($D50="",FALSE(),AND(AM$5&gt;=DATE(YEAR($D50),MONTH($D50),1),AM$5&lt;=$E50)),'Phased Budget'!AO50,"")))</f>
        <v/>
      </c>
      <c r="AN50" s="42" t="str">
        <f aca="false">IF($B50="","",IF(AN$5&lt;=Projects!$C$2,IF(OR(IF($D50="",FALSE(),AND(AN$5&gt;=DATE(YEAR($D50),MONTH($D50),1),AN$5&lt;=$E50)),N('WIP Log'!AL50)&lt;&gt;0),N('WIP Log'!AL50),""),IF(IF($D50="",FALSE(),AND(AN$5&gt;=DATE(YEAR($D50),MONTH($D50),1),AN$5&lt;=$E50)),'Phased Budget'!AP50,"")))</f>
        <v/>
      </c>
      <c r="AO50" s="42" t="str">
        <f aca="false">IF($B50="","",IF(AO$5&lt;=Projects!$C$2,IF(OR(IF($D50="",FALSE(),AND(AO$5&gt;=DATE(YEAR($D50),MONTH($D50),1),AO$5&lt;=$E50)),N('WIP Log'!AM50)&lt;&gt;0),N('WIP Log'!AM50),""),IF(IF($D50="",FALSE(),AND(AO$5&gt;=DATE(YEAR($D50),MONTH($D50),1),AO$5&lt;=$E50)),'Phased Budget'!AQ50,"")))</f>
        <v/>
      </c>
    </row>
    <row r="51" customFormat="false" ht="15" hidden="false" customHeight="false" outlineLevel="0" collapsed="false">
      <c r="A51" s="20" t="n">
        <v>46</v>
      </c>
      <c r="B51" s="40" t="str">
        <f aca="false">IF(Projects!B51="","",Projects!B51)</f>
        <v/>
      </c>
      <c r="C51" s="40" t="str">
        <f aca="false">IF(Projects!C51="","",Projects!C51)</f>
        <v/>
      </c>
      <c r="D51" s="41" t="str">
        <f aca="false">IF(Projects!D51="","",Projects!D51)</f>
        <v/>
      </c>
      <c r="E51" s="41" t="str">
        <f aca="false">IF(Projects!F51="","",Projects!F51)</f>
        <v/>
      </c>
      <c r="F51" s="42" t="str">
        <f aca="false">IF($B51="","",IF(F$5&lt;=Projects!$C$2,IF(OR(IF($D51="",FALSE(),AND(F$5&gt;=DATE(YEAR($D51),MONTH($D51),1),F$5&lt;=$E51)),N('WIP Log'!D51)&lt;&gt;0),N('WIP Log'!D51),""),IF(IF($D51="",FALSE(),AND(F$5&gt;=DATE(YEAR($D51),MONTH($D51),1),F$5&lt;=$E51)),'Phased Budget'!H51,"")))</f>
        <v/>
      </c>
      <c r="G51" s="42" t="str">
        <f aca="false">IF($B51="","",IF(G$5&lt;=Projects!$C$2,IF(OR(IF($D51="",FALSE(),AND(G$5&gt;=DATE(YEAR($D51),MONTH($D51),1),G$5&lt;=$E51)),N('WIP Log'!E51)&lt;&gt;0),N('WIP Log'!E51),""),IF(IF($D51="",FALSE(),AND(G$5&gt;=DATE(YEAR($D51),MONTH($D51),1),G$5&lt;=$E51)),'Phased Budget'!I51,"")))</f>
        <v/>
      </c>
      <c r="H51" s="42" t="str">
        <f aca="false">IF($B51="","",IF(H$5&lt;=Projects!$C$2,IF(OR(IF($D51="",FALSE(),AND(H$5&gt;=DATE(YEAR($D51),MONTH($D51),1),H$5&lt;=$E51)),N('WIP Log'!F51)&lt;&gt;0),N('WIP Log'!F51),""),IF(IF($D51="",FALSE(),AND(H$5&gt;=DATE(YEAR($D51),MONTH($D51),1),H$5&lt;=$E51)),'Phased Budget'!J51,"")))</f>
        <v/>
      </c>
      <c r="I51" s="42" t="str">
        <f aca="false">IF($B51="","",IF(I$5&lt;=Projects!$C$2,IF(OR(IF($D51="",FALSE(),AND(I$5&gt;=DATE(YEAR($D51),MONTH($D51),1),I$5&lt;=$E51)),N('WIP Log'!G51)&lt;&gt;0),N('WIP Log'!G51),""),IF(IF($D51="",FALSE(),AND(I$5&gt;=DATE(YEAR($D51),MONTH($D51),1),I$5&lt;=$E51)),'Phased Budget'!K51,"")))</f>
        <v/>
      </c>
      <c r="J51" s="42" t="str">
        <f aca="false">IF($B51="","",IF(J$5&lt;=Projects!$C$2,IF(OR(IF($D51="",FALSE(),AND(J$5&gt;=DATE(YEAR($D51),MONTH($D51),1),J$5&lt;=$E51)),N('WIP Log'!H51)&lt;&gt;0),N('WIP Log'!H51),""),IF(IF($D51="",FALSE(),AND(J$5&gt;=DATE(YEAR($D51),MONTH($D51),1),J$5&lt;=$E51)),'Phased Budget'!L51,"")))</f>
        <v/>
      </c>
      <c r="K51" s="42" t="str">
        <f aca="false">IF($B51="","",IF(K$5&lt;=Projects!$C$2,IF(OR(IF($D51="",FALSE(),AND(K$5&gt;=DATE(YEAR($D51),MONTH($D51),1),K$5&lt;=$E51)),N('WIP Log'!I51)&lt;&gt;0),N('WIP Log'!I51),""),IF(IF($D51="",FALSE(),AND(K$5&gt;=DATE(YEAR($D51),MONTH($D51),1),K$5&lt;=$E51)),'Phased Budget'!M51,"")))</f>
        <v/>
      </c>
      <c r="L51" s="42" t="str">
        <f aca="false">IF($B51="","",IF(L$5&lt;=Projects!$C$2,IF(OR(IF($D51="",FALSE(),AND(L$5&gt;=DATE(YEAR($D51),MONTH($D51),1),L$5&lt;=$E51)),N('WIP Log'!J51)&lt;&gt;0),N('WIP Log'!J51),""),IF(IF($D51="",FALSE(),AND(L$5&gt;=DATE(YEAR($D51),MONTH($D51),1),L$5&lt;=$E51)),'Phased Budget'!N51,"")))</f>
        <v/>
      </c>
      <c r="M51" s="42" t="str">
        <f aca="false">IF($B51="","",IF(M$5&lt;=Projects!$C$2,IF(OR(IF($D51="",FALSE(),AND(M$5&gt;=DATE(YEAR($D51),MONTH($D51),1),M$5&lt;=$E51)),N('WIP Log'!K51)&lt;&gt;0),N('WIP Log'!K51),""),IF(IF($D51="",FALSE(),AND(M$5&gt;=DATE(YEAR($D51),MONTH($D51),1),M$5&lt;=$E51)),'Phased Budget'!O51,"")))</f>
        <v/>
      </c>
      <c r="N51" s="42" t="str">
        <f aca="false">IF($B51="","",IF(N$5&lt;=Projects!$C$2,IF(OR(IF($D51="",FALSE(),AND(N$5&gt;=DATE(YEAR($D51),MONTH($D51),1),N$5&lt;=$E51)),N('WIP Log'!L51)&lt;&gt;0),N('WIP Log'!L51),""),IF(IF($D51="",FALSE(),AND(N$5&gt;=DATE(YEAR($D51),MONTH($D51),1),N$5&lt;=$E51)),'Phased Budget'!P51,"")))</f>
        <v/>
      </c>
      <c r="O51" s="42" t="str">
        <f aca="false">IF($B51="","",IF(O$5&lt;=Projects!$C$2,IF(OR(IF($D51="",FALSE(),AND(O$5&gt;=DATE(YEAR($D51),MONTH($D51),1),O$5&lt;=$E51)),N('WIP Log'!M51)&lt;&gt;0),N('WIP Log'!M51),""),IF(IF($D51="",FALSE(),AND(O$5&gt;=DATE(YEAR($D51),MONTH($D51),1),O$5&lt;=$E51)),'Phased Budget'!Q51,"")))</f>
        <v/>
      </c>
      <c r="P51" s="42" t="str">
        <f aca="false">IF($B51="","",IF(P$5&lt;=Projects!$C$2,IF(OR(IF($D51="",FALSE(),AND(P$5&gt;=DATE(YEAR($D51),MONTH($D51),1),P$5&lt;=$E51)),N('WIP Log'!N51)&lt;&gt;0),N('WIP Log'!N51),""),IF(IF($D51="",FALSE(),AND(P$5&gt;=DATE(YEAR($D51),MONTH($D51),1),P$5&lt;=$E51)),'Phased Budget'!R51,"")))</f>
        <v/>
      </c>
      <c r="Q51" s="42" t="str">
        <f aca="false">IF($B51="","",IF(Q$5&lt;=Projects!$C$2,IF(OR(IF($D51="",FALSE(),AND(Q$5&gt;=DATE(YEAR($D51),MONTH($D51),1),Q$5&lt;=$E51)),N('WIP Log'!O51)&lt;&gt;0),N('WIP Log'!O51),""),IF(IF($D51="",FALSE(),AND(Q$5&gt;=DATE(YEAR($D51),MONTH($D51),1),Q$5&lt;=$E51)),'Phased Budget'!S51,"")))</f>
        <v/>
      </c>
      <c r="R51" s="42" t="str">
        <f aca="false">IF($B51="","",IF(R$5&lt;=Projects!$C$2,IF(OR(IF($D51="",FALSE(),AND(R$5&gt;=DATE(YEAR($D51),MONTH($D51),1),R$5&lt;=$E51)),N('WIP Log'!P51)&lt;&gt;0),N('WIP Log'!P51),""),IF(IF($D51="",FALSE(),AND(R$5&gt;=DATE(YEAR($D51),MONTH($D51),1),R$5&lt;=$E51)),'Phased Budget'!T51,"")))</f>
        <v/>
      </c>
      <c r="S51" s="42" t="str">
        <f aca="false">IF($B51="","",IF(S$5&lt;=Projects!$C$2,IF(OR(IF($D51="",FALSE(),AND(S$5&gt;=DATE(YEAR($D51),MONTH($D51),1),S$5&lt;=$E51)),N('WIP Log'!Q51)&lt;&gt;0),N('WIP Log'!Q51),""),IF(IF($D51="",FALSE(),AND(S$5&gt;=DATE(YEAR($D51),MONTH($D51),1),S$5&lt;=$E51)),'Phased Budget'!U51,"")))</f>
        <v/>
      </c>
      <c r="T51" s="42" t="str">
        <f aca="false">IF($B51="","",IF(T$5&lt;=Projects!$C$2,IF(OR(IF($D51="",FALSE(),AND(T$5&gt;=DATE(YEAR($D51),MONTH($D51),1),T$5&lt;=$E51)),N('WIP Log'!R51)&lt;&gt;0),N('WIP Log'!R51),""),IF(IF($D51="",FALSE(),AND(T$5&gt;=DATE(YEAR($D51),MONTH($D51),1),T$5&lt;=$E51)),'Phased Budget'!V51,"")))</f>
        <v/>
      </c>
      <c r="U51" s="42" t="str">
        <f aca="false">IF($B51="","",IF(U$5&lt;=Projects!$C$2,IF(OR(IF($D51="",FALSE(),AND(U$5&gt;=DATE(YEAR($D51),MONTH($D51),1),U$5&lt;=$E51)),N('WIP Log'!S51)&lt;&gt;0),N('WIP Log'!S51),""),IF(IF($D51="",FALSE(),AND(U$5&gt;=DATE(YEAR($D51),MONTH($D51),1),U$5&lt;=$E51)),'Phased Budget'!W51,"")))</f>
        <v/>
      </c>
      <c r="V51" s="42" t="str">
        <f aca="false">IF($B51="","",IF(V$5&lt;=Projects!$C$2,IF(OR(IF($D51="",FALSE(),AND(V$5&gt;=DATE(YEAR($D51),MONTH($D51),1),V$5&lt;=$E51)),N('WIP Log'!T51)&lt;&gt;0),N('WIP Log'!T51),""),IF(IF($D51="",FALSE(),AND(V$5&gt;=DATE(YEAR($D51),MONTH($D51),1),V$5&lt;=$E51)),'Phased Budget'!X51,"")))</f>
        <v/>
      </c>
      <c r="W51" s="42" t="str">
        <f aca="false">IF($B51="","",IF(W$5&lt;=Projects!$C$2,IF(OR(IF($D51="",FALSE(),AND(W$5&gt;=DATE(YEAR($D51),MONTH($D51),1),W$5&lt;=$E51)),N('WIP Log'!U51)&lt;&gt;0),N('WIP Log'!U51),""),IF(IF($D51="",FALSE(),AND(W$5&gt;=DATE(YEAR($D51),MONTH($D51),1),W$5&lt;=$E51)),'Phased Budget'!Y51,"")))</f>
        <v/>
      </c>
      <c r="X51" s="42" t="str">
        <f aca="false">IF($B51="","",IF(X$5&lt;=Projects!$C$2,IF(OR(IF($D51="",FALSE(),AND(X$5&gt;=DATE(YEAR($D51),MONTH($D51),1),X$5&lt;=$E51)),N('WIP Log'!V51)&lt;&gt;0),N('WIP Log'!V51),""),IF(IF($D51="",FALSE(),AND(X$5&gt;=DATE(YEAR($D51),MONTH($D51),1),X$5&lt;=$E51)),'Phased Budget'!Z51,"")))</f>
        <v/>
      </c>
      <c r="Y51" s="42" t="str">
        <f aca="false">IF($B51="","",IF(Y$5&lt;=Projects!$C$2,IF(OR(IF($D51="",FALSE(),AND(Y$5&gt;=DATE(YEAR($D51),MONTH($D51),1),Y$5&lt;=$E51)),N('WIP Log'!W51)&lt;&gt;0),N('WIP Log'!W51),""),IF(IF($D51="",FALSE(),AND(Y$5&gt;=DATE(YEAR($D51),MONTH($D51),1),Y$5&lt;=$E51)),'Phased Budget'!AA51,"")))</f>
        <v/>
      </c>
      <c r="Z51" s="42" t="str">
        <f aca="false">IF($B51="","",IF(Z$5&lt;=Projects!$C$2,IF(OR(IF($D51="",FALSE(),AND(Z$5&gt;=DATE(YEAR($D51),MONTH($D51),1),Z$5&lt;=$E51)),N('WIP Log'!X51)&lt;&gt;0),N('WIP Log'!X51),""),IF(IF($D51="",FALSE(),AND(Z$5&gt;=DATE(YEAR($D51),MONTH($D51),1),Z$5&lt;=$E51)),'Phased Budget'!AB51,"")))</f>
        <v/>
      </c>
      <c r="AA51" s="42" t="str">
        <f aca="false">IF($B51="","",IF(AA$5&lt;=Projects!$C$2,IF(OR(IF($D51="",FALSE(),AND(AA$5&gt;=DATE(YEAR($D51),MONTH($D51),1),AA$5&lt;=$E51)),N('WIP Log'!Y51)&lt;&gt;0),N('WIP Log'!Y51),""),IF(IF($D51="",FALSE(),AND(AA$5&gt;=DATE(YEAR($D51),MONTH($D51),1),AA$5&lt;=$E51)),'Phased Budget'!AC51,"")))</f>
        <v/>
      </c>
      <c r="AB51" s="42" t="str">
        <f aca="false">IF($B51="","",IF(AB$5&lt;=Projects!$C$2,IF(OR(IF($D51="",FALSE(),AND(AB$5&gt;=DATE(YEAR($D51),MONTH($D51),1),AB$5&lt;=$E51)),N('WIP Log'!Z51)&lt;&gt;0),N('WIP Log'!Z51),""),IF(IF($D51="",FALSE(),AND(AB$5&gt;=DATE(YEAR($D51),MONTH($D51),1),AB$5&lt;=$E51)),'Phased Budget'!AD51,"")))</f>
        <v/>
      </c>
      <c r="AC51" s="42" t="str">
        <f aca="false">IF($B51="","",IF(AC$5&lt;=Projects!$C$2,IF(OR(IF($D51="",FALSE(),AND(AC$5&gt;=DATE(YEAR($D51),MONTH($D51),1),AC$5&lt;=$E51)),N('WIP Log'!AA51)&lt;&gt;0),N('WIP Log'!AA51),""),IF(IF($D51="",FALSE(),AND(AC$5&gt;=DATE(YEAR($D51),MONTH($D51),1),AC$5&lt;=$E51)),'Phased Budget'!AE51,"")))</f>
        <v/>
      </c>
      <c r="AD51" s="42" t="str">
        <f aca="false">IF($B51="","",IF(AD$5&lt;=Projects!$C$2,IF(OR(IF($D51="",FALSE(),AND(AD$5&gt;=DATE(YEAR($D51),MONTH($D51),1),AD$5&lt;=$E51)),N('WIP Log'!AB51)&lt;&gt;0),N('WIP Log'!AB51),""),IF(IF($D51="",FALSE(),AND(AD$5&gt;=DATE(YEAR($D51),MONTH($D51),1),AD$5&lt;=$E51)),'Phased Budget'!AF51,"")))</f>
        <v/>
      </c>
      <c r="AE51" s="42" t="str">
        <f aca="false">IF($B51="","",IF(AE$5&lt;=Projects!$C$2,IF(OR(IF($D51="",FALSE(),AND(AE$5&gt;=DATE(YEAR($D51),MONTH($D51),1),AE$5&lt;=$E51)),N('WIP Log'!AC51)&lt;&gt;0),N('WIP Log'!AC51),""),IF(IF($D51="",FALSE(),AND(AE$5&gt;=DATE(YEAR($D51),MONTH($D51),1),AE$5&lt;=$E51)),'Phased Budget'!AG51,"")))</f>
        <v/>
      </c>
      <c r="AF51" s="42" t="str">
        <f aca="false">IF($B51="","",IF(AF$5&lt;=Projects!$C$2,IF(OR(IF($D51="",FALSE(),AND(AF$5&gt;=DATE(YEAR($D51),MONTH($D51),1),AF$5&lt;=$E51)),N('WIP Log'!AD51)&lt;&gt;0),N('WIP Log'!AD51),""),IF(IF($D51="",FALSE(),AND(AF$5&gt;=DATE(YEAR($D51),MONTH($D51),1),AF$5&lt;=$E51)),'Phased Budget'!AH51,"")))</f>
        <v/>
      </c>
      <c r="AG51" s="42" t="str">
        <f aca="false">IF($B51="","",IF(AG$5&lt;=Projects!$C$2,IF(OR(IF($D51="",FALSE(),AND(AG$5&gt;=DATE(YEAR($D51),MONTH($D51),1),AG$5&lt;=$E51)),N('WIP Log'!AE51)&lt;&gt;0),N('WIP Log'!AE51),""),IF(IF($D51="",FALSE(),AND(AG$5&gt;=DATE(YEAR($D51),MONTH($D51),1),AG$5&lt;=$E51)),'Phased Budget'!AI51,"")))</f>
        <v/>
      </c>
      <c r="AH51" s="42" t="str">
        <f aca="false">IF($B51="","",IF(AH$5&lt;=Projects!$C$2,IF(OR(IF($D51="",FALSE(),AND(AH$5&gt;=DATE(YEAR($D51),MONTH($D51),1),AH$5&lt;=$E51)),N('WIP Log'!AF51)&lt;&gt;0),N('WIP Log'!AF51),""),IF(IF($D51="",FALSE(),AND(AH$5&gt;=DATE(YEAR($D51),MONTH($D51),1),AH$5&lt;=$E51)),'Phased Budget'!AJ51,"")))</f>
        <v/>
      </c>
      <c r="AI51" s="42" t="str">
        <f aca="false">IF($B51="","",IF(AI$5&lt;=Projects!$C$2,IF(OR(IF($D51="",FALSE(),AND(AI$5&gt;=DATE(YEAR($D51),MONTH($D51),1),AI$5&lt;=$E51)),N('WIP Log'!AG51)&lt;&gt;0),N('WIP Log'!AG51),""),IF(IF($D51="",FALSE(),AND(AI$5&gt;=DATE(YEAR($D51),MONTH($D51),1),AI$5&lt;=$E51)),'Phased Budget'!AK51,"")))</f>
        <v/>
      </c>
      <c r="AJ51" s="42" t="str">
        <f aca="false">IF($B51="","",IF(AJ$5&lt;=Projects!$C$2,IF(OR(IF($D51="",FALSE(),AND(AJ$5&gt;=DATE(YEAR($D51),MONTH($D51),1),AJ$5&lt;=$E51)),N('WIP Log'!AH51)&lt;&gt;0),N('WIP Log'!AH51),""),IF(IF($D51="",FALSE(),AND(AJ$5&gt;=DATE(YEAR($D51),MONTH($D51),1),AJ$5&lt;=$E51)),'Phased Budget'!AL51,"")))</f>
        <v/>
      </c>
      <c r="AK51" s="42" t="str">
        <f aca="false">IF($B51="","",IF(AK$5&lt;=Projects!$C$2,IF(OR(IF($D51="",FALSE(),AND(AK$5&gt;=DATE(YEAR($D51),MONTH($D51),1),AK$5&lt;=$E51)),N('WIP Log'!AI51)&lt;&gt;0),N('WIP Log'!AI51),""),IF(IF($D51="",FALSE(),AND(AK$5&gt;=DATE(YEAR($D51),MONTH($D51),1),AK$5&lt;=$E51)),'Phased Budget'!AM51,"")))</f>
        <v/>
      </c>
      <c r="AL51" s="42" t="str">
        <f aca="false">IF($B51="","",IF(AL$5&lt;=Projects!$C$2,IF(OR(IF($D51="",FALSE(),AND(AL$5&gt;=DATE(YEAR($D51),MONTH($D51),1),AL$5&lt;=$E51)),N('WIP Log'!AJ51)&lt;&gt;0),N('WIP Log'!AJ51),""),IF(IF($D51="",FALSE(),AND(AL$5&gt;=DATE(YEAR($D51),MONTH($D51),1),AL$5&lt;=$E51)),'Phased Budget'!AN51,"")))</f>
        <v/>
      </c>
      <c r="AM51" s="42" t="str">
        <f aca="false">IF($B51="","",IF(AM$5&lt;=Projects!$C$2,IF(OR(IF($D51="",FALSE(),AND(AM$5&gt;=DATE(YEAR($D51),MONTH($D51),1),AM$5&lt;=$E51)),N('WIP Log'!AK51)&lt;&gt;0),N('WIP Log'!AK51),""),IF(IF($D51="",FALSE(),AND(AM$5&gt;=DATE(YEAR($D51),MONTH($D51),1),AM$5&lt;=$E51)),'Phased Budget'!AO51,"")))</f>
        <v/>
      </c>
      <c r="AN51" s="42" t="str">
        <f aca="false">IF($B51="","",IF(AN$5&lt;=Projects!$C$2,IF(OR(IF($D51="",FALSE(),AND(AN$5&gt;=DATE(YEAR($D51),MONTH($D51),1),AN$5&lt;=$E51)),N('WIP Log'!AL51)&lt;&gt;0),N('WIP Log'!AL51),""),IF(IF($D51="",FALSE(),AND(AN$5&gt;=DATE(YEAR($D51),MONTH($D51),1),AN$5&lt;=$E51)),'Phased Budget'!AP51,"")))</f>
        <v/>
      </c>
      <c r="AO51" s="42" t="str">
        <f aca="false">IF($B51="","",IF(AO$5&lt;=Projects!$C$2,IF(OR(IF($D51="",FALSE(),AND(AO$5&gt;=DATE(YEAR($D51),MONTH($D51),1),AO$5&lt;=$E51)),N('WIP Log'!AM51)&lt;&gt;0),N('WIP Log'!AM51),""),IF(IF($D51="",FALSE(),AND(AO$5&gt;=DATE(YEAR($D51),MONTH($D51),1),AO$5&lt;=$E51)),'Phased Budget'!AQ51,"")))</f>
        <v/>
      </c>
    </row>
    <row r="52" customFormat="false" ht="15" hidden="false" customHeight="false" outlineLevel="0" collapsed="false">
      <c r="A52" s="20" t="n">
        <v>47</v>
      </c>
      <c r="B52" s="40" t="str">
        <f aca="false">IF(Projects!B52="","",Projects!B52)</f>
        <v/>
      </c>
      <c r="C52" s="40" t="str">
        <f aca="false">IF(Projects!C52="","",Projects!C52)</f>
        <v/>
      </c>
      <c r="D52" s="41" t="str">
        <f aca="false">IF(Projects!D52="","",Projects!D52)</f>
        <v/>
      </c>
      <c r="E52" s="41" t="str">
        <f aca="false">IF(Projects!F52="","",Projects!F52)</f>
        <v/>
      </c>
      <c r="F52" s="42" t="str">
        <f aca="false">IF($B52="","",IF(F$5&lt;=Projects!$C$2,IF(OR(IF($D52="",FALSE(),AND(F$5&gt;=DATE(YEAR($D52),MONTH($D52),1),F$5&lt;=$E52)),N('WIP Log'!D52)&lt;&gt;0),N('WIP Log'!D52),""),IF(IF($D52="",FALSE(),AND(F$5&gt;=DATE(YEAR($D52),MONTH($D52),1),F$5&lt;=$E52)),'Phased Budget'!H52,"")))</f>
        <v/>
      </c>
      <c r="G52" s="42" t="str">
        <f aca="false">IF($B52="","",IF(G$5&lt;=Projects!$C$2,IF(OR(IF($D52="",FALSE(),AND(G$5&gt;=DATE(YEAR($D52),MONTH($D52),1),G$5&lt;=$E52)),N('WIP Log'!E52)&lt;&gt;0),N('WIP Log'!E52),""),IF(IF($D52="",FALSE(),AND(G$5&gt;=DATE(YEAR($D52),MONTH($D52),1),G$5&lt;=$E52)),'Phased Budget'!I52,"")))</f>
        <v/>
      </c>
      <c r="H52" s="42" t="str">
        <f aca="false">IF($B52="","",IF(H$5&lt;=Projects!$C$2,IF(OR(IF($D52="",FALSE(),AND(H$5&gt;=DATE(YEAR($D52),MONTH($D52),1),H$5&lt;=$E52)),N('WIP Log'!F52)&lt;&gt;0),N('WIP Log'!F52),""),IF(IF($D52="",FALSE(),AND(H$5&gt;=DATE(YEAR($D52),MONTH($D52),1),H$5&lt;=$E52)),'Phased Budget'!J52,"")))</f>
        <v/>
      </c>
      <c r="I52" s="42" t="str">
        <f aca="false">IF($B52="","",IF(I$5&lt;=Projects!$C$2,IF(OR(IF($D52="",FALSE(),AND(I$5&gt;=DATE(YEAR($D52),MONTH($D52),1),I$5&lt;=$E52)),N('WIP Log'!G52)&lt;&gt;0),N('WIP Log'!G52),""),IF(IF($D52="",FALSE(),AND(I$5&gt;=DATE(YEAR($D52),MONTH($D52),1),I$5&lt;=$E52)),'Phased Budget'!K52,"")))</f>
        <v/>
      </c>
      <c r="J52" s="42" t="str">
        <f aca="false">IF($B52="","",IF(J$5&lt;=Projects!$C$2,IF(OR(IF($D52="",FALSE(),AND(J$5&gt;=DATE(YEAR($D52),MONTH($D52),1),J$5&lt;=$E52)),N('WIP Log'!H52)&lt;&gt;0),N('WIP Log'!H52),""),IF(IF($D52="",FALSE(),AND(J$5&gt;=DATE(YEAR($D52),MONTH($D52),1),J$5&lt;=$E52)),'Phased Budget'!L52,"")))</f>
        <v/>
      </c>
      <c r="K52" s="42" t="str">
        <f aca="false">IF($B52="","",IF(K$5&lt;=Projects!$C$2,IF(OR(IF($D52="",FALSE(),AND(K$5&gt;=DATE(YEAR($D52),MONTH($D52),1),K$5&lt;=$E52)),N('WIP Log'!I52)&lt;&gt;0),N('WIP Log'!I52),""),IF(IF($D52="",FALSE(),AND(K$5&gt;=DATE(YEAR($D52),MONTH($D52),1),K$5&lt;=$E52)),'Phased Budget'!M52,"")))</f>
        <v/>
      </c>
      <c r="L52" s="42" t="str">
        <f aca="false">IF($B52="","",IF(L$5&lt;=Projects!$C$2,IF(OR(IF($D52="",FALSE(),AND(L$5&gt;=DATE(YEAR($D52),MONTH($D52),1),L$5&lt;=$E52)),N('WIP Log'!J52)&lt;&gt;0),N('WIP Log'!J52),""),IF(IF($D52="",FALSE(),AND(L$5&gt;=DATE(YEAR($D52),MONTH($D52),1),L$5&lt;=$E52)),'Phased Budget'!N52,"")))</f>
        <v/>
      </c>
      <c r="M52" s="42" t="str">
        <f aca="false">IF($B52="","",IF(M$5&lt;=Projects!$C$2,IF(OR(IF($D52="",FALSE(),AND(M$5&gt;=DATE(YEAR($D52),MONTH($D52),1),M$5&lt;=$E52)),N('WIP Log'!K52)&lt;&gt;0),N('WIP Log'!K52),""),IF(IF($D52="",FALSE(),AND(M$5&gt;=DATE(YEAR($D52),MONTH($D52),1),M$5&lt;=$E52)),'Phased Budget'!O52,"")))</f>
        <v/>
      </c>
      <c r="N52" s="42" t="str">
        <f aca="false">IF($B52="","",IF(N$5&lt;=Projects!$C$2,IF(OR(IF($D52="",FALSE(),AND(N$5&gt;=DATE(YEAR($D52),MONTH($D52),1),N$5&lt;=$E52)),N('WIP Log'!L52)&lt;&gt;0),N('WIP Log'!L52),""),IF(IF($D52="",FALSE(),AND(N$5&gt;=DATE(YEAR($D52),MONTH($D52),1),N$5&lt;=$E52)),'Phased Budget'!P52,"")))</f>
        <v/>
      </c>
      <c r="O52" s="42" t="str">
        <f aca="false">IF($B52="","",IF(O$5&lt;=Projects!$C$2,IF(OR(IF($D52="",FALSE(),AND(O$5&gt;=DATE(YEAR($D52),MONTH($D52),1),O$5&lt;=$E52)),N('WIP Log'!M52)&lt;&gt;0),N('WIP Log'!M52),""),IF(IF($D52="",FALSE(),AND(O$5&gt;=DATE(YEAR($D52),MONTH($D52),1),O$5&lt;=$E52)),'Phased Budget'!Q52,"")))</f>
        <v/>
      </c>
      <c r="P52" s="42" t="str">
        <f aca="false">IF($B52="","",IF(P$5&lt;=Projects!$C$2,IF(OR(IF($D52="",FALSE(),AND(P$5&gt;=DATE(YEAR($D52),MONTH($D52),1),P$5&lt;=$E52)),N('WIP Log'!N52)&lt;&gt;0),N('WIP Log'!N52),""),IF(IF($D52="",FALSE(),AND(P$5&gt;=DATE(YEAR($D52),MONTH($D52),1),P$5&lt;=$E52)),'Phased Budget'!R52,"")))</f>
        <v/>
      </c>
      <c r="Q52" s="42" t="str">
        <f aca="false">IF($B52="","",IF(Q$5&lt;=Projects!$C$2,IF(OR(IF($D52="",FALSE(),AND(Q$5&gt;=DATE(YEAR($D52),MONTH($D52),1),Q$5&lt;=$E52)),N('WIP Log'!O52)&lt;&gt;0),N('WIP Log'!O52),""),IF(IF($D52="",FALSE(),AND(Q$5&gt;=DATE(YEAR($D52),MONTH($D52),1),Q$5&lt;=$E52)),'Phased Budget'!S52,"")))</f>
        <v/>
      </c>
      <c r="R52" s="42" t="str">
        <f aca="false">IF($B52="","",IF(R$5&lt;=Projects!$C$2,IF(OR(IF($D52="",FALSE(),AND(R$5&gt;=DATE(YEAR($D52),MONTH($D52),1),R$5&lt;=$E52)),N('WIP Log'!P52)&lt;&gt;0),N('WIP Log'!P52),""),IF(IF($D52="",FALSE(),AND(R$5&gt;=DATE(YEAR($D52),MONTH($D52),1),R$5&lt;=$E52)),'Phased Budget'!T52,"")))</f>
        <v/>
      </c>
      <c r="S52" s="42" t="str">
        <f aca="false">IF($B52="","",IF(S$5&lt;=Projects!$C$2,IF(OR(IF($D52="",FALSE(),AND(S$5&gt;=DATE(YEAR($D52),MONTH($D52),1),S$5&lt;=$E52)),N('WIP Log'!Q52)&lt;&gt;0),N('WIP Log'!Q52),""),IF(IF($D52="",FALSE(),AND(S$5&gt;=DATE(YEAR($D52),MONTH($D52),1),S$5&lt;=$E52)),'Phased Budget'!U52,"")))</f>
        <v/>
      </c>
      <c r="T52" s="42" t="str">
        <f aca="false">IF($B52="","",IF(T$5&lt;=Projects!$C$2,IF(OR(IF($D52="",FALSE(),AND(T$5&gt;=DATE(YEAR($D52),MONTH($D52),1),T$5&lt;=$E52)),N('WIP Log'!R52)&lt;&gt;0),N('WIP Log'!R52),""),IF(IF($D52="",FALSE(),AND(T$5&gt;=DATE(YEAR($D52),MONTH($D52),1),T$5&lt;=$E52)),'Phased Budget'!V52,"")))</f>
        <v/>
      </c>
      <c r="U52" s="42" t="str">
        <f aca="false">IF($B52="","",IF(U$5&lt;=Projects!$C$2,IF(OR(IF($D52="",FALSE(),AND(U$5&gt;=DATE(YEAR($D52),MONTH($D52),1),U$5&lt;=$E52)),N('WIP Log'!S52)&lt;&gt;0),N('WIP Log'!S52),""),IF(IF($D52="",FALSE(),AND(U$5&gt;=DATE(YEAR($D52),MONTH($D52),1),U$5&lt;=$E52)),'Phased Budget'!W52,"")))</f>
        <v/>
      </c>
      <c r="V52" s="42" t="str">
        <f aca="false">IF($B52="","",IF(V$5&lt;=Projects!$C$2,IF(OR(IF($D52="",FALSE(),AND(V$5&gt;=DATE(YEAR($D52),MONTH($D52),1),V$5&lt;=$E52)),N('WIP Log'!T52)&lt;&gt;0),N('WIP Log'!T52),""),IF(IF($D52="",FALSE(),AND(V$5&gt;=DATE(YEAR($D52),MONTH($D52),1),V$5&lt;=$E52)),'Phased Budget'!X52,"")))</f>
        <v/>
      </c>
      <c r="W52" s="42" t="str">
        <f aca="false">IF($B52="","",IF(W$5&lt;=Projects!$C$2,IF(OR(IF($D52="",FALSE(),AND(W$5&gt;=DATE(YEAR($D52),MONTH($D52),1),W$5&lt;=$E52)),N('WIP Log'!U52)&lt;&gt;0),N('WIP Log'!U52),""),IF(IF($D52="",FALSE(),AND(W$5&gt;=DATE(YEAR($D52),MONTH($D52),1),W$5&lt;=$E52)),'Phased Budget'!Y52,"")))</f>
        <v/>
      </c>
      <c r="X52" s="42" t="str">
        <f aca="false">IF($B52="","",IF(X$5&lt;=Projects!$C$2,IF(OR(IF($D52="",FALSE(),AND(X$5&gt;=DATE(YEAR($D52),MONTH($D52),1),X$5&lt;=$E52)),N('WIP Log'!V52)&lt;&gt;0),N('WIP Log'!V52),""),IF(IF($D52="",FALSE(),AND(X$5&gt;=DATE(YEAR($D52),MONTH($D52),1),X$5&lt;=$E52)),'Phased Budget'!Z52,"")))</f>
        <v/>
      </c>
      <c r="Y52" s="42" t="str">
        <f aca="false">IF($B52="","",IF(Y$5&lt;=Projects!$C$2,IF(OR(IF($D52="",FALSE(),AND(Y$5&gt;=DATE(YEAR($D52),MONTH($D52),1),Y$5&lt;=$E52)),N('WIP Log'!W52)&lt;&gt;0),N('WIP Log'!W52),""),IF(IF($D52="",FALSE(),AND(Y$5&gt;=DATE(YEAR($D52),MONTH($D52),1),Y$5&lt;=$E52)),'Phased Budget'!AA52,"")))</f>
        <v/>
      </c>
      <c r="Z52" s="42" t="str">
        <f aca="false">IF($B52="","",IF(Z$5&lt;=Projects!$C$2,IF(OR(IF($D52="",FALSE(),AND(Z$5&gt;=DATE(YEAR($D52),MONTH($D52),1),Z$5&lt;=$E52)),N('WIP Log'!X52)&lt;&gt;0),N('WIP Log'!X52),""),IF(IF($D52="",FALSE(),AND(Z$5&gt;=DATE(YEAR($D52),MONTH($D52),1),Z$5&lt;=$E52)),'Phased Budget'!AB52,"")))</f>
        <v/>
      </c>
      <c r="AA52" s="42" t="str">
        <f aca="false">IF($B52="","",IF(AA$5&lt;=Projects!$C$2,IF(OR(IF($D52="",FALSE(),AND(AA$5&gt;=DATE(YEAR($D52),MONTH($D52),1),AA$5&lt;=$E52)),N('WIP Log'!Y52)&lt;&gt;0),N('WIP Log'!Y52),""),IF(IF($D52="",FALSE(),AND(AA$5&gt;=DATE(YEAR($D52),MONTH($D52),1),AA$5&lt;=$E52)),'Phased Budget'!AC52,"")))</f>
        <v/>
      </c>
      <c r="AB52" s="42" t="str">
        <f aca="false">IF($B52="","",IF(AB$5&lt;=Projects!$C$2,IF(OR(IF($D52="",FALSE(),AND(AB$5&gt;=DATE(YEAR($D52),MONTH($D52),1),AB$5&lt;=$E52)),N('WIP Log'!Z52)&lt;&gt;0),N('WIP Log'!Z52),""),IF(IF($D52="",FALSE(),AND(AB$5&gt;=DATE(YEAR($D52),MONTH($D52),1),AB$5&lt;=$E52)),'Phased Budget'!AD52,"")))</f>
        <v/>
      </c>
      <c r="AC52" s="42" t="str">
        <f aca="false">IF($B52="","",IF(AC$5&lt;=Projects!$C$2,IF(OR(IF($D52="",FALSE(),AND(AC$5&gt;=DATE(YEAR($D52),MONTH($D52),1),AC$5&lt;=$E52)),N('WIP Log'!AA52)&lt;&gt;0),N('WIP Log'!AA52),""),IF(IF($D52="",FALSE(),AND(AC$5&gt;=DATE(YEAR($D52),MONTH($D52),1),AC$5&lt;=$E52)),'Phased Budget'!AE52,"")))</f>
        <v/>
      </c>
      <c r="AD52" s="42" t="str">
        <f aca="false">IF($B52="","",IF(AD$5&lt;=Projects!$C$2,IF(OR(IF($D52="",FALSE(),AND(AD$5&gt;=DATE(YEAR($D52),MONTH($D52),1),AD$5&lt;=$E52)),N('WIP Log'!AB52)&lt;&gt;0),N('WIP Log'!AB52),""),IF(IF($D52="",FALSE(),AND(AD$5&gt;=DATE(YEAR($D52),MONTH($D52),1),AD$5&lt;=$E52)),'Phased Budget'!AF52,"")))</f>
        <v/>
      </c>
      <c r="AE52" s="42" t="str">
        <f aca="false">IF($B52="","",IF(AE$5&lt;=Projects!$C$2,IF(OR(IF($D52="",FALSE(),AND(AE$5&gt;=DATE(YEAR($D52),MONTH($D52),1),AE$5&lt;=$E52)),N('WIP Log'!AC52)&lt;&gt;0),N('WIP Log'!AC52),""),IF(IF($D52="",FALSE(),AND(AE$5&gt;=DATE(YEAR($D52),MONTH($D52),1),AE$5&lt;=$E52)),'Phased Budget'!AG52,"")))</f>
        <v/>
      </c>
      <c r="AF52" s="42" t="str">
        <f aca="false">IF($B52="","",IF(AF$5&lt;=Projects!$C$2,IF(OR(IF($D52="",FALSE(),AND(AF$5&gt;=DATE(YEAR($D52),MONTH($D52),1),AF$5&lt;=$E52)),N('WIP Log'!AD52)&lt;&gt;0),N('WIP Log'!AD52),""),IF(IF($D52="",FALSE(),AND(AF$5&gt;=DATE(YEAR($D52),MONTH($D52),1),AF$5&lt;=$E52)),'Phased Budget'!AH52,"")))</f>
        <v/>
      </c>
      <c r="AG52" s="42" t="str">
        <f aca="false">IF($B52="","",IF(AG$5&lt;=Projects!$C$2,IF(OR(IF($D52="",FALSE(),AND(AG$5&gt;=DATE(YEAR($D52),MONTH($D52),1),AG$5&lt;=$E52)),N('WIP Log'!AE52)&lt;&gt;0),N('WIP Log'!AE52),""),IF(IF($D52="",FALSE(),AND(AG$5&gt;=DATE(YEAR($D52),MONTH($D52),1),AG$5&lt;=$E52)),'Phased Budget'!AI52,"")))</f>
        <v/>
      </c>
      <c r="AH52" s="42" t="str">
        <f aca="false">IF($B52="","",IF(AH$5&lt;=Projects!$C$2,IF(OR(IF($D52="",FALSE(),AND(AH$5&gt;=DATE(YEAR($D52),MONTH($D52),1),AH$5&lt;=$E52)),N('WIP Log'!AF52)&lt;&gt;0),N('WIP Log'!AF52),""),IF(IF($D52="",FALSE(),AND(AH$5&gt;=DATE(YEAR($D52),MONTH($D52),1),AH$5&lt;=$E52)),'Phased Budget'!AJ52,"")))</f>
        <v/>
      </c>
      <c r="AI52" s="42" t="str">
        <f aca="false">IF($B52="","",IF(AI$5&lt;=Projects!$C$2,IF(OR(IF($D52="",FALSE(),AND(AI$5&gt;=DATE(YEAR($D52),MONTH($D52),1),AI$5&lt;=$E52)),N('WIP Log'!AG52)&lt;&gt;0),N('WIP Log'!AG52),""),IF(IF($D52="",FALSE(),AND(AI$5&gt;=DATE(YEAR($D52),MONTH($D52),1),AI$5&lt;=$E52)),'Phased Budget'!AK52,"")))</f>
        <v/>
      </c>
      <c r="AJ52" s="42" t="str">
        <f aca="false">IF($B52="","",IF(AJ$5&lt;=Projects!$C$2,IF(OR(IF($D52="",FALSE(),AND(AJ$5&gt;=DATE(YEAR($D52),MONTH($D52),1),AJ$5&lt;=$E52)),N('WIP Log'!AH52)&lt;&gt;0),N('WIP Log'!AH52),""),IF(IF($D52="",FALSE(),AND(AJ$5&gt;=DATE(YEAR($D52),MONTH($D52),1),AJ$5&lt;=$E52)),'Phased Budget'!AL52,"")))</f>
        <v/>
      </c>
      <c r="AK52" s="42" t="str">
        <f aca="false">IF($B52="","",IF(AK$5&lt;=Projects!$C$2,IF(OR(IF($D52="",FALSE(),AND(AK$5&gt;=DATE(YEAR($D52),MONTH($D52),1),AK$5&lt;=$E52)),N('WIP Log'!AI52)&lt;&gt;0),N('WIP Log'!AI52),""),IF(IF($D52="",FALSE(),AND(AK$5&gt;=DATE(YEAR($D52),MONTH($D52),1),AK$5&lt;=$E52)),'Phased Budget'!AM52,"")))</f>
        <v/>
      </c>
      <c r="AL52" s="42" t="str">
        <f aca="false">IF($B52="","",IF(AL$5&lt;=Projects!$C$2,IF(OR(IF($D52="",FALSE(),AND(AL$5&gt;=DATE(YEAR($D52),MONTH($D52),1),AL$5&lt;=$E52)),N('WIP Log'!AJ52)&lt;&gt;0),N('WIP Log'!AJ52),""),IF(IF($D52="",FALSE(),AND(AL$5&gt;=DATE(YEAR($D52),MONTH($D52),1),AL$5&lt;=$E52)),'Phased Budget'!AN52,"")))</f>
        <v/>
      </c>
      <c r="AM52" s="42" t="str">
        <f aca="false">IF($B52="","",IF(AM$5&lt;=Projects!$C$2,IF(OR(IF($D52="",FALSE(),AND(AM$5&gt;=DATE(YEAR($D52),MONTH($D52),1),AM$5&lt;=$E52)),N('WIP Log'!AK52)&lt;&gt;0),N('WIP Log'!AK52),""),IF(IF($D52="",FALSE(),AND(AM$5&gt;=DATE(YEAR($D52),MONTH($D52),1),AM$5&lt;=$E52)),'Phased Budget'!AO52,"")))</f>
        <v/>
      </c>
      <c r="AN52" s="42" t="str">
        <f aca="false">IF($B52="","",IF(AN$5&lt;=Projects!$C$2,IF(OR(IF($D52="",FALSE(),AND(AN$5&gt;=DATE(YEAR($D52),MONTH($D52),1),AN$5&lt;=$E52)),N('WIP Log'!AL52)&lt;&gt;0),N('WIP Log'!AL52),""),IF(IF($D52="",FALSE(),AND(AN$5&gt;=DATE(YEAR($D52),MONTH($D52),1),AN$5&lt;=$E52)),'Phased Budget'!AP52,"")))</f>
        <v/>
      </c>
      <c r="AO52" s="42" t="str">
        <f aca="false">IF($B52="","",IF(AO$5&lt;=Projects!$C$2,IF(OR(IF($D52="",FALSE(),AND(AO$5&gt;=DATE(YEAR($D52),MONTH($D52),1),AO$5&lt;=$E52)),N('WIP Log'!AM52)&lt;&gt;0),N('WIP Log'!AM52),""),IF(IF($D52="",FALSE(),AND(AO$5&gt;=DATE(YEAR($D52),MONTH($D52),1),AO$5&lt;=$E52)),'Phased Budget'!AQ52,"")))</f>
        <v/>
      </c>
    </row>
    <row r="53" customFormat="false" ht="15" hidden="false" customHeight="false" outlineLevel="0" collapsed="false">
      <c r="A53" s="20" t="n">
        <v>48</v>
      </c>
      <c r="B53" s="40" t="str">
        <f aca="false">IF(Projects!B53="","",Projects!B53)</f>
        <v/>
      </c>
      <c r="C53" s="40" t="str">
        <f aca="false">IF(Projects!C53="","",Projects!C53)</f>
        <v/>
      </c>
      <c r="D53" s="41" t="str">
        <f aca="false">IF(Projects!D53="","",Projects!D53)</f>
        <v/>
      </c>
      <c r="E53" s="41" t="str">
        <f aca="false">IF(Projects!F53="","",Projects!F53)</f>
        <v/>
      </c>
      <c r="F53" s="42" t="str">
        <f aca="false">IF($B53="","",IF(F$5&lt;=Projects!$C$2,IF(OR(IF($D53="",FALSE(),AND(F$5&gt;=DATE(YEAR($D53),MONTH($D53),1),F$5&lt;=$E53)),N('WIP Log'!D53)&lt;&gt;0),N('WIP Log'!D53),""),IF(IF($D53="",FALSE(),AND(F$5&gt;=DATE(YEAR($D53),MONTH($D53),1),F$5&lt;=$E53)),'Phased Budget'!H53,"")))</f>
        <v/>
      </c>
      <c r="G53" s="42" t="str">
        <f aca="false">IF($B53="","",IF(G$5&lt;=Projects!$C$2,IF(OR(IF($D53="",FALSE(),AND(G$5&gt;=DATE(YEAR($D53),MONTH($D53),1),G$5&lt;=$E53)),N('WIP Log'!E53)&lt;&gt;0),N('WIP Log'!E53),""),IF(IF($D53="",FALSE(),AND(G$5&gt;=DATE(YEAR($D53),MONTH($D53),1),G$5&lt;=$E53)),'Phased Budget'!I53,"")))</f>
        <v/>
      </c>
      <c r="H53" s="42" t="str">
        <f aca="false">IF($B53="","",IF(H$5&lt;=Projects!$C$2,IF(OR(IF($D53="",FALSE(),AND(H$5&gt;=DATE(YEAR($D53),MONTH($D53),1),H$5&lt;=$E53)),N('WIP Log'!F53)&lt;&gt;0),N('WIP Log'!F53),""),IF(IF($D53="",FALSE(),AND(H$5&gt;=DATE(YEAR($D53),MONTH($D53),1),H$5&lt;=$E53)),'Phased Budget'!J53,"")))</f>
        <v/>
      </c>
      <c r="I53" s="42" t="str">
        <f aca="false">IF($B53="","",IF(I$5&lt;=Projects!$C$2,IF(OR(IF($D53="",FALSE(),AND(I$5&gt;=DATE(YEAR($D53),MONTH($D53),1),I$5&lt;=$E53)),N('WIP Log'!G53)&lt;&gt;0),N('WIP Log'!G53),""),IF(IF($D53="",FALSE(),AND(I$5&gt;=DATE(YEAR($D53),MONTH($D53),1),I$5&lt;=$E53)),'Phased Budget'!K53,"")))</f>
        <v/>
      </c>
      <c r="J53" s="42" t="str">
        <f aca="false">IF($B53="","",IF(J$5&lt;=Projects!$C$2,IF(OR(IF($D53="",FALSE(),AND(J$5&gt;=DATE(YEAR($D53),MONTH($D53),1),J$5&lt;=$E53)),N('WIP Log'!H53)&lt;&gt;0),N('WIP Log'!H53),""),IF(IF($D53="",FALSE(),AND(J$5&gt;=DATE(YEAR($D53),MONTH($D53),1),J$5&lt;=$E53)),'Phased Budget'!L53,"")))</f>
        <v/>
      </c>
      <c r="K53" s="42" t="str">
        <f aca="false">IF($B53="","",IF(K$5&lt;=Projects!$C$2,IF(OR(IF($D53="",FALSE(),AND(K$5&gt;=DATE(YEAR($D53),MONTH($D53),1),K$5&lt;=$E53)),N('WIP Log'!I53)&lt;&gt;0),N('WIP Log'!I53),""),IF(IF($D53="",FALSE(),AND(K$5&gt;=DATE(YEAR($D53),MONTH($D53),1),K$5&lt;=$E53)),'Phased Budget'!M53,"")))</f>
        <v/>
      </c>
      <c r="L53" s="42" t="str">
        <f aca="false">IF($B53="","",IF(L$5&lt;=Projects!$C$2,IF(OR(IF($D53="",FALSE(),AND(L$5&gt;=DATE(YEAR($D53),MONTH($D53),1),L$5&lt;=$E53)),N('WIP Log'!J53)&lt;&gt;0),N('WIP Log'!J53),""),IF(IF($D53="",FALSE(),AND(L$5&gt;=DATE(YEAR($D53),MONTH($D53),1),L$5&lt;=$E53)),'Phased Budget'!N53,"")))</f>
        <v/>
      </c>
      <c r="M53" s="42" t="str">
        <f aca="false">IF($B53="","",IF(M$5&lt;=Projects!$C$2,IF(OR(IF($D53="",FALSE(),AND(M$5&gt;=DATE(YEAR($D53),MONTH($D53),1),M$5&lt;=$E53)),N('WIP Log'!K53)&lt;&gt;0),N('WIP Log'!K53),""),IF(IF($D53="",FALSE(),AND(M$5&gt;=DATE(YEAR($D53),MONTH($D53),1),M$5&lt;=$E53)),'Phased Budget'!O53,"")))</f>
        <v/>
      </c>
      <c r="N53" s="42" t="str">
        <f aca="false">IF($B53="","",IF(N$5&lt;=Projects!$C$2,IF(OR(IF($D53="",FALSE(),AND(N$5&gt;=DATE(YEAR($D53),MONTH($D53),1),N$5&lt;=$E53)),N('WIP Log'!L53)&lt;&gt;0),N('WIP Log'!L53),""),IF(IF($D53="",FALSE(),AND(N$5&gt;=DATE(YEAR($D53),MONTH($D53),1),N$5&lt;=$E53)),'Phased Budget'!P53,"")))</f>
        <v/>
      </c>
      <c r="O53" s="42" t="str">
        <f aca="false">IF($B53="","",IF(O$5&lt;=Projects!$C$2,IF(OR(IF($D53="",FALSE(),AND(O$5&gt;=DATE(YEAR($D53),MONTH($D53),1),O$5&lt;=$E53)),N('WIP Log'!M53)&lt;&gt;0),N('WIP Log'!M53),""),IF(IF($D53="",FALSE(),AND(O$5&gt;=DATE(YEAR($D53),MONTH($D53),1),O$5&lt;=$E53)),'Phased Budget'!Q53,"")))</f>
        <v/>
      </c>
      <c r="P53" s="42" t="str">
        <f aca="false">IF($B53="","",IF(P$5&lt;=Projects!$C$2,IF(OR(IF($D53="",FALSE(),AND(P$5&gt;=DATE(YEAR($D53),MONTH($D53),1),P$5&lt;=$E53)),N('WIP Log'!N53)&lt;&gt;0),N('WIP Log'!N53),""),IF(IF($D53="",FALSE(),AND(P$5&gt;=DATE(YEAR($D53),MONTH($D53),1),P$5&lt;=$E53)),'Phased Budget'!R53,"")))</f>
        <v/>
      </c>
      <c r="Q53" s="42" t="str">
        <f aca="false">IF($B53="","",IF(Q$5&lt;=Projects!$C$2,IF(OR(IF($D53="",FALSE(),AND(Q$5&gt;=DATE(YEAR($D53),MONTH($D53),1),Q$5&lt;=$E53)),N('WIP Log'!O53)&lt;&gt;0),N('WIP Log'!O53),""),IF(IF($D53="",FALSE(),AND(Q$5&gt;=DATE(YEAR($D53),MONTH($D53),1),Q$5&lt;=$E53)),'Phased Budget'!S53,"")))</f>
        <v/>
      </c>
      <c r="R53" s="42" t="str">
        <f aca="false">IF($B53="","",IF(R$5&lt;=Projects!$C$2,IF(OR(IF($D53="",FALSE(),AND(R$5&gt;=DATE(YEAR($D53),MONTH($D53),1),R$5&lt;=$E53)),N('WIP Log'!P53)&lt;&gt;0),N('WIP Log'!P53),""),IF(IF($D53="",FALSE(),AND(R$5&gt;=DATE(YEAR($D53),MONTH($D53),1),R$5&lt;=$E53)),'Phased Budget'!T53,"")))</f>
        <v/>
      </c>
      <c r="S53" s="42" t="str">
        <f aca="false">IF($B53="","",IF(S$5&lt;=Projects!$C$2,IF(OR(IF($D53="",FALSE(),AND(S$5&gt;=DATE(YEAR($D53),MONTH($D53),1),S$5&lt;=$E53)),N('WIP Log'!Q53)&lt;&gt;0),N('WIP Log'!Q53),""),IF(IF($D53="",FALSE(),AND(S$5&gt;=DATE(YEAR($D53),MONTH($D53),1),S$5&lt;=$E53)),'Phased Budget'!U53,"")))</f>
        <v/>
      </c>
      <c r="T53" s="42" t="str">
        <f aca="false">IF($B53="","",IF(T$5&lt;=Projects!$C$2,IF(OR(IF($D53="",FALSE(),AND(T$5&gt;=DATE(YEAR($D53),MONTH($D53),1),T$5&lt;=$E53)),N('WIP Log'!R53)&lt;&gt;0),N('WIP Log'!R53),""),IF(IF($D53="",FALSE(),AND(T$5&gt;=DATE(YEAR($D53),MONTH($D53),1),T$5&lt;=$E53)),'Phased Budget'!V53,"")))</f>
        <v/>
      </c>
      <c r="U53" s="42" t="str">
        <f aca="false">IF($B53="","",IF(U$5&lt;=Projects!$C$2,IF(OR(IF($D53="",FALSE(),AND(U$5&gt;=DATE(YEAR($D53),MONTH($D53),1),U$5&lt;=$E53)),N('WIP Log'!S53)&lt;&gt;0),N('WIP Log'!S53),""),IF(IF($D53="",FALSE(),AND(U$5&gt;=DATE(YEAR($D53),MONTH($D53),1),U$5&lt;=$E53)),'Phased Budget'!W53,"")))</f>
        <v/>
      </c>
      <c r="V53" s="42" t="str">
        <f aca="false">IF($B53="","",IF(V$5&lt;=Projects!$C$2,IF(OR(IF($D53="",FALSE(),AND(V$5&gt;=DATE(YEAR($D53),MONTH($D53),1),V$5&lt;=$E53)),N('WIP Log'!T53)&lt;&gt;0),N('WIP Log'!T53),""),IF(IF($D53="",FALSE(),AND(V$5&gt;=DATE(YEAR($D53),MONTH($D53),1),V$5&lt;=$E53)),'Phased Budget'!X53,"")))</f>
        <v/>
      </c>
      <c r="W53" s="42" t="str">
        <f aca="false">IF($B53="","",IF(W$5&lt;=Projects!$C$2,IF(OR(IF($D53="",FALSE(),AND(W$5&gt;=DATE(YEAR($D53),MONTH($D53),1),W$5&lt;=$E53)),N('WIP Log'!U53)&lt;&gt;0),N('WIP Log'!U53),""),IF(IF($D53="",FALSE(),AND(W$5&gt;=DATE(YEAR($D53),MONTH($D53),1),W$5&lt;=$E53)),'Phased Budget'!Y53,"")))</f>
        <v/>
      </c>
      <c r="X53" s="42" t="str">
        <f aca="false">IF($B53="","",IF(X$5&lt;=Projects!$C$2,IF(OR(IF($D53="",FALSE(),AND(X$5&gt;=DATE(YEAR($D53),MONTH($D53),1),X$5&lt;=$E53)),N('WIP Log'!V53)&lt;&gt;0),N('WIP Log'!V53),""),IF(IF($D53="",FALSE(),AND(X$5&gt;=DATE(YEAR($D53),MONTH($D53),1),X$5&lt;=$E53)),'Phased Budget'!Z53,"")))</f>
        <v/>
      </c>
      <c r="Y53" s="42" t="str">
        <f aca="false">IF($B53="","",IF(Y$5&lt;=Projects!$C$2,IF(OR(IF($D53="",FALSE(),AND(Y$5&gt;=DATE(YEAR($D53),MONTH($D53),1),Y$5&lt;=$E53)),N('WIP Log'!W53)&lt;&gt;0),N('WIP Log'!W53),""),IF(IF($D53="",FALSE(),AND(Y$5&gt;=DATE(YEAR($D53),MONTH($D53),1),Y$5&lt;=$E53)),'Phased Budget'!AA53,"")))</f>
        <v/>
      </c>
      <c r="Z53" s="42" t="str">
        <f aca="false">IF($B53="","",IF(Z$5&lt;=Projects!$C$2,IF(OR(IF($D53="",FALSE(),AND(Z$5&gt;=DATE(YEAR($D53),MONTH($D53),1),Z$5&lt;=$E53)),N('WIP Log'!X53)&lt;&gt;0),N('WIP Log'!X53),""),IF(IF($D53="",FALSE(),AND(Z$5&gt;=DATE(YEAR($D53),MONTH($D53),1),Z$5&lt;=$E53)),'Phased Budget'!AB53,"")))</f>
        <v/>
      </c>
      <c r="AA53" s="42" t="str">
        <f aca="false">IF($B53="","",IF(AA$5&lt;=Projects!$C$2,IF(OR(IF($D53="",FALSE(),AND(AA$5&gt;=DATE(YEAR($D53),MONTH($D53),1),AA$5&lt;=$E53)),N('WIP Log'!Y53)&lt;&gt;0),N('WIP Log'!Y53),""),IF(IF($D53="",FALSE(),AND(AA$5&gt;=DATE(YEAR($D53),MONTH($D53),1),AA$5&lt;=$E53)),'Phased Budget'!AC53,"")))</f>
        <v/>
      </c>
      <c r="AB53" s="42" t="str">
        <f aca="false">IF($B53="","",IF(AB$5&lt;=Projects!$C$2,IF(OR(IF($D53="",FALSE(),AND(AB$5&gt;=DATE(YEAR($D53),MONTH($D53),1),AB$5&lt;=$E53)),N('WIP Log'!Z53)&lt;&gt;0),N('WIP Log'!Z53),""),IF(IF($D53="",FALSE(),AND(AB$5&gt;=DATE(YEAR($D53),MONTH($D53),1),AB$5&lt;=$E53)),'Phased Budget'!AD53,"")))</f>
        <v/>
      </c>
      <c r="AC53" s="42" t="str">
        <f aca="false">IF($B53="","",IF(AC$5&lt;=Projects!$C$2,IF(OR(IF($D53="",FALSE(),AND(AC$5&gt;=DATE(YEAR($D53),MONTH($D53),1),AC$5&lt;=$E53)),N('WIP Log'!AA53)&lt;&gt;0),N('WIP Log'!AA53),""),IF(IF($D53="",FALSE(),AND(AC$5&gt;=DATE(YEAR($D53),MONTH($D53),1),AC$5&lt;=$E53)),'Phased Budget'!AE53,"")))</f>
        <v/>
      </c>
      <c r="AD53" s="42" t="str">
        <f aca="false">IF($B53="","",IF(AD$5&lt;=Projects!$C$2,IF(OR(IF($D53="",FALSE(),AND(AD$5&gt;=DATE(YEAR($D53),MONTH($D53),1),AD$5&lt;=$E53)),N('WIP Log'!AB53)&lt;&gt;0),N('WIP Log'!AB53),""),IF(IF($D53="",FALSE(),AND(AD$5&gt;=DATE(YEAR($D53),MONTH($D53),1),AD$5&lt;=$E53)),'Phased Budget'!AF53,"")))</f>
        <v/>
      </c>
      <c r="AE53" s="42" t="str">
        <f aca="false">IF($B53="","",IF(AE$5&lt;=Projects!$C$2,IF(OR(IF($D53="",FALSE(),AND(AE$5&gt;=DATE(YEAR($D53),MONTH($D53),1),AE$5&lt;=$E53)),N('WIP Log'!AC53)&lt;&gt;0),N('WIP Log'!AC53),""),IF(IF($D53="",FALSE(),AND(AE$5&gt;=DATE(YEAR($D53),MONTH($D53),1),AE$5&lt;=$E53)),'Phased Budget'!AG53,"")))</f>
        <v/>
      </c>
      <c r="AF53" s="42" t="str">
        <f aca="false">IF($B53="","",IF(AF$5&lt;=Projects!$C$2,IF(OR(IF($D53="",FALSE(),AND(AF$5&gt;=DATE(YEAR($D53),MONTH($D53),1),AF$5&lt;=$E53)),N('WIP Log'!AD53)&lt;&gt;0),N('WIP Log'!AD53),""),IF(IF($D53="",FALSE(),AND(AF$5&gt;=DATE(YEAR($D53),MONTH($D53),1),AF$5&lt;=$E53)),'Phased Budget'!AH53,"")))</f>
        <v/>
      </c>
      <c r="AG53" s="42" t="str">
        <f aca="false">IF($B53="","",IF(AG$5&lt;=Projects!$C$2,IF(OR(IF($D53="",FALSE(),AND(AG$5&gt;=DATE(YEAR($D53),MONTH($D53),1),AG$5&lt;=$E53)),N('WIP Log'!AE53)&lt;&gt;0),N('WIP Log'!AE53),""),IF(IF($D53="",FALSE(),AND(AG$5&gt;=DATE(YEAR($D53),MONTH($D53),1),AG$5&lt;=$E53)),'Phased Budget'!AI53,"")))</f>
        <v/>
      </c>
      <c r="AH53" s="42" t="str">
        <f aca="false">IF($B53="","",IF(AH$5&lt;=Projects!$C$2,IF(OR(IF($D53="",FALSE(),AND(AH$5&gt;=DATE(YEAR($D53),MONTH($D53),1),AH$5&lt;=$E53)),N('WIP Log'!AF53)&lt;&gt;0),N('WIP Log'!AF53),""),IF(IF($D53="",FALSE(),AND(AH$5&gt;=DATE(YEAR($D53),MONTH($D53),1),AH$5&lt;=$E53)),'Phased Budget'!AJ53,"")))</f>
        <v/>
      </c>
      <c r="AI53" s="42" t="str">
        <f aca="false">IF($B53="","",IF(AI$5&lt;=Projects!$C$2,IF(OR(IF($D53="",FALSE(),AND(AI$5&gt;=DATE(YEAR($D53),MONTH($D53),1),AI$5&lt;=$E53)),N('WIP Log'!AG53)&lt;&gt;0),N('WIP Log'!AG53),""),IF(IF($D53="",FALSE(),AND(AI$5&gt;=DATE(YEAR($D53),MONTH($D53),1),AI$5&lt;=$E53)),'Phased Budget'!AK53,"")))</f>
        <v/>
      </c>
      <c r="AJ53" s="42" t="str">
        <f aca="false">IF($B53="","",IF(AJ$5&lt;=Projects!$C$2,IF(OR(IF($D53="",FALSE(),AND(AJ$5&gt;=DATE(YEAR($D53),MONTH($D53),1),AJ$5&lt;=$E53)),N('WIP Log'!AH53)&lt;&gt;0),N('WIP Log'!AH53),""),IF(IF($D53="",FALSE(),AND(AJ$5&gt;=DATE(YEAR($D53),MONTH($D53),1),AJ$5&lt;=$E53)),'Phased Budget'!AL53,"")))</f>
        <v/>
      </c>
      <c r="AK53" s="42" t="str">
        <f aca="false">IF($B53="","",IF(AK$5&lt;=Projects!$C$2,IF(OR(IF($D53="",FALSE(),AND(AK$5&gt;=DATE(YEAR($D53),MONTH($D53),1),AK$5&lt;=$E53)),N('WIP Log'!AI53)&lt;&gt;0),N('WIP Log'!AI53),""),IF(IF($D53="",FALSE(),AND(AK$5&gt;=DATE(YEAR($D53),MONTH($D53),1),AK$5&lt;=$E53)),'Phased Budget'!AM53,"")))</f>
        <v/>
      </c>
      <c r="AL53" s="42" t="str">
        <f aca="false">IF($B53="","",IF(AL$5&lt;=Projects!$C$2,IF(OR(IF($D53="",FALSE(),AND(AL$5&gt;=DATE(YEAR($D53),MONTH($D53),1),AL$5&lt;=$E53)),N('WIP Log'!AJ53)&lt;&gt;0),N('WIP Log'!AJ53),""),IF(IF($D53="",FALSE(),AND(AL$5&gt;=DATE(YEAR($D53),MONTH($D53),1),AL$5&lt;=$E53)),'Phased Budget'!AN53,"")))</f>
        <v/>
      </c>
      <c r="AM53" s="42" t="str">
        <f aca="false">IF($B53="","",IF(AM$5&lt;=Projects!$C$2,IF(OR(IF($D53="",FALSE(),AND(AM$5&gt;=DATE(YEAR($D53),MONTH($D53),1),AM$5&lt;=$E53)),N('WIP Log'!AK53)&lt;&gt;0),N('WIP Log'!AK53),""),IF(IF($D53="",FALSE(),AND(AM$5&gt;=DATE(YEAR($D53),MONTH($D53),1),AM$5&lt;=$E53)),'Phased Budget'!AO53,"")))</f>
        <v/>
      </c>
      <c r="AN53" s="42" t="str">
        <f aca="false">IF($B53="","",IF(AN$5&lt;=Projects!$C$2,IF(OR(IF($D53="",FALSE(),AND(AN$5&gt;=DATE(YEAR($D53),MONTH($D53),1),AN$5&lt;=$E53)),N('WIP Log'!AL53)&lt;&gt;0),N('WIP Log'!AL53),""),IF(IF($D53="",FALSE(),AND(AN$5&gt;=DATE(YEAR($D53),MONTH($D53),1),AN$5&lt;=$E53)),'Phased Budget'!AP53,"")))</f>
        <v/>
      </c>
      <c r="AO53" s="42" t="str">
        <f aca="false">IF($B53="","",IF(AO$5&lt;=Projects!$C$2,IF(OR(IF($D53="",FALSE(),AND(AO$5&gt;=DATE(YEAR($D53),MONTH($D53),1),AO$5&lt;=$E53)),N('WIP Log'!AM53)&lt;&gt;0),N('WIP Log'!AM53),""),IF(IF($D53="",FALSE(),AND(AO$5&gt;=DATE(YEAR($D53),MONTH($D53),1),AO$5&lt;=$E53)),'Phased Budget'!AQ53,"")))</f>
        <v/>
      </c>
    </row>
    <row r="54" customFormat="false" ht="15" hidden="false" customHeight="false" outlineLevel="0" collapsed="false">
      <c r="A54" s="20" t="n">
        <v>49</v>
      </c>
      <c r="B54" s="40" t="str">
        <f aca="false">IF(Projects!B54="","",Projects!B54)</f>
        <v/>
      </c>
      <c r="C54" s="40" t="str">
        <f aca="false">IF(Projects!C54="","",Projects!C54)</f>
        <v/>
      </c>
      <c r="D54" s="41" t="str">
        <f aca="false">IF(Projects!D54="","",Projects!D54)</f>
        <v/>
      </c>
      <c r="E54" s="41" t="str">
        <f aca="false">IF(Projects!F54="","",Projects!F54)</f>
        <v/>
      </c>
      <c r="F54" s="42" t="str">
        <f aca="false">IF($B54="","",IF(F$5&lt;=Projects!$C$2,IF(OR(IF($D54="",FALSE(),AND(F$5&gt;=DATE(YEAR($D54),MONTH($D54),1),F$5&lt;=$E54)),N('WIP Log'!D54)&lt;&gt;0),N('WIP Log'!D54),""),IF(IF($D54="",FALSE(),AND(F$5&gt;=DATE(YEAR($D54),MONTH($D54),1),F$5&lt;=$E54)),'Phased Budget'!H54,"")))</f>
        <v/>
      </c>
      <c r="G54" s="42" t="str">
        <f aca="false">IF($B54="","",IF(G$5&lt;=Projects!$C$2,IF(OR(IF($D54="",FALSE(),AND(G$5&gt;=DATE(YEAR($D54),MONTH($D54),1),G$5&lt;=$E54)),N('WIP Log'!E54)&lt;&gt;0),N('WIP Log'!E54),""),IF(IF($D54="",FALSE(),AND(G$5&gt;=DATE(YEAR($D54),MONTH($D54),1),G$5&lt;=$E54)),'Phased Budget'!I54,"")))</f>
        <v/>
      </c>
      <c r="H54" s="42" t="str">
        <f aca="false">IF($B54="","",IF(H$5&lt;=Projects!$C$2,IF(OR(IF($D54="",FALSE(),AND(H$5&gt;=DATE(YEAR($D54),MONTH($D54),1),H$5&lt;=$E54)),N('WIP Log'!F54)&lt;&gt;0),N('WIP Log'!F54),""),IF(IF($D54="",FALSE(),AND(H$5&gt;=DATE(YEAR($D54),MONTH($D54),1),H$5&lt;=$E54)),'Phased Budget'!J54,"")))</f>
        <v/>
      </c>
      <c r="I54" s="42" t="str">
        <f aca="false">IF($B54="","",IF(I$5&lt;=Projects!$C$2,IF(OR(IF($D54="",FALSE(),AND(I$5&gt;=DATE(YEAR($D54),MONTH($D54),1),I$5&lt;=$E54)),N('WIP Log'!G54)&lt;&gt;0),N('WIP Log'!G54),""),IF(IF($D54="",FALSE(),AND(I$5&gt;=DATE(YEAR($D54),MONTH($D54),1),I$5&lt;=$E54)),'Phased Budget'!K54,"")))</f>
        <v/>
      </c>
      <c r="J54" s="42" t="str">
        <f aca="false">IF($B54="","",IF(J$5&lt;=Projects!$C$2,IF(OR(IF($D54="",FALSE(),AND(J$5&gt;=DATE(YEAR($D54),MONTH($D54),1),J$5&lt;=$E54)),N('WIP Log'!H54)&lt;&gt;0),N('WIP Log'!H54),""),IF(IF($D54="",FALSE(),AND(J$5&gt;=DATE(YEAR($D54),MONTH($D54),1),J$5&lt;=$E54)),'Phased Budget'!L54,"")))</f>
        <v/>
      </c>
      <c r="K54" s="42" t="str">
        <f aca="false">IF($B54="","",IF(K$5&lt;=Projects!$C$2,IF(OR(IF($D54="",FALSE(),AND(K$5&gt;=DATE(YEAR($D54),MONTH($D54),1),K$5&lt;=$E54)),N('WIP Log'!I54)&lt;&gt;0),N('WIP Log'!I54),""),IF(IF($D54="",FALSE(),AND(K$5&gt;=DATE(YEAR($D54),MONTH($D54),1),K$5&lt;=$E54)),'Phased Budget'!M54,"")))</f>
        <v/>
      </c>
      <c r="L54" s="42" t="str">
        <f aca="false">IF($B54="","",IF(L$5&lt;=Projects!$C$2,IF(OR(IF($D54="",FALSE(),AND(L$5&gt;=DATE(YEAR($D54),MONTH($D54),1),L$5&lt;=$E54)),N('WIP Log'!J54)&lt;&gt;0),N('WIP Log'!J54),""),IF(IF($D54="",FALSE(),AND(L$5&gt;=DATE(YEAR($D54),MONTH($D54),1),L$5&lt;=$E54)),'Phased Budget'!N54,"")))</f>
        <v/>
      </c>
      <c r="M54" s="42" t="str">
        <f aca="false">IF($B54="","",IF(M$5&lt;=Projects!$C$2,IF(OR(IF($D54="",FALSE(),AND(M$5&gt;=DATE(YEAR($D54),MONTH($D54),1),M$5&lt;=$E54)),N('WIP Log'!K54)&lt;&gt;0),N('WIP Log'!K54),""),IF(IF($D54="",FALSE(),AND(M$5&gt;=DATE(YEAR($D54),MONTH($D54),1),M$5&lt;=$E54)),'Phased Budget'!O54,"")))</f>
        <v/>
      </c>
      <c r="N54" s="42" t="str">
        <f aca="false">IF($B54="","",IF(N$5&lt;=Projects!$C$2,IF(OR(IF($D54="",FALSE(),AND(N$5&gt;=DATE(YEAR($D54),MONTH($D54),1),N$5&lt;=$E54)),N('WIP Log'!L54)&lt;&gt;0),N('WIP Log'!L54),""),IF(IF($D54="",FALSE(),AND(N$5&gt;=DATE(YEAR($D54),MONTH($D54),1),N$5&lt;=$E54)),'Phased Budget'!P54,"")))</f>
        <v/>
      </c>
      <c r="O54" s="42" t="str">
        <f aca="false">IF($B54="","",IF(O$5&lt;=Projects!$C$2,IF(OR(IF($D54="",FALSE(),AND(O$5&gt;=DATE(YEAR($D54),MONTH($D54),1),O$5&lt;=$E54)),N('WIP Log'!M54)&lt;&gt;0),N('WIP Log'!M54),""),IF(IF($D54="",FALSE(),AND(O$5&gt;=DATE(YEAR($D54),MONTH($D54),1),O$5&lt;=$E54)),'Phased Budget'!Q54,"")))</f>
        <v/>
      </c>
      <c r="P54" s="42" t="str">
        <f aca="false">IF($B54="","",IF(P$5&lt;=Projects!$C$2,IF(OR(IF($D54="",FALSE(),AND(P$5&gt;=DATE(YEAR($D54),MONTH($D54),1),P$5&lt;=$E54)),N('WIP Log'!N54)&lt;&gt;0),N('WIP Log'!N54),""),IF(IF($D54="",FALSE(),AND(P$5&gt;=DATE(YEAR($D54),MONTH($D54),1),P$5&lt;=$E54)),'Phased Budget'!R54,"")))</f>
        <v/>
      </c>
      <c r="Q54" s="42" t="str">
        <f aca="false">IF($B54="","",IF(Q$5&lt;=Projects!$C$2,IF(OR(IF($D54="",FALSE(),AND(Q$5&gt;=DATE(YEAR($D54),MONTH($D54),1),Q$5&lt;=$E54)),N('WIP Log'!O54)&lt;&gt;0),N('WIP Log'!O54),""),IF(IF($D54="",FALSE(),AND(Q$5&gt;=DATE(YEAR($D54),MONTH($D54),1),Q$5&lt;=$E54)),'Phased Budget'!S54,"")))</f>
        <v/>
      </c>
      <c r="R54" s="42" t="str">
        <f aca="false">IF($B54="","",IF(R$5&lt;=Projects!$C$2,IF(OR(IF($D54="",FALSE(),AND(R$5&gt;=DATE(YEAR($D54),MONTH($D54),1),R$5&lt;=$E54)),N('WIP Log'!P54)&lt;&gt;0),N('WIP Log'!P54),""),IF(IF($D54="",FALSE(),AND(R$5&gt;=DATE(YEAR($D54),MONTH($D54),1),R$5&lt;=$E54)),'Phased Budget'!T54,"")))</f>
        <v/>
      </c>
      <c r="S54" s="42" t="str">
        <f aca="false">IF($B54="","",IF(S$5&lt;=Projects!$C$2,IF(OR(IF($D54="",FALSE(),AND(S$5&gt;=DATE(YEAR($D54),MONTH($D54),1),S$5&lt;=$E54)),N('WIP Log'!Q54)&lt;&gt;0),N('WIP Log'!Q54),""),IF(IF($D54="",FALSE(),AND(S$5&gt;=DATE(YEAR($D54),MONTH($D54),1),S$5&lt;=$E54)),'Phased Budget'!U54,"")))</f>
        <v/>
      </c>
      <c r="T54" s="42" t="str">
        <f aca="false">IF($B54="","",IF(T$5&lt;=Projects!$C$2,IF(OR(IF($D54="",FALSE(),AND(T$5&gt;=DATE(YEAR($D54),MONTH($D54),1),T$5&lt;=$E54)),N('WIP Log'!R54)&lt;&gt;0),N('WIP Log'!R54),""),IF(IF($D54="",FALSE(),AND(T$5&gt;=DATE(YEAR($D54),MONTH($D54),1),T$5&lt;=$E54)),'Phased Budget'!V54,"")))</f>
        <v/>
      </c>
      <c r="U54" s="42" t="str">
        <f aca="false">IF($B54="","",IF(U$5&lt;=Projects!$C$2,IF(OR(IF($D54="",FALSE(),AND(U$5&gt;=DATE(YEAR($D54),MONTH($D54),1),U$5&lt;=$E54)),N('WIP Log'!S54)&lt;&gt;0),N('WIP Log'!S54),""),IF(IF($D54="",FALSE(),AND(U$5&gt;=DATE(YEAR($D54),MONTH($D54),1),U$5&lt;=$E54)),'Phased Budget'!W54,"")))</f>
        <v/>
      </c>
      <c r="V54" s="42" t="str">
        <f aca="false">IF($B54="","",IF(V$5&lt;=Projects!$C$2,IF(OR(IF($D54="",FALSE(),AND(V$5&gt;=DATE(YEAR($D54),MONTH($D54),1),V$5&lt;=$E54)),N('WIP Log'!T54)&lt;&gt;0),N('WIP Log'!T54),""),IF(IF($D54="",FALSE(),AND(V$5&gt;=DATE(YEAR($D54),MONTH($D54),1),V$5&lt;=$E54)),'Phased Budget'!X54,"")))</f>
        <v/>
      </c>
      <c r="W54" s="42" t="str">
        <f aca="false">IF($B54="","",IF(W$5&lt;=Projects!$C$2,IF(OR(IF($D54="",FALSE(),AND(W$5&gt;=DATE(YEAR($D54),MONTH($D54),1),W$5&lt;=$E54)),N('WIP Log'!U54)&lt;&gt;0),N('WIP Log'!U54),""),IF(IF($D54="",FALSE(),AND(W$5&gt;=DATE(YEAR($D54),MONTH($D54),1),W$5&lt;=$E54)),'Phased Budget'!Y54,"")))</f>
        <v/>
      </c>
      <c r="X54" s="42" t="str">
        <f aca="false">IF($B54="","",IF(X$5&lt;=Projects!$C$2,IF(OR(IF($D54="",FALSE(),AND(X$5&gt;=DATE(YEAR($D54),MONTH($D54),1),X$5&lt;=$E54)),N('WIP Log'!V54)&lt;&gt;0),N('WIP Log'!V54),""),IF(IF($D54="",FALSE(),AND(X$5&gt;=DATE(YEAR($D54),MONTH($D54),1),X$5&lt;=$E54)),'Phased Budget'!Z54,"")))</f>
        <v/>
      </c>
      <c r="Y54" s="42" t="str">
        <f aca="false">IF($B54="","",IF(Y$5&lt;=Projects!$C$2,IF(OR(IF($D54="",FALSE(),AND(Y$5&gt;=DATE(YEAR($D54),MONTH($D54),1),Y$5&lt;=$E54)),N('WIP Log'!W54)&lt;&gt;0),N('WIP Log'!W54),""),IF(IF($D54="",FALSE(),AND(Y$5&gt;=DATE(YEAR($D54),MONTH($D54),1),Y$5&lt;=$E54)),'Phased Budget'!AA54,"")))</f>
        <v/>
      </c>
      <c r="Z54" s="42" t="str">
        <f aca="false">IF($B54="","",IF(Z$5&lt;=Projects!$C$2,IF(OR(IF($D54="",FALSE(),AND(Z$5&gt;=DATE(YEAR($D54),MONTH($D54),1),Z$5&lt;=$E54)),N('WIP Log'!X54)&lt;&gt;0),N('WIP Log'!X54),""),IF(IF($D54="",FALSE(),AND(Z$5&gt;=DATE(YEAR($D54),MONTH($D54),1),Z$5&lt;=$E54)),'Phased Budget'!AB54,"")))</f>
        <v/>
      </c>
      <c r="AA54" s="42" t="str">
        <f aca="false">IF($B54="","",IF(AA$5&lt;=Projects!$C$2,IF(OR(IF($D54="",FALSE(),AND(AA$5&gt;=DATE(YEAR($D54),MONTH($D54),1),AA$5&lt;=$E54)),N('WIP Log'!Y54)&lt;&gt;0),N('WIP Log'!Y54),""),IF(IF($D54="",FALSE(),AND(AA$5&gt;=DATE(YEAR($D54),MONTH($D54),1),AA$5&lt;=$E54)),'Phased Budget'!AC54,"")))</f>
        <v/>
      </c>
      <c r="AB54" s="42" t="str">
        <f aca="false">IF($B54="","",IF(AB$5&lt;=Projects!$C$2,IF(OR(IF($D54="",FALSE(),AND(AB$5&gt;=DATE(YEAR($D54),MONTH($D54),1),AB$5&lt;=$E54)),N('WIP Log'!Z54)&lt;&gt;0),N('WIP Log'!Z54),""),IF(IF($D54="",FALSE(),AND(AB$5&gt;=DATE(YEAR($D54),MONTH($D54),1),AB$5&lt;=$E54)),'Phased Budget'!AD54,"")))</f>
        <v/>
      </c>
      <c r="AC54" s="42" t="str">
        <f aca="false">IF($B54="","",IF(AC$5&lt;=Projects!$C$2,IF(OR(IF($D54="",FALSE(),AND(AC$5&gt;=DATE(YEAR($D54),MONTH($D54),1),AC$5&lt;=$E54)),N('WIP Log'!AA54)&lt;&gt;0),N('WIP Log'!AA54),""),IF(IF($D54="",FALSE(),AND(AC$5&gt;=DATE(YEAR($D54),MONTH($D54),1),AC$5&lt;=$E54)),'Phased Budget'!AE54,"")))</f>
        <v/>
      </c>
      <c r="AD54" s="42" t="str">
        <f aca="false">IF($B54="","",IF(AD$5&lt;=Projects!$C$2,IF(OR(IF($D54="",FALSE(),AND(AD$5&gt;=DATE(YEAR($D54),MONTH($D54),1),AD$5&lt;=$E54)),N('WIP Log'!AB54)&lt;&gt;0),N('WIP Log'!AB54),""),IF(IF($D54="",FALSE(),AND(AD$5&gt;=DATE(YEAR($D54),MONTH($D54),1),AD$5&lt;=$E54)),'Phased Budget'!AF54,"")))</f>
        <v/>
      </c>
      <c r="AE54" s="42" t="str">
        <f aca="false">IF($B54="","",IF(AE$5&lt;=Projects!$C$2,IF(OR(IF($D54="",FALSE(),AND(AE$5&gt;=DATE(YEAR($D54),MONTH($D54),1),AE$5&lt;=$E54)),N('WIP Log'!AC54)&lt;&gt;0),N('WIP Log'!AC54),""),IF(IF($D54="",FALSE(),AND(AE$5&gt;=DATE(YEAR($D54),MONTH($D54),1),AE$5&lt;=$E54)),'Phased Budget'!AG54,"")))</f>
        <v/>
      </c>
      <c r="AF54" s="42" t="str">
        <f aca="false">IF($B54="","",IF(AF$5&lt;=Projects!$C$2,IF(OR(IF($D54="",FALSE(),AND(AF$5&gt;=DATE(YEAR($D54),MONTH($D54),1),AF$5&lt;=$E54)),N('WIP Log'!AD54)&lt;&gt;0),N('WIP Log'!AD54),""),IF(IF($D54="",FALSE(),AND(AF$5&gt;=DATE(YEAR($D54),MONTH($D54),1),AF$5&lt;=$E54)),'Phased Budget'!AH54,"")))</f>
        <v/>
      </c>
      <c r="AG54" s="42" t="str">
        <f aca="false">IF($B54="","",IF(AG$5&lt;=Projects!$C$2,IF(OR(IF($D54="",FALSE(),AND(AG$5&gt;=DATE(YEAR($D54),MONTH($D54),1),AG$5&lt;=$E54)),N('WIP Log'!AE54)&lt;&gt;0),N('WIP Log'!AE54),""),IF(IF($D54="",FALSE(),AND(AG$5&gt;=DATE(YEAR($D54),MONTH($D54),1),AG$5&lt;=$E54)),'Phased Budget'!AI54,"")))</f>
        <v/>
      </c>
      <c r="AH54" s="42" t="str">
        <f aca="false">IF($B54="","",IF(AH$5&lt;=Projects!$C$2,IF(OR(IF($D54="",FALSE(),AND(AH$5&gt;=DATE(YEAR($D54),MONTH($D54),1),AH$5&lt;=$E54)),N('WIP Log'!AF54)&lt;&gt;0),N('WIP Log'!AF54),""),IF(IF($D54="",FALSE(),AND(AH$5&gt;=DATE(YEAR($D54),MONTH($D54),1),AH$5&lt;=$E54)),'Phased Budget'!AJ54,"")))</f>
        <v/>
      </c>
      <c r="AI54" s="42" t="str">
        <f aca="false">IF($B54="","",IF(AI$5&lt;=Projects!$C$2,IF(OR(IF($D54="",FALSE(),AND(AI$5&gt;=DATE(YEAR($D54),MONTH($D54),1),AI$5&lt;=$E54)),N('WIP Log'!AG54)&lt;&gt;0),N('WIP Log'!AG54),""),IF(IF($D54="",FALSE(),AND(AI$5&gt;=DATE(YEAR($D54),MONTH($D54),1),AI$5&lt;=$E54)),'Phased Budget'!AK54,"")))</f>
        <v/>
      </c>
      <c r="AJ54" s="42" t="str">
        <f aca="false">IF($B54="","",IF(AJ$5&lt;=Projects!$C$2,IF(OR(IF($D54="",FALSE(),AND(AJ$5&gt;=DATE(YEAR($D54),MONTH($D54),1),AJ$5&lt;=$E54)),N('WIP Log'!AH54)&lt;&gt;0),N('WIP Log'!AH54),""),IF(IF($D54="",FALSE(),AND(AJ$5&gt;=DATE(YEAR($D54),MONTH($D54),1),AJ$5&lt;=$E54)),'Phased Budget'!AL54,"")))</f>
        <v/>
      </c>
      <c r="AK54" s="42" t="str">
        <f aca="false">IF($B54="","",IF(AK$5&lt;=Projects!$C$2,IF(OR(IF($D54="",FALSE(),AND(AK$5&gt;=DATE(YEAR($D54),MONTH($D54),1),AK$5&lt;=$E54)),N('WIP Log'!AI54)&lt;&gt;0),N('WIP Log'!AI54),""),IF(IF($D54="",FALSE(),AND(AK$5&gt;=DATE(YEAR($D54),MONTH($D54),1),AK$5&lt;=$E54)),'Phased Budget'!AM54,"")))</f>
        <v/>
      </c>
      <c r="AL54" s="42" t="str">
        <f aca="false">IF($B54="","",IF(AL$5&lt;=Projects!$C$2,IF(OR(IF($D54="",FALSE(),AND(AL$5&gt;=DATE(YEAR($D54),MONTH($D54),1),AL$5&lt;=$E54)),N('WIP Log'!AJ54)&lt;&gt;0),N('WIP Log'!AJ54),""),IF(IF($D54="",FALSE(),AND(AL$5&gt;=DATE(YEAR($D54),MONTH($D54),1),AL$5&lt;=$E54)),'Phased Budget'!AN54,"")))</f>
        <v/>
      </c>
      <c r="AM54" s="42" t="str">
        <f aca="false">IF($B54="","",IF(AM$5&lt;=Projects!$C$2,IF(OR(IF($D54="",FALSE(),AND(AM$5&gt;=DATE(YEAR($D54),MONTH($D54),1),AM$5&lt;=$E54)),N('WIP Log'!AK54)&lt;&gt;0),N('WIP Log'!AK54),""),IF(IF($D54="",FALSE(),AND(AM$5&gt;=DATE(YEAR($D54),MONTH($D54),1),AM$5&lt;=$E54)),'Phased Budget'!AO54,"")))</f>
        <v/>
      </c>
      <c r="AN54" s="42" t="str">
        <f aca="false">IF($B54="","",IF(AN$5&lt;=Projects!$C$2,IF(OR(IF($D54="",FALSE(),AND(AN$5&gt;=DATE(YEAR($D54),MONTH($D54),1),AN$5&lt;=$E54)),N('WIP Log'!AL54)&lt;&gt;0),N('WIP Log'!AL54),""),IF(IF($D54="",FALSE(),AND(AN$5&gt;=DATE(YEAR($D54),MONTH($D54),1),AN$5&lt;=$E54)),'Phased Budget'!AP54,"")))</f>
        <v/>
      </c>
      <c r="AO54" s="42" t="str">
        <f aca="false">IF($B54="","",IF(AO$5&lt;=Projects!$C$2,IF(OR(IF($D54="",FALSE(),AND(AO$5&gt;=DATE(YEAR($D54),MONTH($D54),1),AO$5&lt;=$E54)),N('WIP Log'!AM54)&lt;&gt;0),N('WIP Log'!AM54),""),IF(IF($D54="",FALSE(),AND(AO$5&gt;=DATE(YEAR($D54),MONTH($D54),1),AO$5&lt;=$E54)),'Phased Budget'!AQ54,"")))</f>
        <v/>
      </c>
    </row>
    <row r="55" customFormat="false" ht="15" hidden="false" customHeight="false" outlineLevel="0" collapsed="false">
      <c r="A55" s="20" t="n">
        <v>50</v>
      </c>
      <c r="B55" s="40" t="str">
        <f aca="false">IF(Projects!B55="","",Projects!B55)</f>
        <v/>
      </c>
      <c r="C55" s="40" t="str">
        <f aca="false">IF(Projects!C55="","",Projects!C55)</f>
        <v/>
      </c>
      <c r="D55" s="41" t="str">
        <f aca="false">IF(Projects!D55="","",Projects!D55)</f>
        <v/>
      </c>
      <c r="E55" s="41" t="str">
        <f aca="false">IF(Projects!F55="","",Projects!F55)</f>
        <v/>
      </c>
      <c r="F55" s="42" t="str">
        <f aca="false">IF($B55="","",IF(F$5&lt;=Projects!$C$2,IF(OR(IF($D55="",FALSE(),AND(F$5&gt;=DATE(YEAR($D55),MONTH($D55),1),F$5&lt;=$E55)),N('WIP Log'!D55)&lt;&gt;0),N('WIP Log'!D55),""),IF(IF($D55="",FALSE(),AND(F$5&gt;=DATE(YEAR($D55),MONTH($D55),1),F$5&lt;=$E55)),'Phased Budget'!H55,"")))</f>
        <v/>
      </c>
      <c r="G55" s="42" t="str">
        <f aca="false">IF($B55="","",IF(G$5&lt;=Projects!$C$2,IF(OR(IF($D55="",FALSE(),AND(G$5&gt;=DATE(YEAR($D55),MONTH($D55),1),G$5&lt;=$E55)),N('WIP Log'!E55)&lt;&gt;0),N('WIP Log'!E55),""),IF(IF($D55="",FALSE(),AND(G$5&gt;=DATE(YEAR($D55),MONTH($D55),1),G$5&lt;=$E55)),'Phased Budget'!I55,"")))</f>
        <v/>
      </c>
      <c r="H55" s="42" t="str">
        <f aca="false">IF($B55="","",IF(H$5&lt;=Projects!$C$2,IF(OR(IF($D55="",FALSE(),AND(H$5&gt;=DATE(YEAR($D55),MONTH($D55),1),H$5&lt;=$E55)),N('WIP Log'!F55)&lt;&gt;0),N('WIP Log'!F55),""),IF(IF($D55="",FALSE(),AND(H$5&gt;=DATE(YEAR($D55),MONTH($D55),1),H$5&lt;=$E55)),'Phased Budget'!J55,"")))</f>
        <v/>
      </c>
      <c r="I55" s="42" t="str">
        <f aca="false">IF($B55="","",IF(I$5&lt;=Projects!$C$2,IF(OR(IF($D55="",FALSE(),AND(I$5&gt;=DATE(YEAR($D55),MONTH($D55),1),I$5&lt;=$E55)),N('WIP Log'!G55)&lt;&gt;0),N('WIP Log'!G55),""),IF(IF($D55="",FALSE(),AND(I$5&gt;=DATE(YEAR($D55),MONTH($D55),1),I$5&lt;=$E55)),'Phased Budget'!K55,"")))</f>
        <v/>
      </c>
      <c r="J55" s="42" t="str">
        <f aca="false">IF($B55="","",IF(J$5&lt;=Projects!$C$2,IF(OR(IF($D55="",FALSE(),AND(J$5&gt;=DATE(YEAR($D55),MONTH($D55),1),J$5&lt;=$E55)),N('WIP Log'!H55)&lt;&gt;0),N('WIP Log'!H55),""),IF(IF($D55="",FALSE(),AND(J$5&gt;=DATE(YEAR($D55),MONTH($D55),1),J$5&lt;=$E55)),'Phased Budget'!L55,"")))</f>
        <v/>
      </c>
      <c r="K55" s="42" t="str">
        <f aca="false">IF($B55="","",IF(K$5&lt;=Projects!$C$2,IF(OR(IF($D55="",FALSE(),AND(K$5&gt;=DATE(YEAR($D55),MONTH($D55),1),K$5&lt;=$E55)),N('WIP Log'!I55)&lt;&gt;0),N('WIP Log'!I55),""),IF(IF($D55="",FALSE(),AND(K$5&gt;=DATE(YEAR($D55),MONTH($D55),1),K$5&lt;=$E55)),'Phased Budget'!M55,"")))</f>
        <v/>
      </c>
      <c r="L55" s="42" t="str">
        <f aca="false">IF($B55="","",IF(L$5&lt;=Projects!$C$2,IF(OR(IF($D55="",FALSE(),AND(L$5&gt;=DATE(YEAR($D55),MONTH($D55),1),L$5&lt;=$E55)),N('WIP Log'!J55)&lt;&gt;0),N('WIP Log'!J55),""),IF(IF($D55="",FALSE(),AND(L$5&gt;=DATE(YEAR($D55),MONTH($D55),1),L$5&lt;=$E55)),'Phased Budget'!N55,"")))</f>
        <v/>
      </c>
      <c r="M55" s="42" t="str">
        <f aca="false">IF($B55="","",IF(M$5&lt;=Projects!$C$2,IF(OR(IF($D55="",FALSE(),AND(M$5&gt;=DATE(YEAR($D55),MONTH($D55),1),M$5&lt;=$E55)),N('WIP Log'!K55)&lt;&gt;0),N('WIP Log'!K55),""),IF(IF($D55="",FALSE(),AND(M$5&gt;=DATE(YEAR($D55),MONTH($D55),1),M$5&lt;=$E55)),'Phased Budget'!O55,"")))</f>
        <v/>
      </c>
      <c r="N55" s="42" t="str">
        <f aca="false">IF($B55="","",IF(N$5&lt;=Projects!$C$2,IF(OR(IF($D55="",FALSE(),AND(N$5&gt;=DATE(YEAR($D55),MONTH($D55),1),N$5&lt;=$E55)),N('WIP Log'!L55)&lt;&gt;0),N('WIP Log'!L55),""),IF(IF($D55="",FALSE(),AND(N$5&gt;=DATE(YEAR($D55),MONTH($D55),1),N$5&lt;=$E55)),'Phased Budget'!P55,"")))</f>
        <v/>
      </c>
      <c r="O55" s="42" t="str">
        <f aca="false">IF($B55="","",IF(O$5&lt;=Projects!$C$2,IF(OR(IF($D55="",FALSE(),AND(O$5&gt;=DATE(YEAR($D55),MONTH($D55),1),O$5&lt;=$E55)),N('WIP Log'!M55)&lt;&gt;0),N('WIP Log'!M55),""),IF(IF($D55="",FALSE(),AND(O$5&gt;=DATE(YEAR($D55),MONTH($D55),1),O$5&lt;=$E55)),'Phased Budget'!Q55,"")))</f>
        <v/>
      </c>
      <c r="P55" s="42" t="str">
        <f aca="false">IF($B55="","",IF(P$5&lt;=Projects!$C$2,IF(OR(IF($D55="",FALSE(),AND(P$5&gt;=DATE(YEAR($D55),MONTH($D55),1),P$5&lt;=$E55)),N('WIP Log'!N55)&lt;&gt;0),N('WIP Log'!N55),""),IF(IF($D55="",FALSE(),AND(P$5&gt;=DATE(YEAR($D55),MONTH($D55),1),P$5&lt;=$E55)),'Phased Budget'!R55,"")))</f>
        <v/>
      </c>
      <c r="Q55" s="42" t="str">
        <f aca="false">IF($B55="","",IF(Q$5&lt;=Projects!$C$2,IF(OR(IF($D55="",FALSE(),AND(Q$5&gt;=DATE(YEAR($D55),MONTH($D55),1),Q$5&lt;=$E55)),N('WIP Log'!O55)&lt;&gt;0),N('WIP Log'!O55),""),IF(IF($D55="",FALSE(),AND(Q$5&gt;=DATE(YEAR($D55),MONTH($D55),1),Q$5&lt;=$E55)),'Phased Budget'!S55,"")))</f>
        <v/>
      </c>
      <c r="R55" s="42" t="str">
        <f aca="false">IF($B55="","",IF(R$5&lt;=Projects!$C$2,IF(OR(IF($D55="",FALSE(),AND(R$5&gt;=DATE(YEAR($D55),MONTH($D55),1),R$5&lt;=$E55)),N('WIP Log'!P55)&lt;&gt;0),N('WIP Log'!P55),""),IF(IF($D55="",FALSE(),AND(R$5&gt;=DATE(YEAR($D55),MONTH($D55),1),R$5&lt;=$E55)),'Phased Budget'!T55,"")))</f>
        <v/>
      </c>
      <c r="S55" s="42" t="str">
        <f aca="false">IF($B55="","",IF(S$5&lt;=Projects!$C$2,IF(OR(IF($D55="",FALSE(),AND(S$5&gt;=DATE(YEAR($D55),MONTH($D55),1),S$5&lt;=$E55)),N('WIP Log'!Q55)&lt;&gt;0),N('WIP Log'!Q55),""),IF(IF($D55="",FALSE(),AND(S$5&gt;=DATE(YEAR($D55),MONTH($D55),1),S$5&lt;=$E55)),'Phased Budget'!U55,"")))</f>
        <v/>
      </c>
      <c r="T55" s="42" t="str">
        <f aca="false">IF($B55="","",IF(T$5&lt;=Projects!$C$2,IF(OR(IF($D55="",FALSE(),AND(T$5&gt;=DATE(YEAR($D55),MONTH($D55),1),T$5&lt;=$E55)),N('WIP Log'!R55)&lt;&gt;0),N('WIP Log'!R55),""),IF(IF($D55="",FALSE(),AND(T$5&gt;=DATE(YEAR($D55),MONTH($D55),1),T$5&lt;=$E55)),'Phased Budget'!V55,"")))</f>
        <v/>
      </c>
      <c r="U55" s="42" t="str">
        <f aca="false">IF($B55="","",IF(U$5&lt;=Projects!$C$2,IF(OR(IF($D55="",FALSE(),AND(U$5&gt;=DATE(YEAR($D55),MONTH($D55),1),U$5&lt;=$E55)),N('WIP Log'!S55)&lt;&gt;0),N('WIP Log'!S55),""),IF(IF($D55="",FALSE(),AND(U$5&gt;=DATE(YEAR($D55),MONTH($D55),1),U$5&lt;=$E55)),'Phased Budget'!W55,"")))</f>
        <v/>
      </c>
      <c r="V55" s="42" t="str">
        <f aca="false">IF($B55="","",IF(V$5&lt;=Projects!$C$2,IF(OR(IF($D55="",FALSE(),AND(V$5&gt;=DATE(YEAR($D55),MONTH($D55),1),V$5&lt;=$E55)),N('WIP Log'!T55)&lt;&gt;0),N('WIP Log'!T55),""),IF(IF($D55="",FALSE(),AND(V$5&gt;=DATE(YEAR($D55),MONTH($D55),1),V$5&lt;=$E55)),'Phased Budget'!X55,"")))</f>
        <v/>
      </c>
      <c r="W55" s="42" t="str">
        <f aca="false">IF($B55="","",IF(W$5&lt;=Projects!$C$2,IF(OR(IF($D55="",FALSE(),AND(W$5&gt;=DATE(YEAR($D55),MONTH($D55),1),W$5&lt;=$E55)),N('WIP Log'!U55)&lt;&gt;0),N('WIP Log'!U55),""),IF(IF($D55="",FALSE(),AND(W$5&gt;=DATE(YEAR($D55),MONTH($D55),1),W$5&lt;=$E55)),'Phased Budget'!Y55,"")))</f>
        <v/>
      </c>
      <c r="X55" s="42" t="str">
        <f aca="false">IF($B55="","",IF(X$5&lt;=Projects!$C$2,IF(OR(IF($D55="",FALSE(),AND(X$5&gt;=DATE(YEAR($D55),MONTH($D55),1),X$5&lt;=$E55)),N('WIP Log'!V55)&lt;&gt;0),N('WIP Log'!V55),""),IF(IF($D55="",FALSE(),AND(X$5&gt;=DATE(YEAR($D55),MONTH($D55),1),X$5&lt;=$E55)),'Phased Budget'!Z55,"")))</f>
        <v/>
      </c>
      <c r="Y55" s="42" t="str">
        <f aca="false">IF($B55="","",IF(Y$5&lt;=Projects!$C$2,IF(OR(IF($D55="",FALSE(),AND(Y$5&gt;=DATE(YEAR($D55),MONTH($D55),1),Y$5&lt;=$E55)),N('WIP Log'!W55)&lt;&gt;0),N('WIP Log'!W55),""),IF(IF($D55="",FALSE(),AND(Y$5&gt;=DATE(YEAR($D55),MONTH($D55),1),Y$5&lt;=$E55)),'Phased Budget'!AA55,"")))</f>
        <v/>
      </c>
      <c r="Z55" s="42" t="str">
        <f aca="false">IF($B55="","",IF(Z$5&lt;=Projects!$C$2,IF(OR(IF($D55="",FALSE(),AND(Z$5&gt;=DATE(YEAR($D55),MONTH($D55),1),Z$5&lt;=$E55)),N('WIP Log'!X55)&lt;&gt;0),N('WIP Log'!X55),""),IF(IF($D55="",FALSE(),AND(Z$5&gt;=DATE(YEAR($D55),MONTH($D55),1),Z$5&lt;=$E55)),'Phased Budget'!AB55,"")))</f>
        <v/>
      </c>
      <c r="AA55" s="42" t="str">
        <f aca="false">IF($B55="","",IF(AA$5&lt;=Projects!$C$2,IF(OR(IF($D55="",FALSE(),AND(AA$5&gt;=DATE(YEAR($D55),MONTH($D55),1),AA$5&lt;=$E55)),N('WIP Log'!Y55)&lt;&gt;0),N('WIP Log'!Y55),""),IF(IF($D55="",FALSE(),AND(AA$5&gt;=DATE(YEAR($D55),MONTH($D55),1),AA$5&lt;=$E55)),'Phased Budget'!AC55,"")))</f>
        <v/>
      </c>
      <c r="AB55" s="42" t="str">
        <f aca="false">IF($B55="","",IF(AB$5&lt;=Projects!$C$2,IF(OR(IF($D55="",FALSE(),AND(AB$5&gt;=DATE(YEAR($D55),MONTH($D55),1),AB$5&lt;=$E55)),N('WIP Log'!Z55)&lt;&gt;0),N('WIP Log'!Z55),""),IF(IF($D55="",FALSE(),AND(AB$5&gt;=DATE(YEAR($D55),MONTH($D55),1),AB$5&lt;=$E55)),'Phased Budget'!AD55,"")))</f>
        <v/>
      </c>
      <c r="AC55" s="42" t="str">
        <f aca="false">IF($B55="","",IF(AC$5&lt;=Projects!$C$2,IF(OR(IF($D55="",FALSE(),AND(AC$5&gt;=DATE(YEAR($D55),MONTH($D55),1),AC$5&lt;=$E55)),N('WIP Log'!AA55)&lt;&gt;0),N('WIP Log'!AA55),""),IF(IF($D55="",FALSE(),AND(AC$5&gt;=DATE(YEAR($D55),MONTH($D55),1),AC$5&lt;=$E55)),'Phased Budget'!AE55,"")))</f>
        <v/>
      </c>
      <c r="AD55" s="42" t="str">
        <f aca="false">IF($B55="","",IF(AD$5&lt;=Projects!$C$2,IF(OR(IF($D55="",FALSE(),AND(AD$5&gt;=DATE(YEAR($D55),MONTH($D55),1),AD$5&lt;=$E55)),N('WIP Log'!AB55)&lt;&gt;0),N('WIP Log'!AB55),""),IF(IF($D55="",FALSE(),AND(AD$5&gt;=DATE(YEAR($D55),MONTH($D55),1),AD$5&lt;=$E55)),'Phased Budget'!AF55,"")))</f>
        <v/>
      </c>
      <c r="AE55" s="42" t="str">
        <f aca="false">IF($B55="","",IF(AE$5&lt;=Projects!$C$2,IF(OR(IF($D55="",FALSE(),AND(AE$5&gt;=DATE(YEAR($D55),MONTH($D55),1),AE$5&lt;=$E55)),N('WIP Log'!AC55)&lt;&gt;0),N('WIP Log'!AC55),""),IF(IF($D55="",FALSE(),AND(AE$5&gt;=DATE(YEAR($D55),MONTH($D55),1),AE$5&lt;=$E55)),'Phased Budget'!AG55,"")))</f>
        <v/>
      </c>
      <c r="AF55" s="42" t="str">
        <f aca="false">IF($B55="","",IF(AF$5&lt;=Projects!$C$2,IF(OR(IF($D55="",FALSE(),AND(AF$5&gt;=DATE(YEAR($D55),MONTH($D55),1),AF$5&lt;=$E55)),N('WIP Log'!AD55)&lt;&gt;0),N('WIP Log'!AD55),""),IF(IF($D55="",FALSE(),AND(AF$5&gt;=DATE(YEAR($D55),MONTH($D55),1),AF$5&lt;=$E55)),'Phased Budget'!AH55,"")))</f>
        <v/>
      </c>
      <c r="AG55" s="42" t="str">
        <f aca="false">IF($B55="","",IF(AG$5&lt;=Projects!$C$2,IF(OR(IF($D55="",FALSE(),AND(AG$5&gt;=DATE(YEAR($D55),MONTH($D55),1),AG$5&lt;=$E55)),N('WIP Log'!AE55)&lt;&gt;0),N('WIP Log'!AE55),""),IF(IF($D55="",FALSE(),AND(AG$5&gt;=DATE(YEAR($D55),MONTH($D55),1),AG$5&lt;=$E55)),'Phased Budget'!AI55,"")))</f>
        <v/>
      </c>
      <c r="AH55" s="42" t="str">
        <f aca="false">IF($B55="","",IF(AH$5&lt;=Projects!$C$2,IF(OR(IF($D55="",FALSE(),AND(AH$5&gt;=DATE(YEAR($D55),MONTH($D55),1),AH$5&lt;=$E55)),N('WIP Log'!AF55)&lt;&gt;0),N('WIP Log'!AF55),""),IF(IF($D55="",FALSE(),AND(AH$5&gt;=DATE(YEAR($D55),MONTH($D55),1),AH$5&lt;=$E55)),'Phased Budget'!AJ55,"")))</f>
        <v/>
      </c>
      <c r="AI55" s="42" t="str">
        <f aca="false">IF($B55="","",IF(AI$5&lt;=Projects!$C$2,IF(OR(IF($D55="",FALSE(),AND(AI$5&gt;=DATE(YEAR($D55),MONTH($D55),1),AI$5&lt;=$E55)),N('WIP Log'!AG55)&lt;&gt;0),N('WIP Log'!AG55),""),IF(IF($D55="",FALSE(),AND(AI$5&gt;=DATE(YEAR($D55),MONTH($D55),1),AI$5&lt;=$E55)),'Phased Budget'!AK55,"")))</f>
        <v/>
      </c>
      <c r="AJ55" s="42" t="str">
        <f aca="false">IF($B55="","",IF(AJ$5&lt;=Projects!$C$2,IF(OR(IF($D55="",FALSE(),AND(AJ$5&gt;=DATE(YEAR($D55),MONTH($D55),1),AJ$5&lt;=$E55)),N('WIP Log'!AH55)&lt;&gt;0),N('WIP Log'!AH55),""),IF(IF($D55="",FALSE(),AND(AJ$5&gt;=DATE(YEAR($D55),MONTH($D55),1),AJ$5&lt;=$E55)),'Phased Budget'!AL55,"")))</f>
        <v/>
      </c>
      <c r="AK55" s="42" t="str">
        <f aca="false">IF($B55="","",IF(AK$5&lt;=Projects!$C$2,IF(OR(IF($D55="",FALSE(),AND(AK$5&gt;=DATE(YEAR($D55),MONTH($D55),1),AK$5&lt;=$E55)),N('WIP Log'!AI55)&lt;&gt;0),N('WIP Log'!AI55),""),IF(IF($D55="",FALSE(),AND(AK$5&gt;=DATE(YEAR($D55),MONTH($D55),1),AK$5&lt;=$E55)),'Phased Budget'!AM55,"")))</f>
        <v/>
      </c>
      <c r="AL55" s="42" t="str">
        <f aca="false">IF($B55="","",IF(AL$5&lt;=Projects!$C$2,IF(OR(IF($D55="",FALSE(),AND(AL$5&gt;=DATE(YEAR($D55),MONTH($D55),1),AL$5&lt;=$E55)),N('WIP Log'!AJ55)&lt;&gt;0),N('WIP Log'!AJ55),""),IF(IF($D55="",FALSE(),AND(AL$5&gt;=DATE(YEAR($D55),MONTH($D55),1),AL$5&lt;=$E55)),'Phased Budget'!AN55,"")))</f>
        <v/>
      </c>
      <c r="AM55" s="42" t="str">
        <f aca="false">IF($B55="","",IF(AM$5&lt;=Projects!$C$2,IF(OR(IF($D55="",FALSE(),AND(AM$5&gt;=DATE(YEAR($D55),MONTH($D55),1),AM$5&lt;=$E55)),N('WIP Log'!AK55)&lt;&gt;0),N('WIP Log'!AK55),""),IF(IF($D55="",FALSE(),AND(AM$5&gt;=DATE(YEAR($D55),MONTH($D55),1),AM$5&lt;=$E55)),'Phased Budget'!AO55,"")))</f>
        <v/>
      </c>
      <c r="AN55" s="42" t="str">
        <f aca="false">IF($B55="","",IF(AN$5&lt;=Projects!$C$2,IF(OR(IF($D55="",FALSE(),AND(AN$5&gt;=DATE(YEAR($D55),MONTH($D55),1),AN$5&lt;=$E55)),N('WIP Log'!AL55)&lt;&gt;0),N('WIP Log'!AL55),""),IF(IF($D55="",FALSE(),AND(AN$5&gt;=DATE(YEAR($D55),MONTH($D55),1),AN$5&lt;=$E55)),'Phased Budget'!AP55,"")))</f>
        <v/>
      </c>
      <c r="AO55" s="42" t="str">
        <f aca="false">IF($B55="","",IF(AO$5&lt;=Projects!$C$2,IF(OR(IF($D55="",FALSE(),AND(AO$5&gt;=DATE(YEAR($D55),MONTH($D55),1),AO$5&lt;=$E55)),N('WIP Log'!AM55)&lt;&gt;0),N('WIP Log'!AM55),""),IF(IF($D55="",FALSE(),AND(AO$5&gt;=DATE(YEAR($D55),MONTH($D55),1),AO$5&lt;=$E55)),'Phased Budget'!AQ55,"")))</f>
        <v/>
      </c>
    </row>
  </sheetData>
  <conditionalFormatting sqref="F6:AO55">
    <cfRule type="expression" priority="2" aboveAverage="0" equalAverage="0" bottom="0" percent="0" rank="0" text="" dxfId="13">
      <formula>AND(IF($D6="",0,AND(F$5&gt;=DATE(YEAR($D6),MONTH($D6),1),F$5&lt;=$E6)),F$5&lt;=Projects!$C$2)</formula>
    </cfRule>
    <cfRule type="expression" priority="3" aboveAverage="0" equalAverage="0" bottom="0" percent="0" rank="0" text="" dxfId="14">
      <formula>IF($D6="",0,AND(F$5&gt;=DATE(YEAR($D6),MONTH($D6),1),F$5&lt;=$E6))</formula>
    </cfRule>
  </conditionalFormatting>
  <conditionalFormatting sqref="F5:AO55">
    <cfRule type="expression" priority="4" aboveAverage="0" equalAverage="0" bottom="0" percent="0" rank="0" text="" dxfId="15">
      <formula>AND(YEAR(F$5)=YEAR(Projects!$C$2),MONTH(F$5)=MONTH(Projects!$C$2))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9" style="0" width="8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9" t="s">
        <v>130</v>
      </c>
    </row>
    <row r="5" customFormat="false" ht="43.5" hidden="false" customHeight="true" outlineLevel="0" collapsed="false">
      <c r="A5" s="10" t="s">
        <v>131</v>
      </c>
      <c r="B5" s="10" t="s">
        <v>132</v>
      </c>
      <c r="C5" s="10" t="s">
        <v>133</v>
      </c>
      <c r="D5" s="10" t="s">
        <v>134</v>
      </c>
      <c r="E5" s="10" t="s">
        <v>123</v>
      </c>
      <c r="F5" s="10" t="s">
        <v>135</v>
      </c>
      <c r="G5" s="10" t="s">
        <v>136</v>
      </c>
      <c r="I5" s="4" t="s">
        <v>137</v>
      </c>
    </row>
    <row r="6" customFormat="false" ht="43.5" hidden="false" customHeight="true" outlineLevel="0" collapsed="false">
      <c r="A6" s="43" t="n">
        <f aca="false">'WIP Log'!D5</f>
        <v>46023</v>
      </c>
      <c r="B6" s="44" t="n">
        <f aca="false">YEAR(A6)</f>
        <v>2026</v>
      </c>
      <c r="C6" s="33" t="n">
        <f aca="false">IF(A6&lt;=Projects!$C$2,'WIP Log'!D57,0)</f>
        <v>0</v>
      </c>
      <c r="D6" s="33" t="n">
        <f aca="false">'Phased Budget'!H57</f>
        <v>0</v>
      </c>
      <c r="E6" s="38" t="n">
        <f aca="false">C6+D6</f>
        <v>0</v>
      </c>
      <c r="F6" s="45"/>
      <c r="G6" s="38" t="str">
        <f aca="false">IF(F6="","",E6-F6)</f>
        <v/>
      </c>
      <c r="I6" s="10" t="s">
        <v>132</v>
      </c>
      <c r="J6" s="10" t="s">
        <v>133</v>
      </c>
      <c r="K6" s="10" t="s">
        <v>138</v>
      </c>
      <c r="L6" s="10" t="s">
        <v>139</v>
      </c>
      <c r="M6" s="10" t="s">
        <v>49</v>
      </c>
      <c r="N6" s="10" t="s">
        <v>140</v>
      </c>
    </row>
    <row r="7" customFormat="false" ht="15" hidden="false" customHeight="false" outlineLevel="0" collapsed="false">
      <c r="A7" s="43" t="n">
        <f aca="false">'WIP Log'!E5</f>
        <v>46054</v>
      </c>
      <c r="B7" s="44" t="n">
        <f aca="false">YEAR(A7)</f>
        <v>2026</v>
      </c>
      <c r="C7" s="33" t="n">
        <f aca="false">IF(A7&lt;=Projects!$C$2,'WIP Log'!E57,0)</f>
        <v>0</v>
      </c>
      <c r="D7" s="33" t="n">
        <f aca="false">'Phased Budget'!I57</f>
        <v>0</v>
      </c>
      <c r="E7" s="38" t="n">
        <f aca="false">C7+D7</f>
        <v>0</v>
      </c>
      <c r="F7" s="45"/>
      <c r="G7" s="38" t="str">
        <f aca="false">IF(F7="","",E7-F7)</f>
        <v/>
      </c>
      <c r="I7" s="44" t="n">
        <f aca="false">YEAR(Projects!$C$3)+0</f>
        <v>2026</v>
      </c>
      <c r="J7" s="38" t="n">
        <f aca="false">SUMIFS(C$6:C$41,$B$6:$B$41,$I7)</f>
        <v>1000</v>
      </c>
      <c r="K7" s="38" t="n">
        <f aca="false">SUMIFS(D$6:D$41,$B$6:$B$41,$I7)</f>
        <v>4500</v>
      </c>
      <c r="L7" s="38" t="n">
        <f aca="false">J7+K7</f>
        <v>5500</v>
      </c>
      <c r="M7" s="38" t="n">
        <f aca="false">SUMIFS(F$6:F$41,$B$6:$B$41,$I7)</f>
        <v>0</v>
      </c>
      <c r="N7" s="38" t="n">
        <f aca="false">L7-M7</f>
        <v>5500</v>
      </c>
    </row>
    <row r="8" customFormat="false" ht="15" hidden="false" customHeight="false" outlineLevel="0" collapsed="false">
      <c r="A8" s="43" t="n">
        <f aca="false">'WIP Log'!F5</f>
        <v>46082</v>
      </c>
      <c r="B8" s="44" t="n">
        <f aca="false">YEAR(A8)</f>
        <v>2026</v>
      </c>
      <c r="C8" s="33" t="n">
        <f aca="false">IF(A8&lt;=Projects!$C$2,'WIP Log'!F57,0)</f>
        <v>0</v>
      </c>
      <c r="D8" s="33" t="n">
        <f aca="false">'Phased Budget'!J57</f>
        <v>0</v>
      </c>
      <c r="E8" s="38" t="n">
        <f aca="false">C8+D8</f>
        <v>0</v>
      </c>
      <c r="F8" s="45"/>
      <c r="G8" s="38" t="str">
        <f aca="false">IF(F8="","",E8-F8)</f>
        <v/>
      </c>
      <c r="I8" s="44" t="n">
        <f aca="false">YEAR(Projects!$C$3)+1</f>
        <v>2027</v>
      </c>
      <c r="J8" s="38" t="n">
        <f aca="false">SUMIFS(C$6:C$41,$B$6:$B$41,$I8)</f>
        <v>0</v>
      </c>
      <c r="K8" s="38" t="n">
        <f aca="false">SUMIFS(D$6:D$41,$B$6:$B$41,$I8)</f>
        <v>4500</v>
      </c>
      <c r="L8" s="38" t="n">
        <f aca="false">J8+K8</f>
        <v>4500</v>
      </c>
      <c r="M8" s="38" t="n">
        <f aca="false">SUMIFS(F$6:F$41,$B$6:$B$41,$I8)</f>
        <v>0</v>
      </c>
      <c r="N8" s="38" t="n">
        <f aca="false">L8-M8</f>
        <v>4500</v>
      </c>
    </row>
    <row r="9" customFormat="false" ht="15" hidden="false" customHeight="false" outlineLevel="0" collapsed="false">
      <c r="A9" s="43" t="n">
        <f aca="false">'WIP Log'!G5</f>
        <v>46113</v>
      </c>
      <c r="B9" s="44" t="n">
        <f aca="false">YEAR(A9)</f>
        <v>2026</v>
      </c>
      <c r="C9" s="33" t="n">
        <f aca="false">IF(A9&lt;=Projects!$C$2,'WIP Log'!G57,0)</f>
        <v>0</v>
      </c>
      <c r="D9" s="33" t="n">
        <f aca="false">'Phased Budget'!K57</f>
        <v>0</v>
      </c>
      <c r="E9" s="38" t="n">
        <f aca="false">C9+D9</f>
        <v>0</v>
      </c>
      <c r="F9" s="45"/>
      <c r="G9" s="38" t="str">
        <f aca="false">IF(F9="","",E9-F9)</f>
        <v/>
      </c>
      <c r="I9" s="44" t="n">
        <f aca="false">YEAR(Projects!$C$3)+2</f>
        <v>2028</v>
      </c>
      <c r="J9" s="38" t="n">
        <f aca="false">SUMIFS(C$6:C$41,$B$6:$B$41,$I9)</f>
        <v>0</v>
      </c>
      <c r="K9" s="38" t="n">
        <f aca="false">SUMIFS(D$6:D$41,$B$6:$B$41,$I9)</f>
        <v>0</v>
      </c>
      <c r="L9" s="38" t="n">
        <f aca="false">J9+K9</f>
        <v>0</v>
      </c>
      <c r="M9" s="38" t="n">
        <f aca="false">SUMIFS(F$6:F$41,$B$6:$B$41,$I9)</f>
        <v>0</v>
      </c>
      <c r="N9" s="38" t="n">
        <f aca="false">L9-M9</f>
        <v>0</v>
      </c>
    </row>
    <row r="10" customFormat="false" ht="15" hidden="false" customHeight="false" outlineLevel="0" collapsed="false">
      <c r="A10" s="43" t="n">
        <f aca="false">'WIP Log'!H5</f>
        <v>46143</v>
      </c>
      <c r="B10" s="44" t="n">
        <f aca="false">YEAR(A10)</f>
        <v>2026</v>
      </c>
      <c r="C10" s="33" t="n">
        <f aca="false">IF(A10&lt;=Projects!$C$2,'WIP Log'!H57,0)</f>
        <v>0</v>
      </c>
      <c r="D10" s="33" t="n">
        <f aca="false">'Phased Budget'!L57</f>
        <v>0</v>
      </c>
      <c r="E10" s="38" t="n">
        <f aca="false">C10+D10</f>
        <v>0</v>
      </c>
      <c r="F10" s="45"/>
      <c r="G10" s="38" t="str">
        <f aca="false">IF(F10="","",E10-F10)</f>
        <v/>
      </c>
      <c r="I10" s="4" t="s">
        <v>141</v>
      </c>
      <c r="J10" s="28" t="n">
        <f aca="false">SUM(J7:J9)</f>
        <v>1000</v>
      </c>
      <c r="K10" s="28" t="n">
        <f aca="false">SUM(K7:K9)</f>
        <v>9000</v>
      </c>
      <c r="L10" s="28" t="n">
        <f aca="false">SUM(L7:L9)</f>
        <v>10000</v>
      </c>
      <c r="M10" s="28" t="n">
        <f aca="false">SUM(M7:M9)</f>
        <v>0</v>
      </c>
      <c r="N10" s="28" t="n">
        <f aca="false">SUM(N7:N9)</f>
        <v>10000</v>
      </c>
    </row>
    <row r="11" customFormat="false" ht="15" hidden="false" customHeight="false" outlineLevel="0" collapsed="false">
      <c r="A11" s="43" t="n">
        <f aca="false">'WIP Log'!I5</f>
        <v>46174</v>
      </c>
      <c r="B11" s="44" t="n">
        <f aca="false">YEAR(A11)</f>
        <v>2026</v>
      </c>
      <c r="C11" s="33" t="n">
        <f aca="false">IF(A11&lt;=Projects!$C$2,'WIP Log'!I57,0)</f>
        <v>0</v>
      </c>
      <c r="D11" s="33" t="n">
        <f aca="false">'Phased Budget'!M57</f>
        <v>0</v>
      </c>
      <c r="E11" s="38" t="n">
        <f aca="false">C11+D11</f>
        <v>0</v>
      </c>
      <c r="F11" s="45"/>
      <c r="G11" s="38" t="str">
        <f aca="false">IF(F11="","",E11-F11)</f>
        <v/>
      </c>
    </row>
    <row r="12" customFormat="false" ht="15" hidden="false" customHeight="false" outlineLevel="0" collapsed="false">
      <c r="A12" s="43" t="n">
        <f aca="false">'WIP Log'!J5</f>
        <v>46204</v>
      </c>
      <c r="B12" s="44" t="n">
        <f aca="false">YEAR(A12)</f>
        <v>2026</v>
      </c>
      <c r="C12" s="33" t="n">
        <f aca="false">IF(A12&lt;=Projects!$C$2,'WIP Log'!J57,0)</f>
        <v>0</v>
      </c>
      <c r="D12" s="33" t="n">
        <f aca="false">'Phased Budget'!N57</f>
        <v>0</v>
      </c>
      <c r="E12" s="38" t="n">
        <f aca="false">C12+D12</f>
        <v>0</v>
      </c>
      <c r="F12" s="45"/>
      <c r="G12" s="38" t="str">
        <f aca="false">IF(F12="","",E12-F12)</f>
        <v/>
      </c>
      <c r="I12" s="4" t="s">
        <v>142</v>
      </c>
    </row>
    <row r="13" customFormat="false" ht="15" hidden="false" customHeight="false" outlineLevel="0" collapsed="false">
      <c r="A13" s="43" t="n">
        <f aca="false">'WIP Log'!K5</f>
        <v>46235</v>
      </c>
      <c r="B13" s="44" t="n">
        <f aca="false">YEAR(A13)</f>
        <v>2026</v>
      </c>
      <c r="C13" s="33" t="n">
        <f aca="false">IF(A13&lt;=Projects!$C$2,'WIP Log'!K57,0)</f>
        <v>0</v>
      </c>
      <c r="D13" s="33" t="n">
        <f aca="false">'Phased Budget'!O57</f>
        <v>0</v>
      </c>
      <c r="E13" s="38" t="n">
        <f aca="false">C13+D13</f>
        <v>0</v>
      </c>
      <c r="F13" s="45"/>
      <c r="G13" s="38" t="str">
        <f aca="false">IF(F13="","",E13-F13)</f>
        <v/>
      </c>
      <c r="I13" s="46" t="s">
        <v>143</v>
      </c>
      <c r="J13" s="46"/>
      <c r="K13" s="46"/>
      <c r="L13" s="38" t="n">
        <f aca="false">Projects!G57</f>
        <v>10000</v>
      </c>
    </row>
    <row r="14" customFormat="false" ht="15" hidden="false" customHeight="false" outlineLevel="0" collapsed="false">
      <c r="A14" s="43" t="n">
        <f aca="false">'WIP Log'!L5</f>
        <v>46266</v>
      </c>
      <c r="B14" s="44" t="n">
        <f aca="false">YEAR(A14)</f>
        <v>2026</v>
      </c>
      <c r="C14" s="33" t="n">
        <f aca="false">IF(A14&lt;=Projects!$C$2,'WIP Log'!L57,0)</f>
        <v>0</v>
      </c>
      <c r="D14" s="33" t="n">
        <f aca="false">'Phased Budget'!P57</f>
        <v>0</v>
      </c>
      <c r="E14" s="38" t="n">
        <f aca="false">C14+D14</f>
        <v>0</v>
      </c>
      <c r="F14" s="45"/>
      <c r="G14" s="38" t="str">
        <f aca="false">IF(F14="","",E14-F14)</f>
        <v/>
      </c>
      <c r="I14" s="46" t="s">
        <v>144</v>
      </c>
      <c r="J14" s="46"/>
      <c r="K14" s="46"/>
      <c r="L14" s="38" t="n">
        <f aca="false">Projects!H57</f>
        <v>1000</v>
      </c>
    </row>
    <row r="15" customFormat="false" ht="15" hidden="false" customHeight="false" outlineLevel="0" collapsed="false">
      <c r="A15" s="43" t="n">
        <f aca="false">'WIP Log'!M5</f>
        <v>46296</v>
      </c>
      <c r="B15" s="44" t="n">
        <f aca="false">YEAR(A15)</f>
        <v>2026</v>
      </c>
      <c r="C15" s="33" t="n">
        <f aca="false">IF(A15&lt;=Projects!$C$2,'WIP Log'!M57,0)</f>
        <v>1000</v>
      </c>
      <c r="D15" s="33" t="n">
        <f aca="false">'Phased Budget'!Q57</f>
        <v>0</v>
      </c>
      <c r="E15" s="38" t="n">
        <f aca="false">C15+D15</f>
        <v>1000</v>
      </c>
      <c r="F15" s="45"/>
      <c r="G15" s="38" t="str">
        <f aca="false">IF(F15="","",E15-F15)</f>
        <v/>
      </c>
      <c r="I15" s="46" t="s">
        <v>145</v>
      </c>
      <c r="J15" s="46"/>
      <c r="K15" s="46"/>
      <c r="L15" s="38" t="n">
        <f aca="false">D42</f>
        <v>9000</v>
      </c>
    </row>
    <row r="16" customFormat="false" ht="15" hidden="false" customHeight="false" outlineLevel="0" collapsed="false">
      <c r="A16" s="43" t="n">
        <f aca="false">'WIP Log'!N5</f>
        <v>46327</v>
      </c>
      <c r="B16" s="44" t="n">
        <f aca="false">YEAR(A16)</f>
        <v>2026</v>
      </c>
      <c r="C16" s="33" t="n">
        <f aca="false">IF(A16&lt;=Projects!$C$2,'WIP Log'!N57,0)</f>
        <v>0</v>
      </c>
      <c r="D16" s="33" t="n">
        <f aca="false">'Phased Budget'!R57</f>
        <v>2250</v>
      </c>
      <c r="E16" s="38" t="n">
        <f aca="false">C16+D16</f>
        <v>2250</v>
      </c>
      <c r="F16" s="45"/>
      <c r="G16" s="38" t="str">
        <f aca="false">IF(F16="","",E16-F16)</f>
        <v/>
      </c>
      <c r="I16" s="46" t="s">
        <v>146</v>
      </c>
      <c r="J16" s="46"/>
      <c r="K16" s="46"/>
      <c r="L16" s="38" t="n">
        <f aca="false">L13-L14-L15</f>
        <v>0</v>
      </c>
      <c r="M16" s="47" t="str">
        <f aca="false">IF(ABS(L16)&lt;0.005,"✓ fully phased","Check Projects → Status")</f>
        <v>✓ fully phased</v>
      </c>
    </row>
    <row r="17" customFormat="false" ht="15" hidden="false" customHeight="false" outlineLevel="0" collapsed="false">
      <c r="A17" s="43" t="n">
        <f aca="false">'WIP Log'!O5</f>
        <v>46357</v>
      </c>
      <c r="B17" s="44" t="n">
        <f aca="false">YEAR(A17)</f>
        <v>2026</v>
      </c>
      <c r="C17" s="33" t="n">
        <f aca="false">IF(A17&lt;=Projects!$C$2,'WIP Log'!O57,0)</f>
        <v>0</v>
      </c>
      <c r="D17" s="33" t="n">
        <f aca="false">'Phased Budget'!S57</f>
        <v>2250</v>
      </c>
      <c r="E17" s="38" t="n">
        <f aca="false">C17+D17</f>
        <v>2250</v>
      </c>
      <c r="F17" s="45"/>
      <c r="G17" s="38" t="str">
        <f aca="false">IF(F17="","",E17-F17)</f>
        <v/>
      </c>
    </row>
    <row r="18" customFormat="false" ht="15" hidden="false" customHeight="false" outlineLevel="0" collapsed="false">
      <c r="A18" s="43" t="n">
        <f aca="false">'WIP Log'!P5</f>
        <v>46388</v>
      </c>
      <c r="B18" s="44" t="n">
        <f aca="false">YEAR(A18)</f>
        <v>2027</v>
      </c>
      <c r="C18" s="33" t="n">
        <f aca="false">IF(A18&lt;=Projects!$C$2,'WIP Log'!P57,0)</f>
        <v>0</v>
      </c>
      <c r="D18" s="33" t="n">
        <f aca="false">'Phased Budget'!T57</f>
        <v>2250</v>
      </c>
      <c r="E18" s="38" t="n">
        <f aca="false">C18+D18</f>
        <v>2250</v>
      </c>
      <c r="F18" s="45"/>
      <c r="G18" s="38" t="str">
        <f aca="false">IF(F18="","",E18-F18)</f>
        <v/>
      </c>
    </row>
    <row r="19" customFormat="false" ht="15" hidden="false" customHeight="false" outlineLevel="0" collapsed="false">
      <c r="A19" s="43" t="n">
        <f aca="false">'WIP Log'!Q5</f>
        <v>46419</v>
      </c>
      <c r="B19" s="44" t="n">
        <f aca="false">YEAR(A19)</f>
        <v>2027</v>
      </c>
      <c r="C19" s="33" t="n">
        <f aca="false">IF(A19&lt;=Projects!$C$2,'WIP Log'!Q57,0)</f>
        <v>0</v>
      </c>
      <c r="D19" s="33" t="n">
        <f aca="false">'Phased Budget'!U57</f>
        <v>2250</v>
      </c>
      <c r="E19" s="38" t="n">
        <f aca="false">C19+D19</f>
        <v>2250</v>
      </c>
      <c r="F19" s="45"/>
      <c r="G19" s="38" t="str">
        <f aca="false">IF(F19="","",E19-F19)</f>
        <v/>
      </c>
    </row>
    <row r="20" customFormat="false" ht="15" hidden="false" customHeight="false" outlineLevel="0" collapsed="false">
      <c r="A20" s="43" t="n">
        <f aca="false">'WIP Log'!R5</f>
        <v>46447</v>
      </c>
      <c r="B20" s="44" t="n">
        <f aca="false">YEAR(A20)</f>
        <v>2027</v>
      </c>
      <c r="C20" s="33" t="n">
        <f aca="false">IF(A20&lt;=Projects!$C$2,'WIP Log'!R57,0)</f>
        <v>0</v>
      </c>
      <c r="D20" s="33" t="n">
        <f aca="false">'Phased Budget'!V57</f>
        <v>0</v>
      </c>
      <c r="E20" s="38" t="n">
        <f aca="false">C20+D20</f>
        <v>0</v>
      </c>
      <c r="F20" s="45"/>
      <c r="G20" s="38" t="str">
        <f aca="false">IF(F20="","",E20-F20)</f>
        <v/>
      </c>
    </row>
    <row r="21" customFormat="false" ht="15" hidden="false" customHeight="false" outlineLevel="0" collapsed="false">
      <c r="A21" s="43" t="n">
        <f aca="false">'WIP Log'!S5</f>
        <v>46478</v>
      </c>
      <c r="B21" s="44" t="n">
        <f aca="false">YEAR(A21)</f>
        <v>2027</v>
      </c>
      <c r="C21" s="33" t="n">
        <f aca="false">IF(A21&lt;=Projects!$C$2,'WIP Log'!S57,0)</f>
        <v>0</v>
      </c>
      <c r="D21" s="33" t="n">
        <f aca="false">'Phased Budget'!W57</f>
        <v>0</v>
      </c>
      <c r="E21" s="38" t="n">
        <f aca="false">C21+D21</f>
        <v>0</v>
      </c>
      <c r="F21" s="45"/>
      <c r="G21" s="38" t="str">
        <f aca="false">IF(F21="","",E21-F21)</f>
        <v/>
      </c>
    </row>
    <row r="22" customFormat="false" ht="15" hidden="false" customHeight="false" outlineLevel="0" collapsed="false">
      <c r="A22" s="43" t="n">
        <f aca="false">'WIP Log'!T5</f>
        <v>46508</v>
      </c>
      <c r="B22" s="44" t="n">
        <f aca="false">YEAR(A22)</f>
        <v>2027</v>
      </c>
      <c r="C22" s="33" t="n">
        <f aca="false">IF(A22&lt;=Projects!$C$2,'WIP Log'!T57,0)</f>
        <v>0</v>
      </c>
      <c r="D22" s="33" t="n">
        <f aca="false">'Phased Budget'!X57</f>
        <v>0</v>
      </c>
      <c r="E22" s="38" t="n">
        <f aca="false">C22+D22</f>
        <v>0</v>
      </c>
      <c r="F22" s="45"/>
      <c r="G22" s="38" t="str">
        <f aca="false">IF(F22="","",E22-F22)</f>
        <v/>
      </c>
    </row>
    <row r="23" customFormat="false" ht="15" hidden="false" customHeight="false" outlineLevel="0" collapsed="false">
      <c r="A23" s="43" t="n">
        <f aca="false">'WIP Log'!U5</f>
        <v>46539</v>
      </c>
      <c r="B23" s="44" t="n">
        <f aca="false">YEAR(A23)</f>
        <v>2027</v>
      </c>
      <c r="C23" s="33" t="n">
        <f aca="false">IF(A23&lt;=Projects!$C$2,'WIP Log'!U57,0)</f>
        <v>0</v>
      </c>
      <c r="D23" s="33" t="n">
        <f aca="false">'Phased Budget'!Y57</f>
        <v>0</v>
      </c>
      <c r="E23" s="38" t="n">
        <f aca="false">C23+D23</f>
        <v>0</v>
      </c>
      <c r="F23" s="45"/>
      <c r="G23" s="38" t="str">
        <f aca="false">IF(F23="","",E23-F23)</f>
        <v/>
      </c>
    </row>
    <row r="24" customFormat="false" ht="15" hidden="false" customHeight="false" outlineLevel="0" collapsed="false">
      <c r="A24" s="43" t="n">
        <f aca="false">'WIP Log'!V5</f>
        <v>46569</v>
      </c>
      <c r="B24" s="44" t="n">
        <f aca="false">YEAR(A24)</f>
        <v>2027</v>
      </c>
      <c r="C24" s="33" t="n">
        <f aca="false">IF(A24&lt;=Projects!$C$2,'WIP Log'!V57,0)</f>
        <v>0</v>
      </c>
      <c r="D24" s="33" t="n">
        <f aca="false">'Phased Budget'!Z57</f>
        <v>0</v>
      </c>
      <c r="E24" s="38" t="n">
        <f aca="false">C24+D24</f>
        <v>0</v>
      </c>
      <c r="F24" s="45"/>
      <c r="G24" s="38" t="str">
        <f aca="false">IF(F24="","",E24-F24)</f>
        <v/>
      </c>
    </row>
    <row r="25" customFormat="false" ht="15" hidden="false" customHeight="false" outlineLevel="0" collapsed="false">
      <c r="A25" s="43" t="n">
        <f aca="false">'WIP Log'!W5</f>
        <v>46600</v>
      </c>
      <c r="B25" s="44" t="n">
        <f aca="false">YEAR(A25)</f>
        <v>2027</v>
      </c>
      <c r="C25" s="33" t="n">
        <f aca="false">IF(A25&lt;=Projects!$C$2,'WIP Log'!W57,0)</f>
        <v>0</v>
      </c>
      <c r="D25" s="33" t="n">
        <f aca="false">'Phased Budget'!AA57</f>
        <v>0</v>
      </c>
      <c r="E25" s="38" t="n">
        <f aca="false">C25+D25</f>
        <v>0</v>
      </c>
      <c r="F25" s="45"/>
      <c r="G25" s="38" t="str">
        <f aca="false">IF(F25="","",E25-F25)</f>
        <v/>
      </c>
    </row>
    <row r="26" customFormat="false" ht="15" hidden="false" customHeight="false" outlineLevel="0" collapsed="false">
      <c r="A26" s="43" t="n">
        <f aca="false">'WIP Log'!X5</f>
        <v>46631</v>
      </c>
      <c r="B26" s="44" t="n">
        <f aca="false">YEAR(A26)</f>
        <v>2027</v>
      </c>
      <c r="C26" s="33" t="n">
        <f aca="false">IF(A26&lt;=Projects!$C$2,'WIP Log'!X57,0)</f>
        <v>0</v>
      </c>
      <c r="D26" s="33" t="n">
        <f aca="false">'Phased Budget'!AB57</f>
        <v>0</v>
      </c>
      <c r="E26" s="38" t="n">
        <f aca="false">C26+D26</f>
        <v>0</v>
      </c>
      <c r="F26" s="45"/>
      <c r="G26" s="38" t="str">
        <f aca="false">IF(F26="","",E26-F26)</f>
        <v/>
      </c>
    </row>
    <row r="27" customFormat="false" ht="15" hidden="false" customHeight="false" outlineLevel="0" collapsed="false">
      <c r="A27" s="43" t="n">
        <f aca="false">'WIP Log'!Y5</f>
        <v>46661</v>
      </c>
      <c r="B27" s="44" t="n">
        <f aca="false">YEAR(A27)</f>
        <v>2027</v>
      </c>
      <c r="C27" s="33" t="n">
        <f aca="false">IF(A27&lt;=Projects!$C$2,'WIP Log'!Y57,0)</f>
        <v>0</v>
      </c>
      <c r="D27" s="33" t="n">
        <f aca="false">'Phased Budget'!AC57</f>
        <v>0</v>
      </c>
      <c r="E27" s="38" t="n">
        <f aca="false">C27+D27</f>
        <v>0</v>
      </c>
      <c r="F27" s="45"/>
      <c r="G27" s="38" t="str">
        <f aca="false">IF(F27="","",E27-F27)</f>
        <v/>
      </c>
    </row>
    <row r="28" customFormat="false" ht="15" hidden="false" customHeight="false" outlineLevel="0" collapsed="false">
      <c r="A28" s="43" t="n">
        <f aca="false">'WIP Log'!Z5</f>
        <v>46692</v>
      </c>
      <c r="B28" s="44" t="n">
        <f aca="false">YEAR(A28)</f>
        <v>2027</v>
      </c>
      <c r="C28" s="33" t="n">
        <f aca="false">IF(A28&lt;=Projects!$C$2,'WIP Log'!Z57,0)</f>
        <v>0</v>
      </c>
      <c r="D28" s="33" t="n">
        <f aca="false">'Phased Budget'!AD57</f>
        <v>0</v>
      </c>
      <c r="E28" s="38" t="n">
        <f aca="false">C28+D28</f>
        <v>0</v>
      </c>
      <c r="F28" s="45"/>
      <c r="G28" s="38" t="str">
        <f aca="false">IF(F28="","",E28-F28)</f>
        <v/>
      </c>
    </row>
    <row r="29" customFormat="false" ht="15" hidden="false" customHeight="false" outlineLevel="0" collapsed="false">
      <c r="A29" s="43" t="n">
        <f aca="false">'WIP Log'!AA5</f>
        <v>46722</v>
      </c>
      <c r="B29" s="44" t="n">
        <f aca="false">YEAR(A29)</f>
        <v>2027</v>
      </c>
      <c r="C29" s="33" t="n">
        <f aca="false">IF(A29&lt;=Projects!$C$2,'WIP Log'!AA57,0)</f>
        <v>0</v>
      </c>
      <c r="D29" s="33" t="n">
        <f aca="false">'Phased Budget'!AE57</f>
        <v>0</v>
      </c>
      <c r="E29" s="38" t="n">
        <f aca="false">C29+D29</f>
        <v>0</v>
      </c>
      <c r="F29" s="45"/>
      <c r="G29" s="38" t="str">
        <f aca="false">IF(F29="","",E29-F29)</f>
        <v/>
      </c>
    </row>
    <row r="30" customFormat="false" ht="15" hidden="false" customHeight="false" outlineLevel="0" collapsed="false">
      <c r="A30" s="43" t="n">
        <f aca="false">'WIP Log'!AB5</f>
        <v>46753</v>
      </c>
      <c r="B30" s="44" t="n">
        <f aca="false">YEAR(A30)</f>
        <v>2028</v>
      </c>
      <c r="C30" s="33" t="n">
        <f aca="false">IF(A30&lt;=Projects!$C$2,'WIP Log'!AB57,0)</f>
        <v>0</v>
      </c>
      <c r="D30" s="33" t="n">
        <f aca="false">'Phased Budget'!AF57</f>
        <v>0</v>
      </c>
      <c r="E30" s="38" t="n">
        <f aca="false">C30+D30</f>
        <v>0</v>
      </c>
      <c r="F30" s="45"/>
      <c r="G30" s="38" t="str">
        <f aca="false">IF(F30="","",E30-F30)</f>
        <v/>
      </c>
    </row>
    <row r="31" customFormat="false" ht="15" hidden="false" customHeight="false" outlineLevel="0" collapsed="false">
      <c r="A31" s="43" t="n">
        <f aca="false">'WIP Log'!AC5</f>
        <v>46784</v>
      </c>
      <c r="B31" s="44" t="n">
        <f aca="false">YEAR(A31)</f>
        <v>2028</v>
      </c>
      <c r="C31" s="33" t="n">
        <f aca="false">IF(A31&lt;=Projects!$C$2,'WIP Log'!AC57,0)</f>
        <v>0</v>
      </c>
      <c r="D31" s="33" t="n">
        <f aca="false">'Phased Budget'!AG57</f>
        <v>0</v>
      </c>
      <c r="E31" s="38" t="n">
        <f aca="false">C31+D31</f>
        <v>0</v>
      </c>
      <c r="F31" s="45"/>
      <c r="G31" s="38" t="str">
        <f aca="false">IF(F31="","",E31-F31)</f>
        <v/>
      </c>
    </row>
    <row r="32" customFormat="false" ht="15" hidden="false" customHeight="false" outlineLevel="0" collapsed="false">
      <c r="A32" s="43" t="n">
        <f aca="false">'WIP Log'!AD5</f>
        <v>46813</v>
      </c>
      <c r="B32" s="44" t="n">
        <f aca="false">YEAR(A32)</f>
        <v>2028</v>
      </c>
      <c r="C32" s="33" t="n">
        <f aca="false">IF(A32&lt;=Projects!$C$2,'WIP Log'!AD57,0)</f>
        <v>0</v>
      </c>
      <c r="D32" s="33" t="n">
        <f aca="false">'Phased Budget'!AH57</f>
        <v>0</v>
      </c>
      <c r="E32" s="38" t="n">
        <f aca="false">C32+D32</f>
        <v>0</v>
      </c>
      <c r="F32" s="45"/>
      <c r="G32" s="38" t="str">
        <f aca="false">IF(F32="","",E32-F32)</f>
        <v/>
      </c>
    </row>
    <row r="33" customFormat="false" ht="15" hidden="false" customHeight="false" outlineLevel="0" collapsed="false">
      <c r="A33" s="43" t="n">
        <f aca="false">'WIP Log'!AE5</f>
        <v>46844</v>
      </c>
      <c r="B33" s="44" t="n">
        <f aca="false">YEAR(A33)</f>
        <v>2028</v>
      </c>
      <c r="C33" s="33" t="n">
        <f aca="false">IF(A33&lt;=Projects!$C$2,'WIP Log'!AE57,0)</f>
        <v>0</v>
      </c>
      <c r="D33" s="33" t="n">
        <f aca="false">'Phased Budget'!AI57</f>
        <v>0</v>
      </c>
      <c r="E33" s="38" t="n">
        <f aca="false">C33+D33</f>
        <v>0</v>
      </c>
      <c r="F33" s="45"/>
      <c r="G33" s="38" t="str">
        <f aca="false">IF(F33="","",E33-F33)</f>
        <v/>
      </c>
    </row>
    <row r="34" customFormat="false" ht="15" hidden="false" customHeight="false" outlineLevel="0" collapsed="false">
      <c r="A34" s="43" t="n">
        <f aca="false">'WIP Log'!AF5</f>
        <v>46874</v>
      </c>
      <c r="B34" s="44" t="n">
        <f aca="false">YEAR(A34)</f>
        <v>2028</v>
      </c>
      <c r="C34" s="33" t="n">
        <f aca="false">IF(A34&lt;=Projects!$C$2,'WIP Log'!AF57,0)</f>
        <v>0</v>
      </c>
      <c r="D34" s="33" t="n">
        <f aca="false">'Phased Budget'!AJ57</f>
        <v>0</v>
      </c>
      <c r="E34" s="38" t="n">
        <f aca="false">C34+D34</f>
        <v>0</v>
      </c>
      <c r="F34" s="45"/>
      <c r="G34" s="38" t="str">
        <f aca="false">IF(F34="","",E34-F34)</f>
        <v/>
      </c>
    </row>
    <row r="35" customFormat="false" ht="15" hidden="false" customHeight="false" outlineLevel="0" collapsed="false">
      <c r="A35" s="43" t="n">
        <f aca="false">'WIP Log'!AG5</f>
        <v>46905</v>
      </c>
      <c r="B35" s="44" t="n">
        <f aca="false">YEAR(A35)</f>
        <v>2028</v>
      </c>
      <c r="C35" s="33" t="n">
        <f aca="false">IF(A35&lt;=Projects!$C$2,'WIP Log'!AG57,0)</f>
        <v>0</v>
      </c>
      <c r="D35" s="33" t="n">
        <f aca="false">'Phased Budget'!AK57</f>
        <v>0</v>
      </c>
      <c r="E35" s="38" t="n">
        <f aca="false">C35+D35</f>
        <v>0</v>
      </c>
      <c r="F35" s="45"/>
      <c r="G35" s="38" t="str">
        <f aca="false">IF(F35="","",E35-F35)</f>
        <v/>
      </c>
    </row>
    <row r="36" customFormat="false" ht="15" hidden="false" customHeight="false" outlineLevel="0" collapsed="false">
      <c r="A36" s="43" t="n">
        <f aca="false">'WIP Log'!AH5</f>
        <v>46935</v>
      </c>
      <c r="B36" s="44" t="n">
        <f aca="false">YEAR(A36)</f>
        <v>2028</v>
      </c>
      <c r="C36" s="33" t="n">
        <f aca="false">IF(A36&lt;=Projects!$C$2,'WIP Log'!AH57,0)</f>
        <v>0</v>
      </c>
      <c r="D36" s="33" t="n">
        <f aca="false">'Phased Budget'!AL57</f>
        <v>0</v>
      </c>
      <c r="E36" s="38" t="n">
        <f aca="false">C36+D36</f>
        <v>0</v>
      </c>
      <c r="F36" s="45"/>
      <c r="G36" s="38" t="str">
        <f aca="false">IF(F36="","",E36-F36)</f>
        <v/>
      </c>
    </row>
    <row r="37" customFormat="false" ht="15" hidden="false" customHeight="false" outlineLevel="0" collapsed="false">
      <c r="A37" s="43" t="n">
        <f aca="false">'WIP Log'!AI5</f>
        <v>46966</v>
      </c>
      <c r="B37" s="44" t="n">
        <f aca="false">YEAR(A37)</f>
        <v>2028</v>
      </c>
      <c r="C37" s="33" t="n">
        <f aca="false">IF(A37&lt;=Projects!$C$2,'WIP Log'!AI57,0)</f>
        <v>0</v>
      </c>
      <c r="D37" s="33" t="n">
        <f aca="false">'Phased Budget'!AM57</f>
        <v>0</v>
      </c>
      <c r="E37" s="38" t="n">
        <f aca="false">C37+D37</f>
        <v>0</v>
      </c>
      <c r="F37" s="45"/>
      <c r="G37" s="38" t="str">
        <f aca="false">IF(F37="","",E37-F37)</f>
        <v/>
      </c>
    </row>
    <row r="38" customFormat="false" ht="15" hidden="false" customHeight="false" outlineLevel="0" collapsed="false">
      <c r="A38" s="43" t="n">
        <f aca="false">'WIP Log'!AJ5</f>
        <v>46997</v>
      </c>
      <c r="B38" s="44" t="n">
        <f aca="false">YEAR(A38)</f>
        <v>2028</v>
      </c>
      <c r="C38" s="33" t="n">
        <f aca="false">IF(A38&lt;=Projects!$C$2,'WIP Log'!AJ57,0)</f>
        <v>0</v>
      </c>
      <c r="D38" s="33" t="n">
        <f aca="false">'Phased Budget'!AN57</f>
        <v>0</v>
      </c>
      <c r="E38" s="38" t="n">
        <f aca="false">C38+D38</f>
        <v>0</v>
      </c>
      <c r="F38" s="45"/>
      <c r="G38" s="38" t="str">
        <f aca="false">IF(F38="","",E38-F38)</f>
        <v/>
      </c>
    </row>
    <row r="39" customFormat="false" ht="15" hidden="false" customHeight="false" outlineLevel="0" collapsed="false">
      <c r="A39" s="43" t="n">
        <f aca="false">'WIP Log'!AK5</f>
        <v>47027</v>
      </c>
      <c r="B39" s="44" t="n">
        <f aca="false">YEAR(A39)</f>
        <v>2028</v>
      </c>
      <c r="C39" s="33" t="n">
        <f aca="false">IF(A39&lt;=Projects!$C$2,'WIP Log'!AK57,0)</f>
        <v>0</v>
      </c>
      <c r="D39" s="33" t="n">
        <f aca="false">'Phased Budget'!AO57</f>
        <v>0</v>
      </c>
      <c r="E39" s="38" t="n">
        <f aca="false">C39+D39</f>
        <v>0</v>
      </c>
      <c r="F39" s="45"/>
      <c r="G39" s="38" t="str">
        <f aca="false">IF(F39="","",E39-F39)</f>
        <v/>
      </c>
    </row>
    <row r="40" customFormat="false" ht="15" hidden="false" customHeight="false" outlineLevel="0" collapsed="false">
      <c r="A40" s="43" t="n">
        <f aca="false">'WIP Log'!AL5</f>
        <v>47058</v>
      </c>
      <c r="B40" s="44" t="n">
        <f aca="false">YEAR(A40)</f>
        <v>2028</v>
      </c>
      <c r="C40" s="33" t="n">
        <f aca="false">IF(A40&lt;=Projects!$C$2,'WIP Log'!AL57,0)</f>
        <v>0</v>
      </c>
      <c r="D40" s="33" t="n">
        <f aca="false">'Phased Budget'!AP57</f>
        <v>0</v>
      </c>
      <c r="E40" s="38" t="n">
        <f aca="false">C40+D40</f>
        <v>0</v>
      </c>
      <c r="F40" s="45"/>
      <c r="G40" s="38" t="str">
        <f aca="false">IF(F40="","",E40-F40)</f>
        <v/>
      </c>
    </row>
    <row r="41" customFormat="false" ht="15" hidden="false" customHeight="false" outlineLevel="0" collapsed="false">
      <c r="A41" s="43" t="n">
        <f aca="false">'WIP Log'!AM5</f>
        <v>47088</v>
      </c>
      <c r="B41" s="44" t="n">
        <f aca="false">YEAR(A41)</f>
        <v>2028</v>
      </c>
      <c r="C41" s="33" t="n">
        <f aca="false">IF(A41&lt;=Projects!$C$2,'WIP Log'!AM57,0)</f>
        <v>0</v>
      </c>
      <c r="D41" s="33" t="n">
        <f aca="false">'Phased Budget'!AQ57</f>
        <v>0</v>
      </c>
      <c r="E41" s="38" t="n">
        <f aca="false">C41+D41</f>
        <v>0</v>
      </c>
      <c r="F41" s="45"/>
      <c r="G41" s="38" t="str">
        <f aca="false">IF(F41="","",E41-F41)</f>
        <v/>
      </c>
    </row>
    <row r="42" customFormat="false" ht="15" hidden="false" customHeight="false" outlineLevel="0" collapsed="false">
      <c r="A42" s="4" t="s">
        <v>75</v>
      </c>
      <c r="C42" s="19" t="n">
        <f aca="false">SUM(C6:C41)</f>
        <v>1000</v>
      </c>
      <c r="D42" s="19" t="n">
        <f aca="false">SUM(D6:D41)</f>
        <v>9000</v>
      </c>
      <c r="E42" s="19" t="n">
        <f aca="false">SUM(E6:E41)</f>
        <v>10000</v>
      </c>
      <c r="F42" s="19" t="n">
        <f aca="false">SUM(F6:F41)</f>
        <v>0</v>
      </c>
      <c r="G42" s="19" t="n">
        <f aca="false">SUM(G6:G41)</f>
        <v>0</v>
      </c>
    </row>
  </sheetData>
  <mergeCells count="4">
    <mergeCell ref="I13:K13"/>
    <mergeCell ref="I14:K14"/>
    <mergeCell ref="I15:K15"/>
    <mergeCell ref="I16:K16"/>
  </mergeCells>
  <conditionalFormatting sqref="A6:G41">
    <cfRule type="expression" priority="2" aboveAverage="0" equalAverage="0" bottom="0" percent="0" rank="0" text="" dxfId="16">
      <formula>AND(YEAR($A6)=YEAR(Projects!$C$2),MONTH($A6)=MONTH(Projects!$C$2))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43" min="7" style="0" width="9"/>
  </cols>
  <sheetData>
    <row r="1" customFormat="false" ht="17.35" hidden="false" customHeight="false" outlineLevel="0" collapsed="false">
      <c r="A1" s="1" t="s">
        <v>147</v>
      </c>
    </row>
    <row r="3" customFormat="false" ht="15" hidden="false" customHeight="false" outlineLevel="0" collapsed="false">
      <c r="A3" s="9" t="s">
        <v>148</v>
      </c>
    </row>
    <row r="5" customFormat="false" ht="43.5" hidden="false" customHeight="true" outlineLevel="0" collapsed="false">
      <c r="A5" s="10" t="s">
        <v>59</v>
      </c>
      <c r="B5" s="10" t="s">
        <v>60</v>
      </c>
      <c r="C5" s="10" t="s">
        <v>62</v>
      </c>
      <c r="D5" s="10" t="s">
        <v>81</v>
      </c>
      <c r="E5" s="10" t="s">
        <v>4</v>
      </c>
      <c r="F5" s="10" t="s">
        <v>149</v>
      </c>
      <c r="G5" s="10" t="s">
        <v>150</v>
      </c>
      <c r="H5" s="27" t="n">
        <f aca="false">'WIP Log'!D5</f>
        <v>46023</v>
      </c>
      <c r="I5" s="27" t="n">
        <f aca="false">'WIP Log'!E5</f>
        <v>46054</v>
      </c>
      <c r="J5" s="27" t="n">
        <f aca="false">'WIP Log'!F5</f>
        <v>46082</v>
      </c>
      <c r="K5" s="27" t="n">
        <f aca="false">'WIP Log'!G5</f>
        <v>46113</v>
      </c>
      <c r="L5" s="27" t="n">
        <f aca="false">'WIP Log'!H5</f>
        <v>46143</v>
      </c>
      <c r="M5" s="27" t="n">
        <f aca="false">'WIP Log'!I5</f>
        <v>46174</v>
      </c>
      <c r="N5" s="27" t="n">
        <f aca="false">'WIP Log'!J5</f>
        <v>46204</v>
      </c>
      <c r="O5" s="27" t="n">
        <f aca="false">'WIP Log'!K5</f>
        <v>46235</v>
      </c>
      <c r="P5" s="27" t="n">
        <f aca="false">'WIP Log'!L5</f>
        <v>46266</v>
      </c>
      <c r="Q5" s="27" t="n">
        <f aca="false">'WIP Log'!M5</f>
        <v>46296</v>
      </c>
      <c r="R5" s="27" t="n">
        <f aca="false">'WIP Log'!N5</f>
        <v>46327</v>
      </c>
      <c r="S5" s="27" t="n">
        <f aca="false">'WIP Log'!O5</f>
        <v>46357</v>
      </c>
      <c r="T5" s="27" t="n">
        <f aca="false">'WIP Log'!P5</f>
        <v>46388</v>
      </c>
      <c r="U5" s="27" t="n">
        <f aca="false">'WIP Log'!Q5</f>
        <v>46419</v>
      </c>
      <c r="V5" s="27" t="n">
        <f aca="false">'WIP Log'!R5</f>
        <v>46447</v>
      </c>
      <c r="W5" s="27" t="n">
        <f aca="false">'WIP Log'!S5</f>
        <v>46478</v>
      </c>
      <c r="X5" s="27" t="n">
        <f aca="false">'WIP Log'!T5</f>
        <v>46508</v>
      </c>
      <c r="Y5" s="27" t="n">
        <f aca="false">'WIP Log'!U5</f>
        <v>46539</v>
      </c>
      <c r="Z5" s="27" t="n">
        <f aca="false">'WIP Log'!V5</f>
        <v>46569</v>
      </c>
      <c r="AA5" s="27" t="n">
        <f aca="false">'WIP Log'!W5</f>
        <v>46600</v>
      </c>
      <c r="AB5" s="27" t="n">
        <f aca="false">'WIP Log'!X5</f>
        <v>46631</v>
      </c>
      <c r="AC5" s="27" t="n">
        <f aca="false">'WIP Log'!Y5</f>
        <v>46661</v>
      </c>
      <c r="AD5" s="27" t="n">
        <f aca="false">'WIP Log'!Z5</f>
        <v>46692</v>
      </c>
      <c r="AE5" s="27" t="n">
        <f aca="false">'WIP Log'!AA5</f>
        <v>46722</v>
      </c>
      <c r="AF5" s="27" t="n">
        <f aca="false">'WIP Log'!AB5</f>
        <v>46753</v>
      </c>
      <c r="AG5" s="27" t="n">
        <f aca="false">'WIP Log'!AC5</f>
        <v>46784</v>
      </c>
      <c r="AH5" s="27" t="n">
        <f aca="false">'WIP Log'!AD5</f>
        <v>46813</v>
      </c>
      <c r="AI5" s="27" t="n">
        <f aca="false">'WIP Log'!AE5</f>
        <v>46844</v>
      </c>
      <c r="AJ5" s="27" t="n">
        <f aca="false">'WIP Log'!AF5</f>
        <v>46874</v>
      </c>
      <c r="AK5" s="27" t="n">
        <f aca="false">'WIP Log'!AG5</f>
        <v>46905</v>
      </c>
      <c r="AL5" s="27" t="n">
        <f aca="false">'WIP Log'!AH5</f>
        <v>46935</v>
      </c>
      <c r="AM5" s="27" t="n">
        <f aca="false">'WIP Log'!AI5</f>
        <v>46966</v>
      </c>
      <c r="AN5" s="27" t="n">
        <f aca="false">'WIP Log'!AJ5</f>
        <v>46997</v>
      </c>
      <c r="AO5" s="27" t="n">
        <f aca="false">'WIP Log'!AK5</f>
        <v>47027</v>
      </c>
      <c r="AP5" s="27" t="n">
        <f aca="false">'WIP Log'!AL5</f>
        <v>47058</v>
      </c>
      <c r="AQ5" s="27" t="n">
        <f aca="false">'WIP Log'!AM5</f>
        <v>47088</v>
      </c>
    </row>
    <row r="6" customFormat="false" ht="15" hidden="false" customHeight="false" outlineLevel="0" collapsed="false">
      <c r="A6" s="11" t="n">
        <v>1</v>
      </c>
      <c r="B6" s="21" t="str">
        <f aca="false">IF(Projects!B6="","",Projects!B6)</f>
        <v>Example Project (slide)</v>
      </c>
      <c r="C6" s="31" t="n">
        <f aca="false">IF(Projects!D6="","",Projects!D6)</f>
        <v>46296</v>
      </c>
      <c r="D6" s="21" t="n">
        <f aca="false">IF(Projects!E6="","",Projects!E6)</f>
        <v>5</v>
      </c>
      <c r="E6" s="33" t="n">
        <f aca="false">IF(Projects!B6="",0,N(Projects!I6))</f>
        <v>9000</v>
      </c>
      <c r="F6" s="21" t="n">
        <f aca="false">Phasing!G6</f>
        <v>8</v>
      </c>
      <c r="G6" s="48" t="b">
        <f aca="false">Phasing!D6=0</f>
        <v>0</v>
      </c>
      <c r="H6" s="38" t="n">
        <f aca="false">IF(OR($C6="",$D6="",$F6=0),0,IF(OR(H$5&lt;=Projects!$C$2,((YEAR(H$5)-YEAR($C6))*12+MONTH(H$5)-MONTH($C6)+1)&lt;1,((YEAR(H$5)-YEAR($C6))*12+MONTH(H$5)-MONTH($C6)+1)&gt;$D6),0,$E6*IF($G6,1,N(INDEX(Phasing!$I6:$AF6,((YEAR(H$5)-YEAR($C6))*12+MONTH(H$5)-MONTH($C6)+1))))/$F6))</f>
        <v>0</v>
      </c>
      <c r="I6" s="38" t="n">
        <f aca="false">IF(OR($C6="",$D6="",$F6=0),0,IF(OR(I$5&lt;=Projects!$C$2,((YEAR(I$5)-YEAR($C6))*12+MONTH(I$5)-MONTH($C6)+1)&lt;1,((YEAR(I$5)-YEAR($C6))*12+MONTH(I$5)-MONTH($C6)+1)&gt;$D6),0,$E6*IF($G6,1,N(INDEX(Phasing!$I6:$AF6,((YEAR(I$5)-YEAR($C6))*12+MONTH(I$5)-MONTH($C6)+1))))/$F6))</f>
        <v>0</v>
      </c>
      <c r="J6" s="38" t="n">
        <f aca="false">IF(OR($C6="",$D6="",$F6=0),0,IF(OR(J$5&lt;=Projects!$C$2,((YEAR(J$5)-YEAR($C6))*12+MONTH(J$5)-MONTH($C6)+1)&lt;1,((YEAR(J$5)-YEAR($C6))*12+MONTH(J$5)-MONTH($C6)+1)&gt;$D6),0,$E6*IF($G6,1,N(INDEX(Phasing!$I6:$AF6,((YEAR(J$5)-YEAR($C6))*12+MONTH(J$5)-MONTH($C6)+1))))/$F6))</f>
        <v>0</v>
      </c>
      <c r="K6" s="38" t="n">
        <f aca="false">IF(OR($C6="",$D6="",$F6=0),0,IF(OR(K$5&lt;=Projects!$C$2,((YEAR(K$5)-YEAR($C6))*12+MONTH(K$5)-MONTH($C6)+1)&lt;1,((YEAR(K$5)-YEAR($C6))*12+MONTH(K$5)-MONTH($C6)+1)&gt;$D6),0,$E6*IF($G6,1,N(INDEX(Phasing!$I6:$AF6,((YEAR(K$5)-YEAR($C6))*12+MONTH(K$5)-MONTH($C6)+1))))/$F6))</f>
        <v>0</v>
      </c>
      <c r="L6" s="38" t="n">
        <f aca="false">IF(OR($C6="",$D6="",$F6=0),0,IF(OR(L$5&lt;=Projects!$C$2,((YEAR(L$5)-YEAR($C6))*12+MONTH(L$5)-MONTH($C6)+1)&lt;1,((YEAR(L$5)-YEAR($C6))*12+MONTH(L$5)-MONTH($C6)+1)&gt;$D6),0,$E6*IF($G6,1,N(INDEX(Phasing!$I6:$AF6,((YEAR(L$5)-YEAR($C6))*12+MONTH(L$5)-MONTH($C6)+1))))/$F6))</f>
        <v>0</v>
      </c>
      <c r="M6" s="38" t="n">
        <f aca="false">IF(OR($C6="",$D6="",$F6=0),0,IF(OR(M$5&lt;=Projects!$C$2,((YEAR(M$5)-YEAR($C6))*12+MONTH(M$5)-MONTH($C6)+1)&lt;1,((YEAR(M$5)-YEAR($C6))*12+MONTH(M$5)-MONTH($C6)+1)&gt;$D6),0,$E6*IF($G6,1,N(INDEX(Phasing!$I6:$AF6,((YEAR(M$5)-YEAR($C6))*12+MONTH(M$5)-MONTH($C6)+1))))/$F6))</f>
        <v>0</v>
      </c>
      <c r="N6" s="38" t="n">
        <f aca="false">IF(OR($C6="",$D6="",$F6=0),0,IF(OR(N$5&lt;=Projects!$C$2,((YEAR(N$5)-YEAR($C6))*12+MONTH(N$5)-MONTH($C6)+1)&lt;1,((YEAR(N$5)-YEAR($C6))*12+MONTH(N$5)-MONTH($C6)+1)&gt;$D6),0,$E6*IF($G6,1,N(INDEX(Phasing!$I6:$AF6,((YEAR(N$5)-YEAR($C6))*12+MONTH(N$5)-MONTH($C6)+1))))/$F6))</f>
        <v>0</v>
      </c>
      <c r="O6" s="38" t="n">
        <f aca="false">IF(OR($C6="",$D6="",$F6=0),0,IF(OR(O$5&lt;=Projects!$C$2,((YEAR(O$5)-YEAR($C6))*12+MONTH(O$5)-MONTH($C6)+1)&lt;1,((YEAR(O$5)-YEAR($C6))*12+MONTH(O$5)-MONTH($C6)+1)&gt;$D6),0,$E6*IF($G6,1,N(INDEX(Phasing!$I6:$AF6,((YEAR(O$5)-YEAR($C6))*12+MONTH(O$5)-MONTH($C6)+1))))/$F6))</f>
        <v>0</v>
      </c>
      <c r="P6" s="38" t="n">
        <f aca="false">IF(OR($C6="",$D6="",$F6=0),0,IF(OR(P$5&lt;=Projects!$C$2,((YEAR(P$5)-YEAR($C6))*12+MONTH(P$5)-MONTH($C6)+1)&lt;1,((YEAR(P$5)-YEAR($C6))*12+MONTH(P$5)-MONTH($C6)+1)&gt;$D6),0,$E6*IF($G6,1,N(INDEX(Phasing!$I6:$AF6,((YEAR(P$5)-YEAR($C6))*12+MONTH(P$5)-MONTH($C6)+1))))/$F6))</f>
        <v>0</v>
      </c>
      <c r="Q6" s="38" t="n">
        <f aca="false">IF(OR($C6="",$D6="",$F6=0),0,IF(OR(Q$5&lt;=Projects!$C$2,((YEAR(Q$5)-YEAR($C6))*12+MONTH(Q$5)-MONTH($C6)+1)&lt;1,((YEAR(Q$5)-YEAR($C6))*12+MONTH(Q$5)-MONTH($C6)+1)&gt;$D6),0,$E6*IF($G6,1,N(INDEX(Phasing!$I6:$AF6,((YEAR(Q$5)-YEAR($C6))*12+MONTH(Q$5)-MONTH($C6)+1))))/$F6))</f>
        <v>0</v>
      </c>
      <c r="R6" s="38" t="n">
        <f aca="false">IF(OR($C6="",$D6="",$F6=0),0,IF(OR(R$5&lt;=Projects!$C$2,((YEAR(R$5)-YEAR($C6))*12+MONTH(R$5)-MONTH($C6)+1)&lt;1,((YEAR(R$5)-YEAR($C6))*12+MONTH(R$5)-MONTH($C6)+1)&gt;$D6),0,$E6*IF($G6,1,N(INDEX(Phasing!$I6:$AF6,((YEAR(R$5)-YEAR($C6))*12+MONTH(R$5)-MONTH($C6)+1))))/$F6))</f>
        <v>2250</v>
      </c>
      <c r="S6" s="38" t="n">
        <f aca="false">IF(OR($C6="",$D6="",$F6=0),0,IF(OR(S$5&lt;=Projects!$C$2,((YEAR(S$5)-YEAR($C6))*12+MONTH(S$5)-MONTH($C6)+1)&lt;1,((YEAR(S$5)-YEAR($C6))*12+MONTH(S$5)-MONTH($C6)+1)&gt;$D6),0,$E6*IF($G6,1,N(INDEX(Phasing!$I6:$AF6,((YEAR(S$5)-YEAR($C6))*12+MONTH(S$5)-MONTH($C6)+1))))/$F6))</f>
        <v>2250</v>
      </c>
      <c r="T6" s="38" t="n">
        <f aca="false">IF(OR($C6="",$D6="",$F6=0),0,IF(OR(T$5&lt;=Projects!$C$2,((YEAR(T$5)-YEAR($C6))*12+MONTH(T$5)-MONTH($C6)+1)&lt;1,((YEAR(T$5)-YEAR($C6))*12+MONTH(T$5)-MONTH($C6)+1)&gt;$D6),0,$E6*IF($G6,1,N(INDEX(Phasing!$I6:$AF6,((YEAR(T$5)-YEAR($C6))*12+MONTH(T$5)-MONTH($C6)+1))))/$F6))</f>
        <v>2250</v>
      </c>
      <c r="U6" s="38" t="n">
        <f aca="false">IF(OR($C6="",$D6="",$F6=0),0,IF(OR(U$5&lt;=Projects!$C$2,((YEAR(U$5)-YEAR($C6))*12+MONTH(U$5)-MONTH($C6)+1)&lt;1,((YEAR(U$5)-YEAR($C6))*12+MONTH(U$5)-MONTH($C6)+1)&gt;$D6),0,$E6*IF($G6,1,N(INDEX(Phasing!$I6:$AF6,((YEAR(U$5)-YEAR($C6))*12+MONTH(U$5)-MONTH($C6)+1))))/$F6))</f>
        <v>2250</v>
      </c>
      <c r="V6" s="38" t="n">
        <f aca="false">IF(OR($C6="",$D6="",$F6=0),0,IF(OR(V$5&lt;=Projects!$C$2,((YEAR(V$5)-YEAR($C6))*12+MONTH(V$5)-MONTH($C6)+1)&lt;1,((YEAR(V$5)-YEAR($C6))*12+MONTH(V$5)-MONTH($C6)+1)&gt;$D6),0,$E6*IF($G6,1,N(INDEX(Phasing!$I6:$AF6,((YEAR(V$5)-YEAR($C6))*12+MONTH(V$5)-MONTH($C6)+1))))/$F6))</f>
        <v>0</v>
      </c>
      <c r="W6" s="38" t="n">
        <f aca="false">IF(OR($C6="",$D6="",$F6=0),0,IF(OR(W$5&lt;=Projects!$C$2,((YEAR(W$5)-YEAR($C6))*12+MONTH(W$5)-MONTH($C6)+1)&lt;1,((YEAR(W$5)-YEAR($C6))*12+MONTH(W$5)-MONTH($C6)+1)&gt;$D6),0,$E6*IF($G6,1,N(INDEX(Phasing!$I6:$AF6,((YEAR(W$5)-YEAR($C6))*12+MONTH(W$5)-MONTH($C6)+1))))/$F6))</f>
        <v>0</v>
      </c>
      <c r="X6" s="38" t="n">
        <f aca="false">IF(OR($C6="",$D6="",$F6=0),0,IF(OR(X$5&lt;=Projects!$C$2,((YEAR(X$5)-YEAR($C6))*12+MONTH(X$5)-MONTH($C6)+1)&lt;1,((YEAR(X$5)-YEAR($C6))*12+MONTH(X$5)-MONTH($C6)+1)&gt;$D6),0,$E6*IF($G6,1,N(INDEX(Phasing!$I6:$AF6,((YEAR(X$5)-YEAR($C6))*12+MONTH(X$5)-MONTH($C6)+1))))/$F6))</f>
        <v>0</v>
      </c>
      <c r="Y6" s="38" t="n">
        <f aca="false">IF(OR($C6="",$D6="",$F6=0),0,IF(OR(Y$5&lt;=Projects!$C$2,((YEAR(Y$5)-YEAR($C6))*12+MONTH(Y$5)-MONTH($C6)+1)&lt;1,((YEAR(Y$5)-YEAR($C6))*12+MONTH(Y$5)-MONTH($C6)+1)&gt;$D6),0,$E6*IF($G6,1,N(INDEX(Phasing!$I6:$AF6,((YEAR(Y$5)-YEAR($C6))*12+MONTH(Y$5)-MONTH($C6)+1))))/$F6))</f>
        <v>0</v>
      </c>
      <c r="Z6" s="38" t="n">
        <f aca="false">IF(OR($C6="",$D6="",$F6=0),0,IF(OR(Z$5&lt;=Projects!$C$2,((YEAR(Z$5)-YEAR($C6))*12+MONTH(Z$5)-MONTH($C6)+1)&lt;1,((YEAR(Z$5)-YEAR($C6))*12+MONTH(Z$5)-MONTH($C6)+1)&gt;$D6),0,$E6*IF($G6,1,N(INDEX(Phasing!$I6:$AF6,((YEAR(Z$5)-YEAR($C6))*12+MONTH(Z$5)-MONTH($C6)+1))))/$F6))</f>
        <v>0</v>
      </c>
      <c r="AA6" s="38" t="n">
        <f aca="false">IF(OR($C6="",$D6="",$F6=0),0,IF(OR(AA$5&lt;=Projects!$C$2,((YEAR(AA$5)-YEAR($C6))*12+MONTH(AA$5)-MONTH($C6)+1)&lt;1,((YEAR(AA$5)-YEAR($C6))*12+MONTH(AA$5)-MONTH($C6)+1)&gt;$D6),0,$E6*IF($G6,1,N(INDEX(Phasing!$I6:$AF6,((YEAR(AA$5)-YEAR($C6))*12+MONTH(AA$5)-MONTH($C6)+1))))/$F6))</f>
        <v>0</v>
      </c>
      <c r="AB6" s="38" t="n">
        <f aca="false">IF(OR($C6="",$D6="",$F6=0),0,IF(OR(AB$5&lt;=Projects!$C$2,((YEAR(AB$5)-YEAR($C6))*12+MONTH(AB$5)-MONTH($C6)+1)&lt;1,((YEAR(AB$5)-YEAR($C6))*12+MONTH(AB$5)-MONTH($C6)+1)&gt;$D6),0,$E6*IF($G6,1,N(INDEX(Phasing!$I6:$AF6,((YEAR(AB$5)-YEAR($C6))*12+MONTH(AB$5)-MONTH($C6)+1))))/$F6))</f>
        <v>0</v>
      </c>
      <c r="AC6" s="38" t="n">
        <f aca="false">IF(OR($C6="",$D6="",$F6=0),0,IF(OR(AC$5&lt;=Projects!$C$2,((YEAR(AC$5)-YEAR($C6))*12+MONTH(AC$5)-MONTH($C6)+1)&lt;1,((YEAR(AC$5)-YEAR($C6))*12+MONTH(AC$5)-MONTH($C6)+1)&gt;$D6),0,$E6*IF($G6,1,N(INDEX(Phasing!$I6:$AF6,((YEAR(AC$5)-YEAR($C6))*12+MONTH(AC$5)-MONTH($C6)+1))))/$F6))</f>
        <v>0</v>
      </c>
      <c r="AD6" s="38" t="n">
        <f aca="false">IF(OR($C6="",$D6="",$F6=0),0,IF(OR(AD$5&lt;=Projects!$C$2,((YEAR(AD$5)-YEAR($C6))*12+MONTH(AD$5)-MONTH($C6)+1)&lt;1,((YEAR(AD$5)-YEAR($C6))*12+MONTH(AD$5)-MONTH($C6)+1)&gt;$D6),0,$E6*IF($G6,1,N(INDEX(Phasing!$I6:$AF6,((YEAR(AD$5)-YEAR($C6))*12+MONTH(AD$5)-MONTH($C6)+1))))/$F6))</f>
        <v>0</v>
      </c>
      <c r="AE6" s="38" t="n">
        <f aca="false">IF(OR($C6="",$D6="",$F6=0),0,IF(OR(AE$5&lt;=Projects!$C$2,((YEAR(AE$5)-YEAR($C6))*12+MONTH(AE$5)-MONTH($C6)+1)&lt;1,((YEAR(AE$5)-YEAR($C6))*12+MONTH(AE$5)-MONTH($C6)+1)&gt;$D6),0,$E6*IF($G6,1,N(INDEX(Phasing!$I6:$AF6,((YEAR(AE$5)-YEAR($C6))*12+MONTH(AE$5)-MONTH($C6)+1))))/$F6))</f>
        <v>0</v>
      </c>
      <c r="AF6" s="38" t="n">
        <f aca="false">IF(OR($C6="",$D6="",$F6=0),0,IF(OR(AF$5&lt;=Projects!$C$2,((YEAR(AF$5)-YEAR($C6))*12+MONTH(AF$5)-MONTH($C6)+1)&lt;1,((YEAR(AF$5)-YEAR($C6))*12+MONTH(AF$5)-MONTH($C6)+1)&gt;$D6),0,$E6*IF($G6,1,N(INDEX(Phasing!$I6:$AF6,((YEAR(AF$5)-YEAR($C6))*12+MONTH(AF$5)-MONTH($C6)+1))))/$F6))</f>
        <v>0</v>
      </c>
      <c r="AG6" s="38" t="n">
        <f aca="false">IF(OR($C6="",$D6="",$F6=0),0,IF(OR(AG$5&lt;=Projects!$C$2,((YEAR(AG$5)-YEAR($C6))*12+MONTH(AG$5)-MONTH($C6)+1)&lt;1,((YEAR(AG$5)-YEAR($C6))*12+MONTH(AG$5)-MONTH($C6)+1)&gt;$D6),0,$E6*IF($G6,1,N(INDEX(Phasing!$I6:$AF6,((YEAR(AG$5)-YEAR($C6))*12+MONTH(AG$5)-MONTH($C6)+1))))/$F6))</f>
        <v>0</v>
      </c>
      <c r="AH6" s="38" t="n">
        <f aca="false">IF(OR($C6="",$D6="",$F6=0),0,IF(OR(AH$5&lt;=Projects!$C$2,((YEAR(AH$5)-YEAR($C6))*12+MONTH(AH$5)-MONTH($C6)+1)&lt;1,((YEAR(AH$5)-YEAR($C6))*12+MONTH(AH$5)-MONTH($C6)+1)&gt;$D6),0,$E6*IF($G6,1,N(INDEX(Phasing!$I6:$AF6,((YEAR(AH$5)-YEAR($C6))*12+MONTH(AH$5)-MONTH($C6)+1))))/$F6))</f>
        <v>0</v>
      </c>
      <c r="AI6" s="38" t="n">
        <f aca="false">IF(OR($C6="",$D6="",$F6=0),0,IF(OR(AI$5&lt;=Projects!$C$2,((YEAR(AI$5)-YEAR($C6))*12+MONTH(AI$5)-MONTH($C6)+1)&lt;1,((YEAR(AI$5)-YEAR($C6))*12+MONTH(AI$5)-MONTH($C6)+1)&gt;$D6),0,$E6*IF($G6,1,N(INDEX(Phasing!$I6:$AF6,((YEAR(AI$5)-YEAR($C6))*12+MONTH(AI$5)-MONTH($C6)+1))))/$F6))</f>
        <v>0</v>
      </c>
      <c r="AJ6" s="38" t="n">
        <f aca="false">IF(OR($C6="",$D6="",$F6=0),0,IF(OR(AJ$5&lt;=Projects!$C$2,((YEAR(AJ$5)-YEAR($C6))*12+MONTH(AJ$5)-MONTH($C6)+1)&lt;1,((YEAR(AJ$5)-YEAR($C6))*12+MONTH(AJ$5)-MONTH($C6)+1)&gt;$D6),0,$E6*IF($G6,1,N(INDEX(Phasing!$I6:$AF6,((YEAR(AJ$5)-YEAR($C6))*12+MONTH(AJ$5)-MONTH($C6)+1))))/$F6))</f>
        <v>0</v>
      </c>
      <c r="AK6" s="38" t="n">
        <f aca="false">IF(OR($C6="",$D6="",$F6=0),0,IF(OR(AK$5&lt;=Projects!$C$2,((YEAR(AK$5)-YEAR($C6))*12+MONTH(AK$5)-MONTH($C6)+1)&lt;1,((YEAR(AK$5)-YEAR($C6))*12+MONTH(AK$5)-MONTH($C6)+1)&gt;$D6),0,$E6*IF($G6,1,N(INDEX(Phasing!$I6:$AF6,((YEAR(AK$5)-YEAR($C6))*12+MONTH(AK$5)-MONTH($C6)+1))))/$F6))</f>
        <v>0</v>
      </c>
      <c r="AL6" s="38" t="n">
        <f aca="false">IF(OR($C6="",$D6="",$F6=0),0,IF(OR(AL$5&lt;=Projects!$C$2,((YEAR(AL$5)-YEAR($C6))*12+MONTH(AL$5)-MONTH($C6)+1)&lt;1,((YEAR(AL$5)-YEAR($C6))*12+MONTH(AL$5)-MONTH($C6)+1)&gt;$D6),0,$E6*IF($G6,1,N(INDEX(Phasing!$I6:$AF6,((YEAR(AL$5)-YEAR($C6))*12+MONTH(AL$5)-MONTH($C6)+1))))/$F6))</f>
        <v>0</v>
      </c>
      <c r="AM6" s="38" t="n">
        <f aca="false">IF(OR($C6="",$D6="",$F6=0),0,IF(OR(AM$5&lt;=Projects!$C$2,((YEAR(AM$5)-YEAR($C6))*12+MONTH(AM$5)-MONTH($C6)+1)&lt;1,((YEAR(AM$5)-YEAR($C6))*12+MONTH(AM$5)-MONTH($C6)+1)&gt;$D6),0,$E6*IF($G6,1,N(INDEX(Phasing!$I6:$AF6,((YEAR(AM$5)-YEAR($C6))*12+MONTH(AM$5)-MONTH($C6)+1))))/$F6))</f>
        <v>0</v>
      </c>
      <c r="AN6" s="38" t="n">
        <f aca="false">IF(OR($C6="",$D6="",$F6=0),0,IF(OR(AN$5&lt;=Projects!$C$2,((YEAR(AN$5)-YEAR($C6))*12+MONTH(AN$5)-MONTH($C6)+1)&lt;1,((YEAR(AN$5)-YEAR($C6))*12+MONTH(AN$5)-MONTH($C6)+1)&gt;$D6),0,$E6*IF($G6,1,N(INDEX(Phasing!$I6:$AF6,((YEAR(AN$5)-YEAR($C6))*12+MONTH(AN$5)-MONTH($C6)+1))))/$F6))</f>
        <v>0</v>
      </c>
      <c r="AO6" s="38" t="n">
        <f aca="false">IF(OR($C6="",$D6="",$F6=0),0,IF(OR(AO$5&lt;=Projects!$C$2,((YEAR(AO$5)-YEAR($C6))*12+MONTH(AO$5)-MONTH($C6)+1)&lt;1,((YEAR(AO$5)-YEAR($C6))*12+MONTH(AO$5)-MONTH($C6)+1)&gt;$D6),0,$E6*IF($G6,1,N(INDEX(Phasing!$I6:$AF6,((YEAR(AO$5)-YEAR($C6))*12+MONTH(AO$5)-MONTH($C6)+1))))/$F6))</f>
        <v>0</v>
      </c>
      <c r="AP6" s="38" t="n">
        <f aca="false">IF(OR($C6="",$D6="",$F6=0),0,IF(OR(AP$5&lt;=Projects!$C$2,((YEAR(AP$5)-YEAR($C6))*12+MONTH(AP$5)-MONTH($C6)+1)&lt;1,((YEAR(AP$5)-YEAR($C6))*12+MONTH(AP$5)-MONTH($C6)+1)&gt;$D6),0,$E6*IF($G6,1,N(INDEX(Phasing!$I6:$AF6,((YEAR(AP$5)-YEAR($C6))*12+MONTH(AP$5)-MONTH($C6)+1))))/$F6))</f>
        <v>0</v>
      </c>
      <c r="AQ6" s="38" t="n">
        <f aca="false">IF(OR($C6="",$D6="",$F6=0),0,IF(OR(AQ$5&lt;=Projects!$C$2,((YEAR(AQ$5)-YEAR($C6))*12+MONTH(AQ$5)-MONTH($C6)+1)&lt;1,((YEAR(AQ$5)-YEAR($C6))*12+MONTH(AQ$5)-MONTH($C6)+1)&gt;$D6),0,$E6*IF($G6,1,N(INDEX(Phasing!$I6:$AF6,((YEAR(AQ$5)-YEAR($C6))*12+MONTH(AQ$5)-MONTH($C6)+1))))/$F6))</f>
        <v>0</v>
      </c>
    </row>
    <row r="7" customFormat="false" ht="15" hidden="false" customHeight="false" outlineLevel="0" collapsed="false">
      <c r="A7" s="11" t="n">
        <v>2</v>
      </c>
      <c r="B7" s="21" t="str">
        <f aca="false">IF(Projects!B7="","",Projects!B7)</f>
        <v/>
      </c>
      <c r="C7" s="31" t="str">
        <f aca="false">IF(Projects!D7="","",Projects!D7)</f>
        <v/>
      </c>
      <c r="D7" s="21" t="str">
        <f aca="false">IF(Projects!E7="","",Projects!E7)</f>
        <v/>
      </c>
      <c r="E7" s="33" t="n">
        <f aca="false">IF(Projects!B7="",0,N(Projects!I7))</f>
        <v>0</v>
      </c>
      <c r="F7" s="21" t="n">
        <f aca="false">Phasing!G7</f>
        <v>0</v>
      </c>
      <c r="G7" s="48" t="b">
        <f aca="false">Phasing!D7=0</f>
        <v>1</v>
      </c>
      <c r="H7" s="38" t="n">
        <f aca="false">IF(OR($C7="",$D7="",$F7=0),0,IF(OR(H$5&lt;=Projects!$C$2,((YEAR(H$5)-YEAR($C7))*12+MONTH(H$5)-MONTH($C7)+1)&lt;1,((YEAR(H$5)-YEAR($C7))*12+MONTH(H$5)-MONTH($C7)+1)&gt;$D7),0,$E7*IF($G7,1,N(INDEX(Phasing!$I7:$AF7,((YEAR(H$5)-YEAR($C7))*12+MONTH(H$5)-MONTH($C7)+1))))/$F7))</f>
        <v>0</v>
      </c>
      <c r="I7" s="38" t="n">
        <f aca="false">IF(OR($C7="",$D7="",$F7=0),0,IF(OR(I$5&lt;=Projects!$C$2,((YEAR(I$5)-YEAR($C7))*12+MONTH(I$5)-MONTH($C7)+1)&lt;1,((YEAR(I$5)-YEAR($C7))*12+MONTH(I$5)-MONTH($C7)+1)&gt;$D7),0,$E7*IF($G7,1,N(INDEX(Phasing!$I7:$AF7,((YEAR(I$5)-YEAR($C7))*12+MONTH(I$5)-MONTH($C7)+1))))/$F7))</f>
        <v>0</v>
      </c>
      <c r="J7" s="38" t="n">
        <f aca="false">IF(OR($C7="",$D7="",$F7=0),0,IF(OR(J$5&lt;=Projects!$C$2,((YEAR(J$5)-YEAR($C7))*12+MONTH(J$5)-MONTH($C7)+1)&lt;1,((YEAR(J$5)-YEAR($C7))*12+MONTH(J$5)-MONTH($C7)+1)&gt;$D7),0,$E7*IF($G7,1,N(INDEX(Phasing!$I7:$AF7,((YEAR(J$5)-YEAR($C7))*12+MONTH(J$5)-MONTH($C7)+1))))/$F7))</f>
        <v>0</v>
      </c>
      <c r="K7" s="38" t="n">
        <f aca="false">IF(OR($C7="",$D7="",$F7=0),0,IF(OR(K$5&lt;=Projects!$C$2,((YEAR(K$5)-YEAR($C7))*12+MONTH(K$5)-MONTH($C7)+1)&lt;1,((YEAR(K$5)-YEAR($C7))*12+MONTH(K$5)-MONTH($C7)+1)&gt;$D7),0,$E7*IF($G7,1,N(INDEX(Phasing!$I7:$AF7,((YEAR(K$5)-YEAR($C7))*12+MONTH(K$5)-MONTH($C7)+1))))/$F7))</f>
        <v>0</v>
      </c>
      <c r="L7" s="38" t="n">
        <f aca="false">IF(OR($C7="",$D7="",$F7=0),0,IF(OR(L$5&lt;=Projects!$C$2,((YEAR(L$5)-YEAR($C7))*12+MONTH(L$5)-MONTH($C7)+1)&lt;1,((YEAR(L$5)-YEAR($C7))*12+MONTH(L$5)-MONTH($C7)+1)&gt;$D7),0,$E7*IF($G7,1,N(INDEX(Phasing!$I7:$AF7,((YEAR(L$5)-YEAR($C7))*12+MONTH(L$5)-MONTH($C7)+1))))/$F7))</f>
        <v>0</v>
      </c>
      <c r="M7" s="38" t="n">
        <f aca="false">IF(OR($C7="",$D7="",$F7=0),0,IF(OR(M$5&lt;=Projects!$C$2,((YEAR(M$5)-YEAR($C7))*12+MONTH(M$5)-MONTH($C7)+1)&lt;1,((YEAR(M$5)-YEAR($C7))*12+MONTH(M$5)-MONTH($C7)+1)&gt;$D7),0,$E7*IF($G7,1,N(INDEX(Phasing!$I7:$AF7,((YEAR(M$5)-YEAR($C7))*12+MONTH(M$5)-MONTH($C7)+1))))/$F7))</f>
        <v>0</v>
      </c>
      <c r="N7" s="38" t="n">
        <f aca="false">IF(OR($C7="",$D7="",$F7=0),0,IF(OR(N$5&lt;=Projects!$C$2,((YEAR(N$5)-YEAR($C7))*12+MONTH(N$5)-MONTH($C7)+1)&lt;1,((YEAR(N$5)-YEAR($C7))*12+MONTH(N$5)-MONTH($C7)+1)&gt;$D7),0,$E7*IF($G7,1,N(INDEX(Phasing!$I7:$AF7,((YEAR(N$5)-YEAR($C7))*12+MONTH(N$5)-MONTH($C7)+1))))/$F7))</f>
        <v>0</v>
      </c>
      <c r="O7" s="38" t="n">
        <f aca="false">IF(OR($C7="",$D7="",$F7=0),0,IF(OR(O$5&lt;=Projects!$C$2,((YEAR(O$5)-YEAR($C7))*12+MONTH(O$5)-MONTH($C7)+1)&lt;1,((YEAR(O$5)-YEAR($C7))*12+MONTH(O$5)-MONTH($C7)+1)&gt;$D7),0,$E7*IF($G7,1,N(INDEX(Phasing!$I7:$AF7,((YEAR(O$5)-YEAR($C7))*12+MONTH(O$5)-MONTH($C7)+1))))/$F7))</f>
        <v>0</v>
      </c>
      <c r="P7" s="38" t="n">
        <f aca="false">IF(OR($C7="",$D7="",$F7=0),0,IF(OR(P$5&lt;=Projects!$C$2,((YEAR(P$5)-YEAR($C7))*12+MONTH(P$5)-MONTH($C7)+1)&lt;1,((YEAR(P$5)-YEAR($C7))*12+MONTH(P$5)-MONTH($C7)+1)&gt;$D7),0,$E7*IF($G7,1,N(INDEX(Phasing!$I7:$AF7,((YEAR(P$5)-YEAR($C7))*12+MONTH(P$5)-MONTH($C7)+1))))/$F7))</f>
        <v>0</v>
      </c>
      <c r="Q7" s="38" t="n">
        <f aca="false">IF(OR($C7="",$D7="",$F7=0),0,IF(OR(Q$5&lt;=Projects!$C$2,((YEAR(Q$5)-YEAR($C7))*12+MONTH(Q$5)-MONTH($C7)+1)&lt;1,((YEAR(Q$5)-YEAR($C7))*12+MONTH(Q$5)-MONTH($C7)+1)&gt;$D7),0,$E7*IF($G7,1,N(INDEX(Phasing!$I7:$AF7,((YEAR(Q$5)-YEAR($C7))*12+MONTH(Q$5)-MONTH($C7)+1))))/$F7))</f>
        <v>0</v>
      </c>
      <c r="R7" s="38" t="n">
        <f aca="false">IF(OR($C7="",$D7="",$F7=0),0,IF(OR(R$5&lt;=Projects!$C$2,((YEAR(R$5)-YEAR($C7))*12+MONTH(R$5)-MONTH($C7)+1)&lt;1,((YEAR(R$5)-YEAR($C7))*12+MONTH(R$5)-MONTH($C7)+1)&gt;$D7),0,$E7*IF($G7,1,N(INDEX(Phasing!$I7:$AF7,((YEAR(R$5)-YEAR($C7))*12+MONTH(R$5)-MONTH($C7)+1))))/$F7))</f>
        <v>0</v>
      </c>
      <c r="S7" s="38" t="n">
        <f aca="false">IF(OR($C7="",$D7="",$F7=0),0,IF(OR(S$5&lt;=Projects!$C$2,((YEAR(S$5)-YEAR($C7))*12+MONTH(S$5)-MONTH($C7)+1)&lt;1,((YEAR(S$5)-YEAR($C7))*12+MONTH(S$5)-MONTH($C7)+1)&gt;$D7),0,$E7*IF($G7,1,N(INDEX(Phasing!$I7:$AF7,((YEAR(S$5)-YEAR($C7))*12+MONTH(S$5)-MONTH($C7)+1))))/$F7))</f>
        <v>0</v>
      </c>
      <c r="T7" s="38" t="n">
        <f aca="false">IF(OR($C7="",$D7="",$F7=0),0,IF(OR(T$5&lt;=Projects!$C$2,((YEAR(T$5)-YEAR($C7))*12+MONTH(T$5)-MONTH($C7)+1)&lt;1,((YEAR(T$5)-YEAR($C7))*12+MONTH(T$5)-MONTH($C7)+1)&gt;$D7),0,$E7*IF($G7,1,N(INDEX(Phasing!$I7:$AF7,((YEAR(T$5)-YEAR($C7))*12+MONTH(T$5)-MONTH($C7)+1))))/$F7))</f>
        <v>0</v>
      </c>
      <c r="U7" s="38" t="n">
        <f aca="false">IF(OR($C7="",$D7="",$F7=0),0,IF(OR(U$5&lt;=Projects!$C$2,((YEAR(U$5)-YEAR($C7))*12+MONTH(U$5)-MONTH($C7)+1)&lt;1,((YEAR(U$5)-YEAR($C7))*12+MONTH(U$5)-MONTH($C7)+1)&gt;$D7),0,$E7*IF($G7,1,N(INDEX(Phasing!$I7:$AF7,((YEAR(U$5)-YEAR($C7))*12+MONTH(U$5)-MONTH($C7)+1))))/$F7))</f>
        <v>0</v>
      </c>
      <c r="V7" s="38" t="n">
        <f aca="false">IF(OR($C7="",$D7="",$F7=0),0,IF(OR(V$5&lt;=Projects!$C$2,((YEAR(V$5)-YEAR($C7))*12+MONTH(V$5)-MONTH($C7)+1)&lt;1,((YEAR(V$5)-YEAR($C7))*12+MONTH(V$5)-MONTH($C7)+1)&gt;$D7),0,$E7*IF($G7,1,N(INDEX(Phasing!$I7:$AF7,((YEAR(V$5)-YEAR($C7))*12+MONTH(V$5)-MONTH($C7)+1))))/$F7))</f>
        <v>0</v>
      </c>
      <c r="W7" s="38" t="n">
        <f aca="false">IF(OR($C7="",$D7="",$F7=0),0,IF(OR(W$5&lt;=Projects!$C$2,((YEAR(W$5)-YEAR($C7))*12+MONTH(W$5)-MONTH($C7)+1)&lt;1,((YEAR(W$5)-YEAR($C7))*12+MONTH(W$5)-MONTH($C7)+1)&gt;$D7),0,$E7*IF($G7,1,N(INDEX(Phasing!$I7:$AF7,((YEAR(W$5)-YEAR($C7))*12+MONTH(W$5)-MONTH($C7)+1))))/$F7))</f>
        <v>0</v>
      </c>
      <c r="X7" s="38" t="n">
        <f aca="false">IF(OR($C7="",$D7="",$F7=0),0,IF(OR(X$5&lt;=Projects!$C$2,((YEAR(X$5)-YEAR($C7))*12+MONTH(X$5)-MONTH($C7)+1)&lt;1,((YEAR(X$5)-YEAR($C7))*12+MONTH(X$5)-MONTH($C7)+1)&gt;$D7),0,$E7*IF($G7,1,N(INDEX(Phasing!$I7:$AF7,((YEAR(X$5)-YEAR($C7))*12+MONTH(X$5)-MONTH($C7)+1))))/$F7))</f>
        <v>0</v>
      </c>
      <c r="Y7" s="38" t="n">
        <f aca="false">IF(OR($C7="",$D7="",$F7=0),0,IF(OR(Y$5&lt;=Projects!$C$2,((YEAR(Y$5)-YEAR($C7))*12+MONTH(Y$5)-MONTH($C7)+1)&lt;1,((YEAR(Y$5)-YEAR($C7))*12+MONTH(Y$5)-MONTH($C7)+1)&gt;$D7),0,$E7*IF($G7,1,N(INDEX(Phasing!$I7:$AF7,((YEAR(Y$5)-YEAR($C7))*12+MONTH(Y$5)-MONTH($C7)+1))))/$F7))</f>
        <v>0</v>
      </c>
      <c r="Z7" s="38" t="n">
        <f aca="false">IF(OR($C7="",$D7="",$F7=0),0,IF(OR(Z$5&lt;=Projects!$C$2,((YEAR(Z$5)-YEAR($C7))*12+MONTH(Z$5)-MONTH($C7)+1)&lt;1,((YEAR(Z$5)-YEAR($C7))*12+MONTH(Z$5)-MONTH($C7)+1)&gt;$D7),0,$E7*IF($G7,1,N(INDEX(Phasing!$I7:$AF7,((YEAR(Z$5)-YEAR($C7))*12+MONTH(Z$5)-MONTH($C7)+1))))/$F7))</f>
        <v>0</v>
      </c>
      <c r="AA7" s="38" t="n">
        <f aca="false">IF(OR($C7="",$D7="",$F7=0),0,IF(OR(AA$5&lt;=Projects!$C$2,((YEAR(AA$5)-YEAR($C7))*12+MONTH(AA$5)-MONTH($C7)+1)&lt;1,((YEAR(AA$5)-YEAR($C7))*12+MONTH(AA$5)-MONTH($C7)+1)&gt;$D7),0,$E7*IF($G7,1,N(INDEX(Phasing!$I7:$AF7,((YEAR(AA$5)-YEAR($C7))*12+MONTH(AA$5)-MONTH($C7)+1))))/$F7))</f>
        <v>0</v>
      </c>
      <c r="AB7" s="38" t="n">
        <f aca="false">IF(OR($C7="",$D7="",$F7=0),0,IF(OR(AB$5&lt;=Projects!$C$2,((YEAR(AB$5)-YEAR($C7))*12+MONTH(AB$5)-MONTH($C7)+1)&lt;1,((YEAR(AB$5)-YEAR($C7))*12+MONTH(AB$5)-MONTH($C7)+1)&gt;$D7),0,$E7*IF($G7,1,N(INDEX(Phasing!$I7:$AF7,((YEAR(AB$5)-YEAR($C7))*12+MONTH(AB$5)-MONTH($C7)+1))))/$F7))</f>
        <v>0</v>
      </c>
      <c r="AC7" s="38" t="n">
        <f aca="false">IF(OR($C7="",$D7="",$F7=0),0,IF(OR(AC$5&lt;=Projects!$C$2,((YEAR(AC$5)-YEAR($C7))*12+MONTH(AC$5)-MONTH($C7)+1)&lt;1,((YEAR(AC$5)-YEAR($C7))*12+MONTH(AC$5)-MONTH($C7)+1)&gt;$D7),0,$E7*IF($G7,1,N(INDEX(Phasing!$I7:$AF7,((YEAR(AC$5)-YEAR($C7))*12+MONTH(AC$5)-MONTH($C7)+1))))/$F7))</f>
        <v>0</v>
      </c>
      <c r="AD7" s="38" t="n">
        <f aca="false">IF(OR($C7="",$D7="",$F7=0),0,IF(OR(AD$5&lt;=Projects!$C$2,((YEAR(AD$5)-YEAR($C7))*12+MONTH(AD$5)-MONTH($C7)+1)&lt;1,((YEAR(AD$5)-YEAR($C7))*12+MONTH(AD$5)-MONTH($C7)+1)&gt;$D7),0,$E7*IF($G7,1,N(INDEX(Phasing!$I7:$AF7,((YEAR(AD$5)-YEAR($C7))*12+MONTH(AD$5)-MONTH($C7)+1))))/$F7))</f>
        <v>0</v>
      </c>
      <c r="AE7" s="38" t="n">
        <f aca="false">IF(OR($C7="",$D7="",$F7=0),0,IF(OR(AE$5&lt;=Projects!$C$2,((YEAR(AE$5)-YEAR($C7))*12+MONTH(AE$5)-MONTH($C7)+1)&lt;1,((YEAR(AE$5)-YEAR($C7))*12+MONTH(AE$5)-MONTH($C7)+1)&gt;$D7),0,$E7*IF($G7,1,N(INDEX(Phasing!$I7:$AF7,((YEAR(AE$5)-YEAR($C7))*12+MONTH(AE$5)-MONTH($C7)+1))))/$F7))</f>
        <v>0</v>
      </c>
      <c r="AF7" s="38" t="n">
        <f aca="false">IF(OR($C7="",$D7="",$F7=0),0,IF(OR(AF$5&lt;=Projects!$C$2,((YEAR(AF$5)-YEAR($C7))*12+MONTH(AF$5)-MONTH($C7)+1)&lt;1,((YEAR(AF$5)-YEAR($C7))*12+MONTH(AF$5)-MONTH($C7)+1)&gt;$D7),0,$E7*IF($G7,1,N(INDEX(Phasing!$I7:$AF7,((YEAR(AF$5)-YEAR($C7))*12+MONTH(AF$5)-MONTH($C7)+1))))/$F7))</f>
        <v>0</v>
      </c>
      <c r="AG7" s="38" t="n">
        <f aca="false">IF(OR($C7="",$D7="",$F7=0),0,IF(OR(AG$5&lt;=Projects!$C$2,((YEAR(AG$5)-YEAR($C7))*12+MONTH(AG$5)-MONTH($C7)+1)&lt;1,((YEAR(AG$5)-YEAR($C7))*12+MONTH(AG$5)-MONTH($C7)+1)&gt;$D7),0,$E7*IF($G7,1,N(INDEX(Phasing!$I7:$AF7,((YEAR(AG$5)-YEAR($C7))*12+MONTH(AG$5)-MONTH($C7)+1))))/$F7))</f>
        <v>0</v>
      </c>
      <c r="AH7" s="38" t="n">
        <f aca="false">IF(OR($C7="",$D7="",$F7=0),0,IF(OR(AH$5&lt;=Projects!$C$2,((YEAR(AH$5)-YEAR($C7))*12+MONTH(AH$5)-MONTH($C7)+1)&lt;1,((YEAR(AH$5)-YEAR($C7))*12+MONTH(AH$5)-MONTH($C7)+1)&gt;$D7),0,$E7*IF($G7,1,N(INDEX(Phasing!$I7:$AF7,((YEAR(AH$5)-YEAR($C7))*12+MONTH(AH$5)-MONTH($C7)+1))))/$F7))</f>
        <v>0</v>
      </c>
      <c r="AI7" s="38" t="n">
        <f aca="false">IF(OR($C7="",$D7="",$F7=0),0,IF(OR(AI$5&lt;=Projects!$C$2,((YEAR(AI$5)-YEAR($C7))*12+MONTH(AI$5)-MONTH($C7)+1)&lt;1,((YEAR(AI$5)-YEAR($C7))*12+MONTH(AI$5)-MONTH($C7)+1)&gt;$D7),0,$E7*IF($G7,1,N(INDEX(Phasing!$I7:$AF7,((YEAR(AI$5)-YEAR($C7))*12+MONTH(AI$5)-MONTH($C7)+1))))/$F7))</f>
        <v>0</v>
      </c>
      <c r="AJ7" s="38" t="n">
        <f aca="false">IF(OR($C7="",$D7="",$F7=0),0,IF(OR(AJ$5&lt;=Projects!$C$2,((YEAR(AJ$5)-YEAR($C7))*12+MONTH(AJ$5)-MONTH($C7)+1)&lt;1,((YEAR(AJ$5)-YEAR($C7))*12+MONTH(AJ$5)-MONTH($C7)+1)&gt;$D7),0,$E7*IF($G7,1,N(INDEX(Phasing!$I7:$AF7,((YEAR(AJ$5)-YEAR($C7))*12+MONTH(AJ$5)-MONTH($C7)+1))))/$F7))</f>
        <v>0</v>
      </c>
      <c r="AK7" s="38" t="n">
        <f aca="false">IF(OR($C7="",$D7="",$F7=0),0,IF(OR(AK$5&lt;=Projects!$C$2,((YEAR(AK$5)-YEAR($C7))*12+MONTH(AK$5)-MONTH($C7)+1)&lt;1,((YEAR(AK$5)-YEAR($C7))*12+MONTH(AK$5)-MONTH($C7)+1)&gt;$D7),0,$E7*IF($G7,1,N(INDEX(Phasing!$I7:$AF7,((YEAR(AK$5)-YEAR($C7))*12+MONTH(AK$5)-MONTH($C7)+1))))/$F7))</f>
        <v>0</v>
      </c>
      <c r="AL7" s="38" t="n">
        <f aca="false">IF(OR($C7="",$D7="",$F7=0),0,IF(OR(AL$5&lt;=Projects!$C$2,((YEAR(AL$5)-YEAR($C7))*12+MONTH(AL$5)-MONTH($C7)+1)&lt;1,((YEAR(AL$5)-YEAR($C7))*12+MONTH(AL$5)-MONTH($C7)+1)&gt;$D7),0,$E7*IF($G7,1,N(INDEX(Phasing!$I7:$AF7,((YEAR(AL$5)-YEAR($C7))*12+MONTH(AL$5)-MONTH($C7)+1))))/$F7))</f>
        <v>0</v>
      </c>
      <c r="AM7" s="38" t="n">
        <f aca="false">IF(OR($C7="",$D7="",$F7=0),0,IF(OR(AM$5&lt;=Projects!$C$2,((YEAR(AM$5)-YEAR($C7))*12+MONTH(AM$5)-MONTH($C7)+1)&lt;1,((YEAR(AM$5)-YEAR($C7))*12+MONTH(AM$5)-MONTH($C7)+1)&gt;$D7),0,$E7*IF($G7,1,N(INDEX(Phasing!$I7:$AF7,((YEAR(AM$5)-YEAR($C7))*12+MONTH(AM$5)-MONTH($C7)+1))))/$F7))</f>
        <v>0</v>
      </c>
      <c r="AN7" s="38" t="n">
        <f aca="false">IF(OR($C7="",$D7="",$F7=0),0,IF(OR(AN$5&lt;=Projects!$C$2,((YEAR(AN$5)-YEAR($C7))*12+MONTH(AN$5)-MONTH($C7)+1)&lt;1,((YEAR(AN$5)-YEAR($C7))*12+MONTH(AN$5)-MONTH($C7)+1)&gt;$D7),0,$E7*IF($G7,1,N(INDEX(Phasing!$I7:$AF7,((YEAR(AN$5)-YEAR($C7))*12+MONTH(AN$5)-MONTH($C7)+1))))/$F7))</f>
        <v>0</v>
      </c>
      <c r="AO7" s="38" t="n">
        <f aca="false">IF(OR($C7="",$D7="",$F7=0),0,IF(OR(AO$5&lt;=Projects!$C$2,((YEAR(AO$5)-YEAR($C7))*12+MONTH(AO$5)-MONTH($C7)+1)&lt;1,((YEAR(AO$5)-YEAR($C7))*12+MONTH(AO$5)-MONTH($C7)+1)&gt;$D7),0,$E7*IF($G7,1,N(INDEX(Phasing!$I7:$AF7,((YEAR(AO$5)-YEAR($C7))*12+MONTH(AO$5)-MONTH($C7)+1))))/$F7))</f>
        <v>0</v>
      </c>
      <c r="AP7" s="38" t="n">
        <f aca="false">IF(OR($C7="",$D7="",$F7=0),0,IF(OR(AP$5&lt;=Projects!$C$2,((YEAR(AP$5)-YEAR($C7))*12+MONTH(AP$5)-MONTH($C7)+1)&lt;1,((YEAR(AP$5)-YEAR($C7))*12+MONTH(AP$5)-MONTH($C7)+1)&gt;$D7),0,$E7*IF($G7,1,N(INDEX(Phasing!$I7:$AF7,((YEAR(AP$5)-YEAR($C7))*12+MONTH(AP$5)-MONTH($C7)+1))))/$F7))</f>
        <v>0</v>
      </c>
      <c r="AQ7" s="38" t="n">
        <f aca="false">IF(OR($C7="",$D7="",$F7=0),0,IF(OR(AQ$5&lt;=Projects!$C$2,((YEAR(AQ$5)-YEAR($C7))*12+MONTH(AQ$5)-MONTH($C7)+1)&lt;1,((YEAR(AQ$5)-YEAR($C7))*12+MONTH(AQ$5)-MONTH($C7)+1)&gt;$D7),0,$E7*IF($G7,1,N(INDEX(Phasing!$I7:$AF7,((YEAR(AQ$5)-YEAR($C7))*12+MONTH(AQ$5)-MONTH($C7)+1))))/$F7))</f>
        <v>0</v>
      </c>
    </row>
    <row r="8" customFormat="false" ht="15" hidden="false" customHeight="false" outlineLevel="0" collapsed="false">
      <c r="A8" s="11" t="n">
        <v>3</v>
      </c>
      <c r="B8" s="21" t="str">
        <f aca="false">IF(Projects!B8="","",Projects!B8)</f>
        <v/>
      </c>
      <c r="C8" s="31" t="str">
        <f aca="false">IF(Projects!D8="","",Projects!D8)</f>
        <v/>
      </c>
      <c r="D8" s="21" t="str">
        <f aca="false">IF(Projects!E8="","",Projects!E8)</f>
        <v/>
      </c>
      <c r="E8" s="33" t="n">
        <f aca="false">IF(Projects!B8="",0,N(Projects!I8))</f>
        <v>0</v>
      </c>
      <c r="F8" s="21" t="n">
        <f aca="false">Phasing!G8</f>
        <v>0</v>
      </c>
      <c r="G8" s="48" t="b">
        <f aca="false">Phasing!D8=0</f>
        <v>1</v>
      </c>
      <c r="H8" s="38" t="n">
        <f aca="false">IF(OR($C8="",$D8="",$F8=0),0,IF(OR(H$5&lt;=Projects!$C$2,((YEAR(H$5)-YEAR($C8))*12+MONTH(H$5)-MONTH($C8)+1)&lt;1,((YEAR(H$5)-YEAR($C8))*12+MONTH(H$5)-MONTH($C8)+1)&gt;$D8),0,$E8*IF($G8,1,N(INDEX(Phasing!$I8:$AF8,((YEAR(H$5)-YEAR($C8))*12+MONTH(H$5)-MONTH($C8)+1))))/$F8))</f>
        <v>0</v>
      </c>
      <c r="I8" s="38" t="n">
        <f aca="false">IF(OR($C8="",$D8="",$F8=0),0,IF(OR(I$5&lt;=Projects!$C$2,((YEAR(I$5)-YEAR($C8))*12+MONTH(I$5)-MONTH($C8)+1)&lt;1,((YEAR(I$5)-YEAR($C8))*12+MONTH(I$5)-MONTH($C8)+1)&gt;$D8),0,$E8*IF($G8,1,N(INDEX(Phasing!$I8:$AF8,((YEAR(I$5)-YEAR($C8))*12+MONTH(I$5)-MONTH($C8)+1))))/$F8))</f>
        <v>0</v>
      </c>
      <c r="J8" s="38" t="n">
        <f aca="false">IF(OR($C8="",$D8="",$F8=0),0,IF(OR(J$5&lt;=Projects!$C$2,((YEAR(J$5)-YEAR($C8))*12+MONTH(J$5)-MONTH($C8)+1)&lt;1,((YEAR(J$5)-YEAR($C8))*12+MONTH(J$5)-MONTH($C8)+1)&gt;$D8),0,$E8*IF($G8,1,N(INDEX(Phasing!$I8:$AF8,((YEAR(J$5)-YEAR($C8))*12+MONTH(J$5)-MONTH($C8)+1))))/$F8))</f>
        <v>0</v>
      </c>
      <c r="K8" s="38" t="n">
        <f aca="false">IF(OR($C8="",$D8="",$F8=0),0,IF(OR(K$5&lt;=Projects!$C$2,((YEAR(K$5)-YEAR($C8))*12+MONTH(K$5)-MONTH($C8)+1)&lt;1,((YEAR(K$5)-YEAR($C8))*12+MONTH(K$5)-MONTH($C8)+1)&gt;$D8),0,$E8*IF($G8,1,N(INDEX(Phasing!$I8:$AF8,((YEAR(K$5)-YEAR($C8))*12+MONTH(K$5)-MONTH($C8)+1))))/$F8))</f>
        <v>0</v>
      </c>
      <c r="L8" s="38" t="n">
        <f aca="false">IF(OR($C8="",$D8="",$F8=0),0,IF(OR(L$5&lt;=Projects!$C$2,((YEAR(L$5)-YEAR($C8))*12+MONTH(L$5)-MONTH($C8)+1)&lt;1,((YEAR(L$5)-YEAR($C8))*12+MONTH(L$5)-MONTH($C8)+1)&gt;$D8),0,$E8*IF($G8,1,N(INDEX(Phasing!$I8:$AF8,((YEAR(L$5)-YEAR($C8))*12+MONTH(L$5)-MONTH($C8)+1))))/$F8))</f>
        <v>0</v>
      </c>
      <c r="M8" s="38" t="n">
        <f aca="false">IF(OR($C8="",$D8="",$F8=0),0,IF(OR(M$5&lt;=Projects!$C$2,((YEAR(M$5)-YEAR($C8))*12+MONTH(M$5)-MONTH($C8)+1)&lt;1,((YEAR(M$5)-YEAR($C8))*12+MONTH(M$5)-MONTH($C8)+1)&gt;$D8),0,$E8*IF($G8,1,N(INDEX(Phasing!$I8:$AF8,((YEAR(M$5)-YEAR($C8))*12+MONTH(M$5)-MONTH($C8)+1))))/$F8))</f>
        <v>0</v>
      </c>
      <c r="N8" s="38" t="n">
        <f aca="false">IF(OR($C8="",$D8="",$F8=0),0,IF(OR(N$5&lt;=Projects!$C$2,((YEAR(N$5)-YEAR($C8))*12+MONTH(N$5)-MONTH($C8)+1)&lt;1,((YEAR(N$5)-YEAR($C8))*12+MONTH(N$5)-MONTH($C8)+1)&gt;$D8),0,$E8*IF($G8,1,N(INDEX(Phasing!$I8:$AF8,((YEAR(N$5)-YEAR($C8))*12+MONTH(N$5)-MONTH($C8)+1))))/$F8))</f>
        <v>0</v>
      </c>
      <c r="O8" s="38" t="n">
        <f aca="false">IF(OR($C8="",$D8="",$F8=0),0,IF(OR(O$5&lt;=Projects!$C$2,((YEAR(O$5)-YEAR($C8))*12+MONTH(O$5)-MONTH($C8)+1)&lt;1,((YEAR(O$5)-YEAR($C8))*12+MONTH(O$5)-MONTH($C8)+1)&gt;$D8),0,$E8*IF($G8,1,N(INDEX(Phasing!$I8:$AF8,((YEAR(O$5)-YEAR($C8))*12+MONTH(O$5)-MONTH($C8)+1))))/$F8))</f>
        <v>0</v>
      </c>
      <c r="P8" s="38" t="n">
        <f aca="false">IF(OR($C8="",$D8="",$F8=0),0,IF(OR(P$5&lt;=Projects!$C$2,((YEAR(P$5)-YEAR($C8))*12+MONTH(P$5)-MONTH($C8)+1)&lt;1,((YEAR(P$5)-YEAR($C8))*12+MONTH(P$5)-MONTH($C8)+1)&gt;$D8),0,$E8*IF($G8,1,N(INDEX(Phasing!$I8:$AF8,((YEAR(P$5)-YEAR($C8))*12+MONTH(P$5)-MONTH($C8)+1))))/$F8))</f>
        <v>0</v>
      </c>
      <c r="Q8" s="38" t="n">
        <f aca="false">IF(OR($C8="",$D8="",$F8=0),0,IF(OR(Q$5&lt;=Projects!$C$2,((YEAR(Q$5)-YEAR($C8))*12+MONTH(Q$5)-MONTH($C8)+1)&lt;1,((YEAR(Q$5)-YEAR($C8))*12+MONTH(Q$5)-MONTH($C8)+1)&gt;$D8),0,$E8*IF($G8,1,N(INDEX(Phasing!$I8:$AF8,((YEAR(Q$5)-YEAR($C8))*12+MONTH(Q$5)-MONTH($C8)+1))))/$F8))</f>
        <v>0</v>
      </c>
      <c r="R8" s="38" t="n">
        <f aca="false">IF(OR($C8="",$D8="",$F8=0),0,IF(OR(R$5&lt;=Projects!$C$2,((YEAR(R$5)-YEAR($C8))*12+MONTH(R$5)-MONTH($C8)+1)&lt;1,((YEAR(R$5)-YEAR($C8))*12+MONTH(R$5)-MONTH($C8)+1)&gt;$D8),0,$E8*IF($G8,1,N(INDEX(Phasing!$I8:$AF8,((YEAR(R$5)-YEAR($C8))*12+MONTH(R$5)-MONTH($C8)+1))))/$F8))</f>
        <v>0</v>
      </c>
      <c r="S8" s="38" t="n">
        <f aca="false">IF(OR($C8="",$D8="",$F8=0),0,IF(OR(S$5&lt;=Projects!$C$2,((YEAR(S$5)-YEAR($C8))*12+MONTH(S$5)-MONTH($C8)+1)&lt;1,((YEAR(S$5)-YEAR($C8))*12+MONTH(S$5)-MONTH($C8)+1)&gt;$D8),0,$E8*IF($G8,1,N(INDEX(Phasing!$I8:$AF8,((YEAR(S$5)-YEAR($C8))*12+MONTH(S$5)-MONTH($C8)+1))))/$F8))</f>
        <v>0</v>
      </c>
      <c r="T8" s="38" t="n">
        <f aca="false">IF(OR($C8="",$D8="",$F8=0),0,IF(OR(T$5&lt;=Projects!$C$2,((YEAR(T$5)-YEAR($C8))*12+MONTH(T$5)-MONTH($C8)+1)&lt;1,((YEAR(T$5)-YEAR($C8))*12+MONTH(T$5)-MONTH($C8)+1)&gt;$D8),0,$E8*IF($G8,1,N(INDEX(Phasing!$I8:$AF8,((YEAR(T$5)-YEAR($C8))*12+MONTH(T$5)-MONTH($C8)+1))))/$F8))</f>
        <v>0</v>
      </c>
      <c r="U8" s="38" t="n">
        <f aca="false">IF(OR($C8="",$D8="",$F8=0),0,IF(OR(U$5&lt;=Projects!$C$2,((YEAR(U$5)-YEAR($C8))*12+MONTH(U$5)-MONTH($C8)+1)&lt;1,((YEAR(U$5)-YEAR($C8))*12+MONTH(U$5)-MONTH($C8)+1)&gt;$D8),0,$E8*IF($G8,1,N(INDEX(Phasing!$I8:$AF8,((YEAR(U$5)-YEAR($C8))*12+MONTH(U$5)-MONTH($C8)+1))))/$F8))</f>
        <v>0</v>
      </c>
      <c r="V8" s="38" t="n">
        <f aca="false">IF(OR($C8="",$D8="",$F8=0),0,IF(OR(V$5&lt;=Projects!$C$2,((YEAR(V$5)-YEAR($C8))*12+MONTH(V$5)-MONTH($C8)+1)&lt;1,((YEAR(V$5)-YEAR($C8))*12+MONTH(V$5)-MONTH($C8)+1)&gt;$D8),0,$E8*IF($G8,1,N(INDEX(Phasing!$I8:$AF8,((YEAR(V$5)-YEAR($C8))*12+MONTH(V$5)-MONTH($C8)+1))))/$F8))</f>
        <v>0</v>
      </c>
      <c r="W8" s="38" t="n">
        <f aca="false">IF(OR($C8="",$D8="",$F8=0),0,IF(OR(W$5&lt;=Projects!$C$2,((YEAR(W$5)-YEAR($C8))*12+MONTH(W$5)-MONTH($C8)+1)&lt;1,((YEAR(W$5)-YEAR($C8))*12+MONTH(W$5)-MONTH($C8)+1)&gt;$D8),0,$E8*IF($G8,1,N(INDEX(Phasing!$I8:$AF8,((YEAR(W$5)-YEAR($C8))*12+MONTH(W$5)-MONTH($C8)+1))))/$F8))</f>
        <v>0</v>
      </c>
      <c r="X8" s="38" t="n">
        <f aca="false">IF(OR($C8="",$D8="",$F8=0),0,IF(OR(X$5&lt;=Projects!$C$2,((YEAR(X$5)-YEAR($C8))*12+MONTH(X$5)-MONTH($C8)+1)&lt;1,((YEAR(X$5)-YEAR($C8))*12+MONTH(X$5)-MONTH($C8)+1)&gt;$D8),0,$E8*IF($G8,1,N(INDEX(Phasing!$I8:$AF8,((YEAR(X$5)-YEAR($C8))*12+MONTH(X$5)-MONTH($C8)+1))))/$F8))</f>
        <v>0</v>
      </c>
      <c r="Y8" s="38" t="n">
        <f aca="false">IF(OR($C8="",$D8="",$F8=0),0,IF(OR(Y$5&lt;=Projects!$C$2,((YEAR(Y$5)-YEAR($C8))*12+MONTH(Y$5)-MONTH($C8)+1)&lt;1,((YEAR(Y$5)-YEAR($C8))*12+MONTH(Y$5)-MONTH($C8)+1)&gt;$D8),0,$E8*IF($G8,1,N(INDEX(Phasing!$I8:$AF8,((YEAR(Y$5)-YEAR($C8))*12+MONTH(Y$5)-MONTH($C8)+1))))/$F8))</f>
        <v>0</v>
      </c>
      <c r="Z8" s="38" t="n">
        <f aca="false">IF(OR($C8="",$D8="",$F8=0),0,IF(OR(Z$5&lt;=Projects!$C$2,((YEAR(Z$5)-YEAR($C8))*12+MONTH(Z$5)-MONTH($C8)+1)&lt;1,((YEAR(Z$5)-YEAR($C8))*12+MONTH(Z$5)-MONTH($C8)+1)&gt;$D8),0,$E8*IF($G8,1,N(INDEX(Phasing!$I8:$AF8,((YEAR(Z$5)-YEAR($C8))*12+MONTH(Z$5)-MONTH($C8)+1))))/$F8))</f>
        <v>0</v>
      </c>
      <c r="AA8" s="38" t="n">
        <f aca="false">IF(OR($C8="",$D8="",$F8=0),0,IF(OR(AA$5&lt;=Projects!$C$2,((YEAR(AA$5)-YEAR($C8))*12+MONTH(AA$5)-MONTH($C8)+1)&lt;1,((YEAR(AA$5)-YEAR($C8))*12+MONTH(AA$5)-MONTH($C8)+1)&gt;$D8),0,$E8*IF($G8,1,N(INDEX(Phasing!$I8:$AF8,((YEAR(AA$5)-YEAR($C8))*12+MONTH(AA$5)-MONTH($C8)+1))))/$F8))</f>
        <v>0</v>
      </c>
      <c r="AB8" s="38" t="n">
        <f aca="false">IF(OR($C8="",$D8="",$F8=0),0,IF(OR(AB$5&lt;=Projects!$C$2,((YEAR(AB$5)-YEAR($C8))*12+MONTH(AB$5)-MONTH($C8)+1)&lt;1,((YEAR(AB$5)-YEAR($C8))*12+MONTH(AB$5)-MONTH($C8)+1)&gt;$D8),0,$E8*IF($G8,1,N(INDEX(Phasing!$I8:$AF8,((YEAR(AB$5)-YEAR($C8))*12+MONTH(AB$5)-MONTH($C8)+1))))/$F8))</f>
        <v>0</v>
      </c>
      <c r="AC8" s="38" t="n">
        <f aca="false">IF(OR($C8="",$D8="",$F8=0),0,IF(OR(AC$5&lt;=Projects!$C$2,((YEAR(AC$5)-YEAR($C8))*12+MONTH(AC$5)-MONTH($C8)+1)&lt;1,((YEAR(AC$5)-YEAR($C8))*12+MONTH(AC$5)-MONTH($C8)+1)&gt;$D8),0,$E8*IF($G8,1,N(INDEX(Phasing!$I8:$AF8,((YEAR(AC$5)-YEAR($C8))*12+MONTH(AC$5)-MONTH($C8)+1))))/$F8))</f>
        <v>0</v>
      </c>
      <c r="AD8" s="38" t="n">
        <f aca="false">IF(OR($C8="",$D8="",$F8=0),0,IF(OR(AD$5&lt;=Projects!$C$2,((YEAR(AD$5)-YEAR($C8))*12+MONTH(AD$5)-MONTH($C8)+1)&lt;1,((YEAR(AD$5)-YEAR($C8))*12+MONTH(AD$5)-MONTH($C8)+1)&gt;$D8),0,$E8*IF($G8,1,N(INDEX(Phasing!$I8:$AF8,((YEAR(AD$5)-YEAR($C8))*12+MONTH(AD$5)-MONTH($C8)+1))))/$F8))</f>
        <v>0</v>
      </c>
      <c r="AE8" s="38" t="n">
        <f aca="false">IF(OR($C8="",$D8="",$F8=0),0,IF(OR(AE$5&lt;=Projects!$C$2,((YEAR(AE$5)-YEAR($C8))*12+MONTH(AE$5)-MONTH($C8)+1)&lt;1,((YEAR(AE$5)-YEAR($C8))*12+MONTH(AE$5)-MONTH($C8)+1)&gt;$D8),0,$E8*IF($G8,1,N(INDEX(Phasing!$I8:$AF8,((YEAR(AE$5)-YEAR($C8))*12+MONTH(AE$5)-MONTH($C8)+1))))/$F8))</f>
        <v>0</v>
      </c>
      <c r="AF8" s="38" t="n">
        <f aca="false">IF(OR($C8="",$D8="",$F8=0),0,IF(OR(AF$5&lt;=Projects!$C$2,((YEAR(AF$5)-YEAR($C8))*12+MONTH(AF$5)-MONTH($C8)+1)&lt;1,((YEAR(AF$5)-YEAR($C8))*12+MONTH(AF$5)-MONTH($C8)+1)&gt;$D8),0,$E8*IF($G8,1,N(INDEX(Phasing!$I8:$AF8,((YEAR(AF$5)-YEAR($C8))*12+MONTH(AF$5)-MONTH($C8)+1))))/$F8))</f>
        <v>0</v>
      </c>
      <c r="AG8" s="38" t="n">
        <f aca="false">IF(OR($C8="",$D8="",$F8=0),0,IF(OR(AG$5&lt;=Projects!$C$2,((YEAR(AG$5)-YEAR($C8))*12+MONTH(AG$5)-MONTH($C8)+1)&lt;1,((YEAR(AG$5)-YEAR($C8))*12+MONTH(AG$5)-MONTH($C8)+1)&gt;$D8),0,$E8*IF($G8,1,N(INDEX(Phasing!$I8:$AF8,((YEAR(AG$5)-YEAR($C8))*12+MONTH(AG$5)-MONTH($C8)+1))))/$F8))</f>
        <v>0</v>
      </c>
      <c r="AH8" s="38" t="n">
        <f aca="false">IF(OR($C8="",$D8="",$F8=0),0,IF(OR(AH$5&lt;=Projects!$C$2,((YEAR(AH$5)-YEAR($C8))*12+MONTH(AH$5)-MONTH($C8)+1)&lt;1,((YEAR(AH$5)-YEAR($C8))*12+MONTH(AH$5)-MONTH($C8)+1)&gt;$D8),0,$E8*IF($G8,1,N(INDEX(Phasing!$I8:$AF8,((YEAR(AH$5)-YEAR($C8))*12+MONTH(AH$5)-MONTH($C8)+1))))/$F8))</f>
        <v>0</v>
      </c>
      <c r="AI8" s="38" t="n">
        <f aca="false">IF(OR($C8="",$D8="",$F8=0),0,IF(OR(AI$5&lt;=Projects!$C$2,((YEAR(AI$5)-YEAR($C8))*12+MONTH(AI$5)-MONTH($C8)+1)&lt;1,((YEAR(AI$5)-YEAR($C8))*12+MONTH(AI$5)-MONTH($C8)+1)&gt;$D8),0,$E8*IF($G8,1,N(INDEX(Phasing!$I8:$AF8,((YEAR(AI$5)-YEAR($C8))*12+MONTH(AI$5)-MONTH($C8)+1))))/$F8))</f>
        <v>0</v>
      </c>
      <c r="AJ8" s="38" t="n">
        <f aca="false">IF(OR($C8="",$D8="",$F8=0),0,IF(OR(AJ$5&lt;=Projects!$C$2,((YEAR(AJ$5)-YEAR($C8))*12+MONTH(AJ$5)-MONTH($C8)+1)&lt;1,((YEAR(AJ$5)-YEAR($C8))*12+MONTH(AJ$5)-MONTH($C8)+1)&gt;$D8),0,$E8*IF($G8,1,N(INDEX(Phasing!$I8:$AF8,((YEAR(AJ$5)-YEAR($C8))*12+MONTH(AJ$5)-MONTH($C8)+1))))/$F8))</f>
        <v>0</v>
      </c>
      <c r="AK8" s="38" t="n">
        <f aca="false">IF(OR($C8="",$D8="",$F8=0),0,IF(OR(AK$5&lt;=Projects!$C$2,((YEAR(AK$5)-YEAR($C8))*12+MONTH(AK$5)-MONTH($C8)+1)&lt;1,((YEAR(AK$5)-YEAR($C8))*12+MONTH(AK$5)-MONTH($C8)+1)&gt;$D8),0,$E8*IF($G8,1,N(INDEX(Phasing!$I8:$AF8,((YEAR(AK$5)-YEAR($C8))*12+MONTH(AK$5)-MONTH($C8)+1))))/$F8))</f>
        <v>0</v>
      </c>
      <c r="AL8" s="38" t="n">
        <f aca="false">IF(OR($C8="",$D8="",$F8=0),0,IF(OR(AL$5&lt;=Projects!$C$2,((YEAR(AL$5)-YEAR($C8))*12+MONTH(AL$5)-MONTH($C8)+1)&lt;1,((YEAR(AL$5)-YEAR($C8))*12+MONTH(AL$5)-MONTH($C8)+1)&gt;$D8),0,$E8*IF($G8,1,N(INDEX(Phasing!$I8:$AF8,((YEAR(AL$5)-YEAR($C8))*12+MONTH(AL$5)-MONTH($C8)+1))))/$F8))</f>
        <v>0</v>
      </c>
      <c r="AM8" s="38" t="n">
        <f aca="false">IF(OR($C8="",$D8="",$F8=0),0,IF(OR(AM$5&lt;=Projects!$C$2,((YEAR(AM$5)-YEAR($C8))*12+MONTH(AM$5)-MONTH($C8)+1)&lt;1,((YEAR(AM$5)-YEAR($C8))*12+MONTH(AM$5)-MONTH($C8)+1)&gt;$D8),0,$E8*IF($G8,1,N(INDEX(Phasing!$I8:$AF8,((YEAR(AM$5)-YEAR($C8))*12+MONTH(AM$5)-MONTH($C8)+1))))/$F8))</f>
        <v>0</v>
      </c>
      <c r="AN8" s="38" t="n">
        <f aca="false">IF(OR($C8="",$D8="",$F8=0),0,IF(OR(AN$5&lt;=Projects!$C$2,((YEAR(AN$5)-YEAR($C8))*12+MONTH(AN$5)-MONTH($C8)+1)&lt;1,((YEAR(AN$5)-YEAR($C8))*12+MONTH(AN$5)-MONTH($C8)+1)&gt;$D8),0,$E8*IF($G8,1,N(INDEX(Phasing!$I8:$AF8,((YEAR(AN$5)-YEAR($C8))*12+MONTH(AN$5)-MONTH($C8)+1))))/$F8))</f>
        <v>0</v>
      </c>
      <c r="AO8" s="38" t="n">
        <f aca="false">IF(OR($C8="",$D8="",$F8=0),0,IF(OR(AO$5&lt;=Projects!$C$2,((YEAR(AO$5)-YEAR($C8))*12+MONTH(AO$5)-MONTH($C8)+1)&lt;1,((YEAR(AO$5)-YEAR($C8))*12+MONTH(AO$5)-MONTH($C8)+1)&gt;$D8),0,$E8*IF($G8,1,N(INDEX(Phasing!$I8:$AF8,((YEAR(AO$5)-YEAR($C8))*12+MONTH(AO$5)-MONTH($C8)+1))))/$F8))</f>
        <v>0</v>
      </c>
      <c r="AP8" s="38" t="n">
        <f aca="false">IF(OR($C8="",$D8="",$F8=0),0,IF(OR(AP$5&lt;=Projects!$C$2,((YEAR(AP$5)-YEAR($C8))*12+MONTH(AP$5)-MONTH($C8)+1)&lt;1,((YEAR(AP$5)-YEAR($C8))*12+MONTH(AP$5)-MONTH($C8)+1)&gt;$D8),0,$E8*IF($G8,1,N(INDEX(Phasing!$I8:$AF8,((YEAR(AP$5)-YEAR($C8))*12+MONTH(AP$5)-MONTH($C8)+1))))/$F8))</f>
        <v>0</v>
      </c>
      <c r="AQ8" s="38" t="n">
        <f aca="false">IF(OR($C8="",$D8="",$F8=0),0,IF(OR(AQ$5&lt;=Projects!$C$2,((YEAR(AQ$5)-YEAR($C8))*12+MONTH(AQ$5)-MONTH($C8)+1)&lt;1,((YEAR(AQ$5)-YEAR($C8))*12+MONTH(AQ$5)-MONTH($C8)+1)&gt;$D8),0,$E8*IF($G8,1,N(INDEX(Phasing!$I8:$AF8,((YEAR(AQ$5)-YEAR($C8))*12+MONTH(AQ$5)-MONTH($C8)+1))))/$F8))</f>
        <v>0</v>
      </c>
    </row>
    <row r="9" customFormat="false" ht="15" hidden="false" customHeight="false" outlineLevel="0" collapsed="false">
      <c r="A9" s="11" t="n">
        <v>4</v>
      </c>
      <c r="B9" s="21" t="str">
        <f aca="false">IF(Projects!B9="","",Projects!B9)</f>
        <v/>
      </c>
      <c r="C9" s="31" t="str">
        <f aca="false">IF(Projects!D9="","",Projects!D9)</f>
        <v/>
      </c>
      <c r="D9" s="21" t="str">
        <f aca="false">IF(Projects!E9="","",Projects!E9)</f>
        <v/>
      </c>
      <c r="E9" s="33" t="n">
        <f aca="false">IF(Projects!B9="",0,N(Projects!I9))</f>
        <v>0</v>
      </c>
      <c r="F9" s="21" t="n">
        <f aca="false">Phasing!G9</f>
        <v>0</v>
      </c>
      <c r="G9" s="48" t="b">
        <f aca="false">Phasing!D9=0</f>
        <v>1</v>
      </c>
      <c r="H9" s="38" t="n">
        <f aca="false">IF(OR($C9="",$D9="",$F9=0),0,IF(OR(H$5&lt;=Projects!$C$2,((YEAR(H$5)-YEAR($C9))*12+MONTH(H$5)-MONTH($C9)+1)&lt;1,((YEAR(H$5)-YEAR($C9))*12+MONTH(H$5)-MONTH($C9)+1)&gt;$D9),0,$E9*IF($G9,1,N(INDEX(Phasing!$I9:$AF9,((YEAR(H$5)-YEAR($C9))*12+MONTH(H$5)-MONTH($C9)+1))))/$F9))</f>
        <v>0</v>
      </c>
      <c r="I9" s="38" t="n">
        <f aca="false">IF(OR($C9="",$D9="",$F9=0),0,IF(OR(I$5&lt;=Projects!$C$2,((YEAR(I$5)-YEAR($C9))*12+MONTH(I$5)-MONTH($C9)+1)&lt;1,((YEAR(I$5)-YEAR($C9))*12+MONTH(I$5)-MONTH($C9)+1)&gt;$D9),0,$E9*IF($G9,1,N(INDEX(Phasing!$I9:$AF9,((YEAR(I$5)-YEAR($C9))*12+MONTH(I$5)-MONTH($C9)+1))))/$F9))</f>
        <v>0</v>
      </c>
      <c r="J9" s="38" t="n">
        <f aca="false">IF(OR($C9="",$D9="",$F9=0),0,IF(OR(J$5&lt;=Projects!$C$2,((YEAR(J$5)-YEAR($C9))*12+MONTH(J$5)-MONTH($C9)+1)&lt;1,((YEAR(J$5)-YEAR($C9))*12+MONTH(J$5)-MONTH($C9)+1)&gt;$D9),0,$E9*IF($G9,1,N(INDEX(Phasing!$I9:$AF9,((YEAR(J$5)-YEAR($C9))*12+MONTH(J$5)-MONTH($C9)+1))))/$F9))</f>
        <v>0</v>
      </c>
      <c r="K9" s="38" t="n">
        <f aca="false">IF(OR($C9="",$D9="",$F9=0),0,IF(OR(K$5&lt;=Projects!$C$2,((YEAR(K$5)-YEAR($C9))*12+MONTH(K$5)-MONTH($C9)+1)&lt;1,((YEAR(K$5)-YEAR($C9))*12+MONTH(K$5)-MONTH($C9)+1)&gt;$D9),0,$E9*IF($G9,1,N(INDEX(Phasing!$I9:$AF9,((YEAR(K$5)-YEAR($C9))*12+MONTH(K$5)-MONTH($C9)+1))))/$F9))</f>
        <v>0</v>
      </c>
      <c r="L9" s="38" t="n">
        <f aca="false">IF(OR($C9="",$D9="",$F9=0),0,IF(OR(L$5&lt;=Projects!$C$2,((YEAR(L$5)-YEAR($C9))*12+MONTH(L$5)-MONTH($C9)+1)&lt;1,((YEAR(L$5)-YEAR($C9))*12+MONTH(L$5)-MONTH($C9)+1)&gt;$D9),0,$E9*IF($G9,1,N(INDEX(Phasing!$I9:$AF9,((YEAR(L$5)-YEAR($C9))*12+MONTH(L$5)-MONTH($C9)+1))))/$F9))</f>
        <v>0</v>
      </c>
      <c r="M9" s="38" t="n">
        <f aca="false">IF(OR($C9="",$D9="",$F9=0),0,IF(OR(M$5&lt;=Projects!$C$2,((YEAR(M$5)-YEAR($C9))*12+MONTH(M$5)-MONTH($C9)+1)&lt;1,((YEAR(M$5)-YEAR($C9))*12+MONTH(M$5)-MONTH($C9)+1)&gt;$D9),0,$E9*IF($G9,1,N(INDEX(Phasing!$I9:$AF9,((YEAR(M$5)-YEAR($C9))*12+MONTH(M$5)-MONTH($C9)+1))))/$F9))</f>
        <v>0</v>
      </c>
      <c r="N9" s="38" t="n">
        <f aca="false">IF(OR($C9="",$D9="",$F9=0),0,IF(OR(N$5&lt;=Projects!$C$2,((YEAR(N$5)-YEAR($C9))*12+MONTH(N$5)-MONTH($C9)+1)&lt;1,((YEAR(N$5)-YEAR($C9))*12+MONTH(N$5)-MONTH($C9)+1)&gt;$D9),0,$E9*IF($G9,1,N(INDEX(Phasing!$I9:$AF9,((YEAR(N$5)-YEAR($C9))*12+MONTH(N$5)-MONTH($C9)+1))))/$F9))</f>
        <v>0</v>
      </c>
      <c r="O9" s="38" t="n">
        <f aca="false">IF(OR($C9="",$D9="",$F9=0),0,IF(OR(O$5&lt;=Projects!$C$2,((YEAR(O$5)-YEAR($C9))*12+MONTH(O$5)-MONTH($C9)+1)&lt;1,((YEAR(O$5)-YEAR($C9))*12+MONTH(O$5)-MONTH($C9)+1)&gt;$D9),0,$E9*IF($G9,1,N(INDEX(Phasing!$I9:$AF9,((YEAR(O$5)-YEAR($C9))*12+MONTH(O$5)-MONTH($C9)+1))))/$F9))</f>
        <v>0</v>
      </c>
      <c r="P9" s="38" t="n">
        <f aca="false">IF(OR($C9="",$D9="",$F9=0),0,IF(OR(P$5&lt;=Projects!$C$2,((YEAR(P$5)-YEAR($C9))*12+MONTH(P$5)-MONTH($C9)+1)&lt;1,((YEAR(P$5)-YEAR($C9))*12+MONTH(P$5)-MONTH($C9)+1)&gt;$D9),0,$E9*IF($G9,1,N(INDEX(Phasing!$I9:$AF9,((YEAR(P$5)-YEAR($C9))*12+MONTH(P$5)-MONTH($C9)+1))))/$F9))</f>
        <v>0</v>
      </c>
      <c r="Q9" s="38" t="n">
        <f aca="false">IF(OR($C9="",$D9="",$F9=0),0,IF(OR(Q$5&lt;=Projects!$C$2,((YEAR(Q$5)-YEAR($C9))*12+MONTH(Q$5)-MONTH($C9)+1)&lt;1,((YEAR(Q$5)-YEAR($C9))*12+MONTH(Q$5)-MONTH($C9)+1)&gt;$D9),0,$E9*IF($G9,1,N(INDEX(Phasing!$I9:$AF9,((YEAR(Q$5)-YEAR($C9))*12+MONTH(Q$5)-MONTH($C9)+1))))/$F9))</f>
        <v>0</v>
      </c>
      <c r="R9" s="38" t="n">
        <f aca="false">IF(OR($C9="",$D9="",$F9=0),0,IF(OR(R$5&lt;=Projects!$C$2,((YEAR(R$5)-YEAR($C9))*12+MONTH(R$5)-MONTH($C9)+1)&lt;1,((YEAR(R$5)-YEAR($C9))*12+MONTH(R$5)-MONTH($C9)+1)&gt;$D9),0,$E9*IF($G9,1,N(INDEX(Phasing!$I9:$AF9,((YEAR(R$5)-YEAR($C9))*12+MONTH(R$5)-MONTH($C9)+1))))/$F9))</f>
        <v>0</v>
      </c>
      <c r="S9" s="38" t="n">
        <f aca="false">IF(OR($C9="",$D9="",$F9=0),0,IF(OR(S$5&lt;=Projects!$C$2,((YEAR(S$5)-YEAR($C9))*12+MONTH(S$5)-MONTH($C9)+1)&lt;1,((YEAR(S$5)-YEAR($C9))*12+MONTH(S$5)-MONTH($C9)+1)&gt;$D9),0,$E9*IF($G9,1,N(INDEX(Phasing!$I9:$AF9,((YEAR(S$5)-YEAR($C9))*12+MONTH(S$5)-MONTH($C9)+1))))/$F9))</f>
        <v>0</v>
      </c>
      <c r="T9" s="38" t="n">
        <f aca="false">IF(OR($C9="",$D9="",$F9=0),0,IF(OR(T$5&lt;=Projects!$C$2,((YEAR(T$5)-YEAR($C9))*12+MONTH(T$5)-MONTH($C9)+1)&lt;1,((YEAR(T$5)-YEAR($C9))*12+MONTH(T$5)-MONTH($C9)+1)&gt;$D9),0,$E9*IF($G9,1,N(INDEX(Phasing!$I9:$AF9,((YEAR(T$5)-YEAR($C9))*12+MONTH(T$5)-MONTH($C9)+1))))/$F9))</f>
        <v>0</v>
      </c>
      <c r="U9" s="38" t="n">
        <f aca="false">IF(OR($C9="",$D9="",$F9=0),0,IF(OR(U$5&lt;=Projects!$C$2,((YEAR(U$5)-YEAR($C9))*12+MONTH(U$5)-MONTH($C9)+1)&lt;1,((YEAR(U$5)-YEAR($C9))*12+MONTH(U$5)-MONTH($C9)+1)&gt;$D9),0,$E9*IF($G9,1,N(INDEX(Phasing!$I9:$AF9,((YEAR(U$5)-YEAR($C9))*12+MONTH(U$5)-MONTH($C9)+1))))/$F9))</f>
        <v>0</v>
      </c>
      <c r="V9" s="38" t="n">
        <f aca="false">IF(OR($C9="",$D9="",$F9=0),0,IF(OR(V$5&lt;=Projects!$C$2,((YEAR(V$5)-YEAR($C9))*12+MONTH(V$5)-MONTH($C9)+1)&lt;1,((YEAR(V$5)-YEAR($C9))*12+MONTH(V$5)-MONTH($C9)+1)&gt;$D9),0,$E9*IF($G9,1,N(INDEX(Phasing!$I9:$AF9,((YEAR(V$5)-YEAR($C9))*12+MONTH(V$5)-MONTH($C9)+1))))/$F9))</f>
        <v>0</v>
      </c>
      <c r="W9" s="38" t="n">
        <f aca="false">IF(OR($C9="",$D9="",$F9=0),0,IF(OR(W$5&lt;=Projects!$C$2,((YEAR(W$5)-YEAR($C9))*12+MONTH(W$5)-MONTH($C9)+1)&lt;1,((YEAR(W$5)-YEAR($C9))*12+MONTH(W$5)-MONTH($C9)+1)&gt;$D9),0,$E9*IF($G9,1,N(INDEX(Phasing!$I9:$AF9,((YEAR(W$5)-YEAR($C9))*12+MONTH(W$5)-MONTH($C9)+1))))/$F9))</f>
        <v>0</v>
      </c>
      <c r="X9" s="38" t="n">
        <f aca="false">IF(OR($C9="",$D9="",$F9=0),0,IF(OR(X$5&lt;=Projects!$C$2,((YEAR(X$5)-YEAR($C9))*12+MONTH(X$5)-MONTH($C9)+1)&lt;1,((YEAR(X$5)-YEAR($C9))*12+MONTH(X$5)-MONTH($C9)+1)&gt;$D9),0,$E9*IF($G9,1,N(INDEX(Phasing!$I9:$AF9,((YEAR(X$5)-YEAR($C9))*12+MONTH(X$5)-MONTH($C9)+1))))/$F9))</f>
        <v>0</v>
      </c>
      <c r="Y9" s="38" t="n">
        <f aca="false">IF(OR($C9="",$D9="",$F9=0),0,IF(OR(Y$5&lt;=Projects!$C$2,((YEAR(Y$5)-YEAR($C9))*12+MONTH(Y$5)-MONTH($C9)+1)&lt;1,((YEAR(Y$5)-YEAR($C9))*12+MONTH(Y$5)-MONTH($C9)+1)&gt;$D9),0,$E9*IF($G9,1,N(INDEX(Phasing!$I9:$AF9,((YEAR(Y$5)-YEAR($C9))*12+MONTH(Y$5)-MONTH($C9)+1))))/$F9))</f>
        <v>0</v>
      </c>
      <c r="Z9" s="38" t="n">
        <f aca="false">IF(OR($C9="",$D9="",$F9=0),0,IF(OR(Z$5&lt;=Projects!$C$2,((YEAR(Z$5)-YEAR($C9))*12+MONTH(Z$5)-MONTH($C9)+1)&lt;1,((YEAR(Z$5)-YEAR($C9))*12+MONTH(Z$5)-MONTH($C9)+1)&gt;$D9),0,$E9*IF($G9,1,N(INDEX(Phasing!$I9:$AF9,((YEAR(Z$5)-YEAR($C9))*12+MONTH(Z$5)-MONTH($C9)+1))))/$F9))</f>
        <v>0</v>
      </c>
      <c r="AA9" s="38" t="n">
        <f aca="false">IF(OR($C9="",$D9="",$F9=0),0,IF(OR(AA$5&lt;=Projects!$C$2,((YEAR(AA$5)-YEAR($C9))*12+MONTH(AA$5)-MONTH($C9)+1)&lt;1,((YEAR(AA$5)-YEAR($C9))*12+MONTH(AA$5)-MONTH($C9)+1)&gt;$D9),0,$E9*IF($G9,1,N(INDEX(Phasing!$I9:$AF9,((YEAR(AA$5)-YEAR($C9))*12+MONTH(AA$5)-MONTH($C9)+1))))/$F9))</f>
        <v>0</v>
      </c>
      <c r="AB9" s="38" t="n">
        <f aca="false">IF(OR($C9="",$D9="",$F9=0),0,IF(OR(AB$5&lt;=Projects!$C$2,((YEAR(AB$5)-YEAR($C9))*12+MONTH(AB$5)-MONTH($C9)+1)&lt;1,((YEAR(AB$5)-YEAR($C9))*12+MONTH(AB$5)-MONTH($C9)+1)&gt;$D9),0,$E9*IF($G9,1,N(INDEX(Phasing!$I9:$AF9,((YEAR(AB$5)-YEAR($C9))*12+MONTH(AB$5)-MONTH($C9)+1))))/$F9))</f>
        <v>0</v>
      </c>
      <c r="AC9" s="38" t="n">
        <f aca="false">IF(OR($C9="",$D9="",$F9=0),0,IF(OR(AC$5&lt;=Projects!$C$2,((YEAR(AC$5)-YEAR($C9))*12+MONTH(AC$5)-MONTH($C9)+1)&lt;1,((YEAR(AC$5)-YEAR($C9))*12+MONTH(AC$5)-MONTH($C9)+1)&gt;$D9),0,$E9*IF($G9,1,N(INDEX(Phasing!$I9:$AF9,((YEAR(AC$5)-YEAR($C9))*12+MONTH(AC$5)-MONTH($C9)+1))))/$F9))</f>
        <v>0</v>
      </c>
      <c r="AD9" s="38" t="n">
        <f aca="false">IF(OR($C9="",$D9="",$F9=0),0,IF(OR(AD$5&lt;=Projects!$C$2,((YEAR(AD$5)-YEAR($C9))*12+MONTH(AD$5)-MONTH($C9)+1)&lt;1,((YEAR(AD$5)-YEAR($C9))*12+MONTH(AD$5)-MONTH($C9)+1)&gt;$D9),0,$E9*IF($G9,1,N(INDEX(Phasing!$I9:$AF9,((YEAR(AD$5)-YEAR($C9))*12+MONTH(AD$5)-MONTH($C9)+1))))/$F9))</f>
        <v>0</v>
      </c>
      <c r="AE9" s="38" t="n">
        <f aca="false">IF(OR($C9="",$D9="",$F9=0),0,IF(OR(AE$5&lt;=Projects!$C$2,((YEAR(AE$5)-YEAR($C9))*12+MONTH(AE$5)-MONTH($C9)+1)&lt;1,((YEAR(AE$5)-YEAR($C9))*12+MONTH(AE$5)-MONTH($C9)+1)&gt;$D9),0,$E9*IF($G9,1,N(INDEX(Phasing!$I9:$AF9,((YEAR(AE$5)-YEAR($C9))*12+MONTH(AE$5)-MONTH($C9)+1))))/$F9))</f>
        <v>0</v>
      </c>
      <c r="AF9" s="38" t="n">
        <f aca="false">IF(OR($C9="",$D9="",$F9=0),0,IF(OR(AF$5&lt;=Projects!$C$2,((YEAR(AF$5)-YEAR($C9))*12+MONTH(AF$5)-MONTH($C9)+1)&lt;1,((YEAR(AF$5)-YEAR($C9))*12+MONTH(AF$5)-MONTH($C9)+1)&gt;$D9),0,$E9*IF($G9,1,N(INDEX(Phasing!$I9:$AF9,((YEAR(AF$5)-YEAR($C9))*12+MONTH(AF$5)-MONTH($C9)+1))))/$F9))</f>
        <v>0</v>
      </c>
      <c r="AG9" s="38" t="n">
        <f aca="false">IF(OR($C9="",$D9="",$F9=0),0,IF(OR(AG$5&lt;=Projects!$C$2,((YEAR(AG$5)-YEAR($C9))*12+MONTH(AG$5)-MONTH($C9)+1)&lt;1,((YEAR(AG$5)-YEAR($C9))*12+MONTH(AG$5)-MONTH($C9)+1)&gt;$D9),0,$E9*IF($G9,1,N(INDEX(Phasing!$I9:$AF9,((YEAR(AG$5)-YEAR($C9))*12+MONTH(AG$5)-MONTH($C9)+1))))/$F9))</f>
        <v>0</v>
      </c>
      <c r="AH9" s="38" t="n">
        <f aca="false">IF(OR($C9="",$D9="",$F9=0),0,IF(OR(AH$5&lt;=Projects!$C$2,((YEAR(AH$5)-YEAR($C9))*12+MONTH(AH$5)-MONTH($C9)+1)&lt;1,((YEAR(AH$5)-YEAR($C9))*12+MONTH(AH$5)-MONTH($C9)+1)&gt;$D9),0,$E9*IF($G9,1,N(INDEX(Phasing!$I9:$AF9,((YEAR(AH$5)-YEAR($C9))*12+MONTH(AH$5)-MONTH($C9)+1))))/$F9))</f>
        <v>0</v>
      </c>
      <c r="AI9" s="38" t="n">
        <f aca="false">IF(OR($C9="",$D9="",$F9=0),0,IF(OR(AI$5&lt;=Projects!$C$2,((YEAR(AI$5)-YEAR($C9))*12+MONTH(AI$5)-MONTH($C9)+1)&lt;1,((YEAR(AI$5)-YEAR($C9))*12+MONTH(AI$5)-MONTH($C9)+1)&gt;$D9),0,$E9*IF($G9,1,N(INDEX(Phasing!$I9:$AF9,((YEAR(AI$5)-YEAR($C9))*12+MONTH(AI$5)-MONTH($C9)+1))))/$F9))</f>
        <v>0</v>
      </c>
      <c r="AJ9" s="38" t="n">
        <f aca="false">IF(OR($C9="",$D9="",$F9=0),0,IF(OR(AJ$5&lt;=Projects!$C$2,((YEAR(AJ$5)-YEAR($C9))*12+MONTH(AJ$5)-MONTH($C9)+1)&lt;1,((YEAR(AJ$5)-YEAR($C9))*12+MONTH(AJ$5)-MONTH($C9)+1)&gt;$D9),0,$E9*IF($G9,1,N(INDEX(Phasing!$I9:$AF9,((YEAR(AJ$5)-YEAR($C9))*12+MONTH(AJ$5)-MONTH($C9)+1))))/$F9))</f>
        <v>0</v>
      </c>
      <c r="AK9" s="38" t="n">
        <f aca="false">IF(OR($C9="",$D9="",$F9=0),0,IF(OR(AK$5&lt;=Projects!$C$2,((YEAR(AK$5)-YEAR($C9))*12+MONTH(AK$5)-MONTH($C9)+1)&lt;1,((YEAR(AK$5)-YEAR($C9))*12+MONTH(AK$5)-MONTH($C9)+1)&gt;$D9),0,$E9*IF($G9,1,N(INDEX(Phasing!$I9:$AF9,((YEAR(AK$5)-YEAR($C9))*12+MONTH(AK$5)-MONTH($C9)+1))))/$F9))</f>
        <v>0</v>
      </c>
      <c r="AL9" s="38" t="n">
        <f aca="false">IF(OR($C9="",$D9="",$F9=0),0,IF(OR(AL$5&lt;=Projects!$C$2,((YEAR(AL$5)-YEAR($C9))*12+MONTH(AL$5)-MONTH($C9)+1)&lt;1,((YEAR(AL$5)-YEAR($C9))*12+MONTH(AL$5)-MONTH($C9)+1)&gt;$D9),0,$E9*IF($G9,1,N(INDEX(Phasing!$I9:$AF9,((YEAR(AL$5)-YEAR($C9))*12+MONTH(AL$5)-MONTH($C9)+1))))/$F9))</f>
        <v>0</v>
      </c>
      <c r="AM9" s="38" t="n">
        <f aca="false">IF(OR($C9="",$D9="",$F9=0),0,IF(OR(AM$5&lt;=Projects!$C$2,((YEAR(AM$5)-YEAR($C9))*12+MONTH(AM$5)-MONTH($C9)+1)&lt;1,((YEAR(AM$5)-YEAR($C9))*12+MONTH(AM$5)-MONTH($C9)+1)&gt;$D9),0,$E9*IF($G9,1,N(INDEX(Phasing!$I9:$AF9,((YEAR(AM$5)-YEAR($C9))*12+MONTH(AM$5)-MONTH($C9)+1))))/$F9))</f>
        <v>0</v>
      </c>
      <c r="AN9" s="38" t="n">
        <f aca="false">IF(OR($C9="",$D9="",$F9=0),0,IF(OR(AN$5&lt;=Projects!$C$2,((YEAR(AN$5)-YEAR($C9))*12+MONTH(AN$5)-MONTH($C9)+1)&lt;1,((YEAR(AN$5)-YEAR($C9))*12+MONTH(AN$5)-MONTH($C9)+1)&gt;$D9),0,$E9*IF($G9,1,N(INDEX(Phasing!$I9:$AF9,((YEAR(AN$5)-YEAR($C9))*12+MONTH(AN$5)-MONTH($C9)+1))))/$F9))</f>
        <v>0</v>
      </c>
      <c r="AO9" s="38" t="n">
        <f aca="false">IF(OR($C9="",$D9="",$F9=0),0,IF(OR(AO$5&lt;=Projects!$C$2,((YEAR(AO$5)-YEAR($C9))*12+MONTH(AO$5)-MONTH($C9)+1)&lt;1,((YEAR(AO$5)-YEAR($C9))*12+MONTH(AO$5)-MONTH($C9)+1)&gt;$D9),0,$E9*IF($G9,1,N(INDEX(Phasing!$I9:$AF9,((YEAR(AO$5)-YEAR($C9))*12+MONTH(AO$5)-MONTH($C9)+1))))/$F9))</f>
        <v>0</v>
      </c>
      <c r="AP9" s="38" t="n">
        <f aca="false">IF(OR($C9="",$D9="",$F9=0),0,IF(OR(AP$5&lt;=Projects!$C$2,((YEAR(AP$5)-YEAR($C9))*12+MONTH(AP$5)-MONTH($C9)+1)&lt;1,((YEAR(AP$5)-YEAR($C9))*12+MONTH(AP$5)-MONTH($C9)+1)&gt;$D9),0,$E9*IF($G9,1,N(INDEX(Phasing!$I9:$AF9,((YEAR(AP$5)-YEAR($C9))*12+MONTH(AP$5)-MONTH($C9)+1))))/$F9))</f>
        <v>0</v>
      </c>
      <c r="AQ9" s="38" t="n">
        <f aca="false">IF(OR($C9="",$D9="",$F9=0),0,IF(OR(AQ$5&lt;=Projects!$C$2,((YEAR(AQ$5)-YEAR($C9))*12+MONTH(AQ$5)-MONTH($C9)+1)&lt;1,((YEAR(AQ$5)-YEAR($C9))*12+MONTH(AQ$5)-MONTH($C9)+1)&gt;$D9),0,$E9*IF($G9,1,N(INDEX(Phasing!$I9:$AF9,((YEAR(AQ$5)-YEAR($C9))*12+MONTH(AQ$5)-MONTH($C9)+1))))/$F9))</f>
        <v>0</v>
      </c>
    </row>
    <row r="10" customFormat="false" ht="15" hidden="false" customHeight="false" outlineLevel="0" collapsed="false">
      <c r="A10" s="11" t="n">
        <v>5</v>
      </c>
      <c r="B10" s="21" t="str">
        <f aca="false">IF(Projects!B10="","",Projects!B10)</f>
        <v/>
      </c>
      <c r="C10" s="31" t="str">
        <f aca="false">IF(Projects!D10="","",Projects!D10)</f>
        <v/>
      </c>
      <c r="D10" s="21" t="str">
        <f aca="false">IF(Projects!E10="","",Projects!E10)</f>
        <v/>
      </c>
      <c r="E10" s="33" t="n">
        <f aca="false">IF(Projects!B10="",0,N(Projects!I10))</f>
        <v>0</v>
      </c>
      <c r="F10" s="21" t="n">
        <f aca="false">Phasing!G10</f>
        <v>0</v>
      </c>
      <c r="G10" s="48" t="b">
        <f aca="false">Phasing!D10=0</f>
        <v>1</v>
      </c>
      <c r="H10" s="38" t="n">
        <f aca="false">IF(OR($C10="",$D10="",$F10=0),0,IF(OR(H$5&lt;=Projects!$C$2,((YEAR(H$5)-YEAR($C10))*12+MONTH(H$5)-MONTH($C10)+1)&lt;1,((YEAR(H$5)-YEAR($C10))*12+MONTH(H$5)-MONTH($C10)+1)&gt;$D10),0,$E10*IF($G10,1,N(INDEX(Phasing!$I10:$AF10,((YEAR(H$5)-YEAR($C10))*12+MONTH(H$5)-MONTH($C10)+1))))/$F10))</f>
        <v>0</v>
      </c>
      <c r="I10" s="38" t="n">
        <f aca="false">IF(OR($C10="",$D10="",$F10=0),0,IF(OR(I$5&lt;=Projects!$C$2,((YEAR(I$5)-YEAR($C10))*12+MONTH(I$5)-MONTH($C10)+1)&lt;1,((YEAR(I$5)-YEAR($C10))*12+MONTH(I$5)-MONTH($C10)+1)&gt;$D10),0,$E10*IF($G10,1,N(INDEX(Phasing!$I10:$AF10,((YEAR(I$5)-YEAR($C10))*12+MONTH(I$5)-MONTH($C10)+1))))/$F10))</f>
        <v>0</v>
      </c>
      <c r="J10" s="38" t="n">
        <f aca="false">IF(OR($C10="",$D10="",$F10=0),0,IF(OR(J$5&lt;=Projects!$C$2,((YEAR(J$5)-YEAR($C10))*12+MONTH(J$5)-MONTH($C10)+1)&lt;1,((YEAR(J$5)-YEAR($C10))*12+MONTH(J$5)-MONTH($C10)+1)&gt;$D10),0,$E10*IF($G10,1,N(INDEX(Phasing!$I10:$AF10,((YEAR(J$5)-YEAR($C10))*12+MONTH(J$5)-MONTH($C10)+1))))/$F10))</f>
        <v>0</v>
      </c>
      <c r="K10" s="38" t="n">
        <f aca="false">IF(OR($C10="",$D10="",$F10=0),0,IF(OR(K$5&lt;=Projects!$C$2,((YEAR(K$5)-YEAR($C10))*12+MONTH(K$5)-MONTH($C10)+1)&lt;1,((YEAR(K$5)-YEAR($C10))*12+MONTH(K$5)-MONTH($C10)+1)&gt;$D10),0,$E10*IF($G10,1,N(INDEX(Phasing!$I10:$AF10,((YEAR(K$5)-YEAR($C10))*12+MONTH(K$5)-MONTH($C10)+1))))/$F10))</f>
        <v>0</v>
      </c>
      <c r="L10" s="38" t="n">
        <f aca="false">IF(OR($C10="",$D10="",$F10=0),0,IF(OR(L$5&lt;=Projects!$C$2,((YEAR(L$5)-YEAR($C10))*12+MONTH(L$5)-MONTH($C10)+1)&lt;1,((YEAR(L$5)-YEAR($C10))*12+MONTH(L$5)-MONTH($C10)+1)&gt;$D10),0,$E10*IF($G10,1,N(INDEX(Phasing!$I10:$AF10,((YEAR(L$5)-YEAR($C10))*12+MONTH(L$5)-MONTH($C10)+1))))/$F10))</f>
        <v>0</v>
      </c>
      <c r="M10" s="38" t="n">
        <f aca="false">IF(OR($C10="",$D10="",$F10=0),0,IF(OR(M$5&lt;=Projects!$C$2,((YEAR(M$5)-YEAR($C10))*12+MONTH(M$5)-MONTH($C10)+1)&lt;1,((YEAR(M$5)-YEAR($C10))*12+MONTH(M$5)-MONTH($C10)+1)&gt;$D10),0,$E10*IF($G10,1,N(INDEX(Phasing!$I10:$AF10,((YEAR(M$5)-YEAR($C10))*12+MONTH(M$5)-MONTH($C10)+1))))/$F10))</f>
        <v>0</v>
      </c>
      <c r="N10" s="38" t="n">
        <f aca="false">IF(OR($C10="",$D10="",$F10=0),0,IF(OR(N$5&lt;=Projects!$C$2,((YEAR(N$5)-YEAR($C10))*12+MONTH(N$5)-MONTH($C10)+1)&lt;1,((YEAR(N$5)-YEAR($C10))*12+MONTH(N$5)-MONTH($C10)+1)&gt;$D10),0,$E10*IF($G10,1,N(INDEX(Phasing!$I10:$AF10,((YEAR(N$5)-YEAR($C10))*12+MONTH(N$5)-MONTH($C10)+1))))/$F10))</f>
        <v>0</v>
      </c>
      <c r="O10" s="38" t="n">
        <f aca="false">IF(OR($C10="",$D10="",$F10=0),0,IF(OR(O$5&lt;=Projects!$C$2,((YEAR(O$5)-YEAR($C10))*12+MONTH(O$5)-MONTH($C10)+1)&lt;1,((YEAR(O$5)-YEAR($C10))*12+MONTH(O$5)-MONTH($C10)+1)&gt;$D10),0,$E10*IF($G10,1,N(INDEX(Phasing!$I10:$AF10,((YEAR(O$5)-YEAR($C10))*12+MONTH(O$5)-MONTH($C10)+1))))/$F10))</f>
        <v>0</v>
      </c>
      <c r="P10" s="38" t="n">
        <f aca="false">IF(OR($C10="",$D10="",$F10=0),0,IF(OR(P$5&lt;=Projects!$C$2,((YEAR(P$5)-YEAR($C10))*12+MONTH(P$5)-MONTH($C10)+1)&lt;1,((YEAR(P$5)-YEAR($C10))*12+MONTH(P$5)-MONTH($C10)+1)&gt;$D10),0,$E10*IF($G10,1,N(INDEX(Phasing!$I10:$AF10,((YEAR(P$5)-YEAR($C10))*12+MONTH(P$5)-MONTH($C10)+1))))/$F10))</f>
        <v>0</v>
      </c>
      <c r="Q10" s="38" t="n">
        <f aca="false">IF(OR($C10="",$D10="",$F10=0),0,IF(OR(Q$5&lt;=Projects!$C$2,((YEAR(Q$5)-YEAR($C10))*12+MONTH(Q$5)-MONTH($C10)+1)&lt;1,((YEAR(Q$5)-YEAR($C10))*12+MONTH(Q$5)-MONTH($C10)+1)&gt;$D10),0,$E10*IF($G10,1,N(INDEX(Phasing!$I10:$AF10,((YEAR(Q$5)-YEAR($C10))*12+MONTH(Q$5)-MONTH($C10)+1))))/$F10))</f>
        <v>0</v>
      </c>
      <c r="R10" s="38" t="n">
        <f aca="false">IF(OR($C10="",$D10="",$F10=0),0,IF(OR(R$5&lt;=Projects!$C$2,((YEAR(R$5)-YEAR($C10))*12+MONTH(R$5)-MONTH($C10)+1)&lt;1,((YEAR(R$5)-YEAR($C10))*12+MONTH(R$5)-MONTH($C10)+1)&gt;$D10),0,$E10*IF($G10,1,N(INDEX(Phasing!$I10:$AF10,((YEAR(R$5)-YEAR($C10))*12+MONTH(R$5)-MONTH($C10)+1))))/$F10))</f>
        <v>0</v>
      </c>
      <c r="S10" s="38" t="n">
        <f aca="false">IF(OR($C10="",$D10="",$F10=0),0,IF(OR(S$5&lt;=Projects!$C$2,((YEAR(S$5)-YEAR($C10))*12+MONTH(S$5)-MONTH($C10)+1)&lt;1,((YEAR(S$5)-YEAR($C10))*12+MONTH(S$5)-MONTH($C10)+1)&gt;$D10),0,$E10*IF($G10,1,N(INDEX(Phasing!$I10:$AF10,((YEAR(S$5)-YEAR($C10))*12+MONTH(S$5)-MONTH($C10)+1))))/$F10))</f>
        <v>0</v>
      </c>
      <c r="T10" s="38" t="n">
        <f aca="false">IF(OR($C10="",$D10="",$F10=0),0,IF(OR(T$5&lt;=Projects!$C$2,((YEAR(T$5)-YEAR($C10))*12+MONTH(T$5)-MONTH($C10)+1)&lt;1,((YEAR(T$5)-YEAR($C10))*12+MONTH(T$5)-MONTH($C10)+1)&gt;$D10),0,$E10*IF($G10,1,N(INDEX(Phasing!$I10:$AF10,((YEAR(T$5)-YEAR($C10))*12+MONTH(T$5)-MONTH($C10)+1))))/$F10))</f>
        <v>0</v>
      </c>
      <c r="U10" s="38" t="n">
        <f aca="false">IF(OR($C10="",$D10="",$F10=0),0,IF(OR(U$5&lt;=Projects!$C$2,((YEAR(U$5)-YEAR($C10))*12+MONTH(U$5)-MONTH($C10)+1)&lt;1,((YEAR(U$5)-YEAR($C10))*12+MONTH(U$5)-MONTH($C10)+1)&gt;$D10),0,$E10*IF($G10,1,N(INDEX(Phasing!$I10:$AF10,((YEAR(U$5)-YEAR($C10))*12+MONTH(U$5)-MONTH($C10)+1))))/$F10))</f>
        <v>0</v>
      </c>
      <c r="V10" s="38" t="n">
        <f aca="false">IF(OR($C10="",$D10="",$F10=0),0,IF(OR(V$5&lt;=Projects!$C$2,((YEAR(V$5)-YEAR($C10))*12+MONTH(V$5)-MONTH($C10)+1)&lt;1,((YEAR(V$5)-YEAR($C10))*12+MONTH(V$5)-MONTH($C10)+1)&gt;$D10),0,$E10*IF($G10,1,N(INDEX(Phasing!$I10:$AF10,((YEAR(V$5)-YEAR($C10))*12+MONTH(V$5)-MONTH($C10)+1))))/$F10))</f>
        <v>0</v>
      </c>
      <c r="W10" s="38" t="n">
        <f aca="false">IF(OR($C10="",$D10="",$F10=0),0,IF(OR(W$5&lt;=Projects!$C$2,((YEAR(W$5)-YEAR($C10))*12+MONTH(W$5)-MONTH($C10)+1)&lt;1,((YEAR(W$5)-YEAR($C10))*12+MONTH(W$5)-MONTH($C10)+1)&gt;$D10),0,$E10*IF($G10,1,N(INDEX(Phasing!$I10:$AF10,((YEAR(W$5)-YEAR($C10))*12+MONTH(W$5)-MONTH($C10)+1))))/$F10))</f>
        <v>0</v>
      </c>
      <c r="X10" s="38" t="n">
        <f aca="false">IF(OR($C10="",$D10="",$F10=0),0,IF(OR(X$5&lt;=Projects!$C$2,((YEAR(X$5)-YEAR($C10))*12+MONTH(X$5)-MONTH($C10)+1)&lt;1,((YEAR(X$5)-YEAR($C10))*12+MONTH(X$5)-MONTH($C10)+1)&gt;$D10),0,$E10*IF($G10,1,N(INDEX(Phasing!$I10:$AF10,((YEAR(X$5)-YEAR($C10))*12+MONTH(X$5)-MONTH($C10)+1))))/$F10))</f>
        <v>0</v>
      </c>
      <c r="Y10" s="38" t="n">
        <f aca="false">IF(OR($C10="",$D10="",$F10=0),0,IF(OR(Y$5&lt;=Projects!$C$2,((YEAR(Y$5)-YEAR($C10))*12+MONTH(Y$5)-MONTH($C10)+1)&lt;1,((YEAR(Y$5)-YEAR($C10))*12+MONTH(Y$5)-MONTH($C10)+1)&gt;$D10),0,$E10*IF($G10,1,N(INDEX(Phasing!$I10:$AF10,((YEAR(Y$5)-YEAR($C10))*12+MONTH(Y$5)-MONTH($C10)+1))))/$F10))</f>
        <v>0</v>
      </c>
      <c r="Z10" s="38" t="n">
        <f aca="false">IF(OR($C10="",$D10="",$F10=0),0,IF(OR(Z$5&lt;=Projects!$C$2,((YEAR(Z$5)-YEAR($C10))*12+MONTH(Z$5)-MONTH($C10)+1)&lt;1,((YEAR(Z$5)-YEAR($C10))*12+MONTH(Z$5)-MONTH($C10)+1)&gt;$D10),0,$E10*IF($G10,1,N(INDEX(Phasing!$I10:$AF10,((YEAR(Z$5)-YEAR($C10))*12+MONTH(Z$5)-MONTH($C10)+1))))/$F10))</f>
        <v>0</v>
      </c>
      <c r="AA10" s="38" t="n">
        <f aca="false">IF(OR($C10="",$D10="",$F10=0),0,IF(OR(AA$5&lt;=Projects!$C$2,((YEAR(AA$5)-YEAR($C10))*12+MONTH(AA$5)-MONTH($C10)+1)&lt;1,((YEAR(AA$5)-YEAR($C10))*12+MONTH(AA$5)-MONTH($C10)+1)&gt;$D10),0,$E10*IF($G10,1,N(INDEX(Phasing!$I10:$AF10,((YEAR(AA$5)-YEAR($C10))*12+MONTH(AA$5)-MONTH($C10)+1))))/$F10))</f>
        <v>0</v>
      </c>
      <c r="AB10" s="38" t="n">
        <f aca="false">IF(OR($C10="",$D10="",$F10=0),0,IF(OR(AB$5&lt;=Projects!$C$2,((YEAR(AB$5)-YEAR($C10))*12+MONTH(AB$5)-MONTH($C10)+1)&lt;1,((YEAR(AB$5)-YEAR($C10))*12+MONTH(AB$5)-MONTH($C10)+1)&gt;$D10),0,$E10*IF($G10,1,N(INDEX(Phasing!$I10:$AF10,((YEAR(AB$5)-YEAR($C10))*12+MONTH(AB$5)-MONTH($C10)+1))))/$F10))</f>
        <v>0</v>
      </c>
      <c r="AC10" s="38" t="n">
        <f aca="false">IF(OR($C10="",$D10="",$F10=0),0,IF(OR(AC$5&lt;=Projects!$C$2,((YEAR(AC$5)-YEAR($C10))*12+MONTH(AC$5)-MONTH($C10)+1)&lt;1,((YEAR(AC$5)-YEAR($C10))*12+MONTH(AC$5)-MONTH($C10)+1)&gt;$D10),0,$E10*IF($G10,1,N(INDEX(Phasing!$I10:$AF10,((YEAR(AC$5)-YEAR($C10))*12+MONTH(AC$5)-MONTH($C10)+1))))/$F10))</f>
        <v>0</v>
      </c>
      <c r="AD10" s="38" t="n">
        <f aca="false">IF(OR($C10="",$D10="",$F10=0),0,IF(OR(AD$5&lt;=Projects!$C$2,((YEAR(AD$5)-YEAR($C10))*12+MONTH(AD$5)-MONTH($C10)+1)&lt;1,((YEAR(AD$5)-YEAR($C10))*12+MONTH(AD$5)-MONTH($C10)+1)&gt;$D10),0,$E10*IF($G10,1,N(INDEX(Phasing!$I10:$AF10,((YEAR(AD$5)-YEAR($C10))*12+MONTH(AD$5)-MONTH($C10)+1))))/$F10))</f>
        <v>0</v>
      </c>
      <c r="AE10" s="38" t="n">
        <f aca="false">IF(OR($C10="",$D10="",$F10=0),0,IF(OR(AE$5&lt;=Projects!$C$2,((YEAR(AE$5)-YEAR($C10))*12+MONTH(AE$5)-MONTH($C10)+1)&lt;1,((YEAR(AE$5)-YEAR($C10))*12+MONTH(AE$5)-MONTH($C10)+1)&gt;$D10),0,$E10*IF($G10,1,N(INDEX(Phasing!$I10:$AF10,((YEAR(AE$5)-YEAR($C10))*12+MONTH(AE$5)-MONTH($C10)+1))))/$F10))</f>
        <v>0</v>
      </c>
      <c r="AF10" s="38" t="n">
        <f aca="false">IF(OR($C10="",$D10="",$F10=0),0,IF(OR(AF$5&lt;=Projects!$C$2,((YEAR(AF$5)-YEAR($C10))*12+MONTH(AF$5)-MONTH($C10)+1)&lt;1,((YEAR(AF$5)-YEAR($C10))*12+MONTH(AF$5)-MONTH($C10)+1)&gt;$D10),0,$E10*IF($G10,1,N(INDEX(Phasing!$I10:$AF10,((YEAR(AF$5)-YEAR($C10))*12+MONTH(AF$5)-MONTH($C10)+1))))/$F10))</f>
        <v>0</v>
      </c>
      <c r="AG10" s="38" t="n">
        <f aca="false">IF(OR($C10="",$D10="",$F10=0),0,IF(OR(AG$5&lt;=Projects!$C$2,((YEAR(AG$5)-YEAR($C10))*12+MONTH(AG$5)-MONTH($C10)+1)&lt;1,((YEAR(AG$5)-YEAR($C10))*12+MONTH(AG$5)-MONTH($C10)+1)&gt;$D10),0,$E10*IF($G10,1,N(INDEX(Phasing!$I10:$AF10,((YEAR(AG$5)-YEAR($C10))*12+MONTH(AG$5)-MONTH($C10)+1))))/$F10))</f>
        <v>0</v>
      </c>
      <c r="AH10" s="38" t="n">
        <f aca="false">IF(OR($C10="",$D10="",$F10=0),0,IF(OR(AH$5&lt;=Projects!$C$2,((YEAR(AH$5)-YEAR($C10))*12+MONTH(AH$5)-MONTH($C10)+1)&lt;1,((YEAR(AH$5)-YEAR($C10))*12+MONTH(AH$5)-MONTH($C10)+1)&gt;$D10),0,$E10*IF($G10,1,N(INDEX(Phasing!$I10:$AF10,((YEAR(AH$5)-YEAR($C10))*12+MONTH(AH$5)-MONTH($C10)+1))))/$F10))</f>
        <v>0</v>
      </c>
      <c r="AI10" s="38" t="n">
        <f aca="false">IF(OR($C10="",$D10="",$F10=0),0,IF(OR(AI$5&lt;=Projects!$C$2,((YEAR(AI$5)-YEAR($C10))*12+MONTH(AI$5)-MONTH($C10)+1)&lt;1,((YEAR(AI$5)-YEAR($C10))*12+MONTH(AI$5)-MONTH($C10)+1)&gt;$D10),0,$E10*IF($G10,1,N(INDEX(Phasing!$I10:$AF10,((YEAR(AI$5)-YEAR($C10))*12+MONTH(AI$5)-MONTH($C10)+1))))/$F10))</f>
        <v>0</v>
      </c>
      <c r="AJ10" s="38" t="n">
        <f aca="false">IF(OR($C10="",$D10="",$F10=0),0,IF(OR(AJ$5&lt;=Projects!$C$2,((YEAR(AJ$5)-YEAR($C10))*12+MONTH(AJ$5)-MONTH($C10)+1)&lt;1,((YEAR(AJ$5)-YEAR($C10))*12+MONTH(AJ$5)-MONTH($C10)+1)&gt;$D10),0,$E10*IF($G10,1,N(INDEX(Phasing!$I10:$AF10,((YEAR(AJ$5)-YEAR($C10))*12+MONTH(AJ$5)-MONTH($C10)+1))))/$F10))</f>
        <v>0</v>
      </c>
      <c r="AK10" s="38" t="n">
        <f aca="false">IF(OR($C10="",$D10="",$F10=0),0,IF(OR(AK$5&lt;=Projects!$C$2,((YEAR(AK$5)-YEAR($C10))*12+MONTH(AK$5)-MONTH($C10)+1)&lt;1,((YEAR(AK$5)-YEAR($C10))*12+MONTH(AK$5)-MONTH($C10)+1)&gt;$D10),0,$E10*IF($G10,1,N(INDEX(Phasing!$I10:$AF10,((YEAR(AK$5)-YEAR($C10))*12+MONTH(AK$5)-MONTH($C10)+1))))/$F10))</f>
        <v>0</v>
      </c>
      <c r="AL10" s="38" t="n">
        <f aca="false">IF(OR($C10="",$D10="",$F10=0),0,IF(OR(AL$5&lt;=Projects!$C$2,((YEAR(AL$5)-YEAR($C10))*12+MONTH(AL$5)-MONTH($C10)+1)&lt;1,((YEAR(AL$5)-YEAR($C10))*12+MONTH(AL$5)-MONTH($C10)+1)&gt;$D10),0,$E10*IF($G10,1,N(INDEX(Phasing!$I10:$AF10,((YEAR(AL$5)-YEAR($C10))*12+MONTH(AL$5)-MONTH($C10)+1))))/$F10))</f>
        <v>0</v>
      </c>
      <c r="AM10" s="38" t="n">
        <f aca="false">IF(OR($C10="",$D10="",$F10=0),0,IF(OR(AM$5&lt;=Projects!$C$2,((YEAR(AM$5)-YEAR($C10))*12+MONTH(AM$5)-MONTH($C10)+1)&lt;1,((YEAR(AM$5)-YEAR($C10))*12+MONTH(AM$5)-MONTH($C10)+1)&gt;$D10),0,$E10*IF($G10,1,N(INDEX(Phasing!$I10:$AF10,((YEAR(AM$5)-YEAR($C10))*12+MONTH(AM$5)-MONTH($C10)+1))))/$F10))</f>
        <v>0</v>
      </c>
      <c r="AN10" s="38" t="n">
        <f aca="false">IF(OR($C10="",$D10="",$F10=0),0,IF(OR(AN$5&lt;=Projects!$C$2,((YEAR(AN$5)-YEAR($C10))*12+MONTH(AN$5)-MONTH($C10)+1)&lt;1,((YEAR(AN$5)-YEAR($C10))*12+MONTH(AN$5)-MONTH($C10)+1)&gt;$D10),0,$E10*IF($G10,1,N(INDEX(Phasing!$I10:$AF10,((YEAR(AN$5)-YEAR($C10))*12+MONTH(AN$5)-MONTH($C10)+1))))/$F10))</f>
        <v>0</v>
      </c>
      <c r="AO10" s="38" t="n">
        <f aca="false">IF(OR($C10="",$D10="",$F10=0),0,IF(OR(AO$5&lt;=Projects!$C$2,((YEAR(AO$5)-YEAR($C10))*12+MONTH(AO$5)-MONTH($C10)+1)&lt;1,((YEAR(AO$5)-YEAR($C10))*12+MONTH(AO$5)-MONTH($C10)+1)&gt;$D10),0,$E10*IF($G10,1,N(INDEX(Phasing!$I10:$AF10,((YEAR(AO$5)-YEAR($C10))*12+MONTH(AO$5)-MONTH($C10)+1))))/$F10))</f>
        <v>0</v>
      </c>
      <c r="AP10" s="38" t="n">
        <f aca="false">IF(OR($C10="",$D10="",$F10=0),0,IF(OR(AP$5&lt;=Projects!$C$2,((YEAR(AP$5)-YEAR($C10))*12+MONTH(AP$5)-MONTH($C10)+1)&lt;1,((YEAR(AP$5)-YEAR($C10))*12+MONTH(AP$5)-MONTH($C10)+1)&gt;$D10),0,$E10*IF($G10,1,N(INDEX(Phasing!$I10:$AF10,((YEAR(AP$5)-YEAR($C10))*12+MONTH(AP$5)-MONTH($C10)+1))))/$F10))</f>
        <v>0</v>
      </c>
      <c r="AQ10" s="38" t="n">
        <f aca="false">IF(OR($C10="",$D10="",$F10=0),0,IF(OR(AQ$5&lt;=Projects!$C$2,((YEAR(AQ$5)-YEAR($C10))*12+MONTH(AQ$5)-MONTH($C10)+1)&lt;1,((YEAR(AQ$5)-YEAR($C10))*12+MONTH(AQ$5)-MONTH($C10)+1)&gt;$D10),0,$E10*IF($G10,1,N(INDEX(Phasing!$I10:$AF10,((YEAR(AQ$5)-YEAR($C10))*12+MONTH(AQ$5)-MONTH($C10)+1))))/$F10))</f>
        <v>0</v>
      </c>
    </row>
    <row r="11" customFormat="false" ht="15" hidden="false" customHeight="false" outlineLevel="0" collapsed="false">
      <c r="A11" s="11" t="n">
        <v>6</v>
      </c>
      <c r="B11" s="21" t="str">
        <f aca="false">IF(Projects!B11="","",Projects!B11)</f>
        <v/>
      </c>
      <c r="C11" s="31" t="str">
        <f aca="false">IF(Projects!D11="","",Projects!D11)</f>
        <v/>
      </c>
      <c r="D11" s="21" t="str">
        <f aca="false">IF(Projects!E11="","",Projects!E11)</f>
        <v/>
      </c>
      <c r="E11" s="33" t="n">
        <f aca="false">IF(Projects!B11="",0,N(Projects!I11))</f>
        <v>0</v>
      </c>
      <c r="F11" s="21" t="n">
        <f aca="false">Phasing!G11</f>
        <v>0</v>
      </c>
      <c r="G11" s="48" t="b">
        <f aca="false">Phasing!D11=0</f>
        <v>1</v>
      </c>
      <c r="H11" s="38" t="n">
        <f aca="false">IF(OR($C11="",$D11="",$F11=0),0,IF(OR(H$5&lt;=Projects!$C$2,((YEAR(H$5)-YEAR($C11))*12+MONTH(H$5)-MONTH($C11)+1)&lt;1,((YEAR(H$5)-YEAR($C11))*12+MONTH(H$5)-MONTH($C11)+1)&gt;$D11),0,$E11*IF($G11,1,N(INDEX(Phasing!$I11:$AF11,((YEAR(H$5)-YEAR($C11))*12+MONTH(H$5)-MONTH($C11)+1))))/$F11))</f>
        <v>0</v>
      </c>
      <c r="I11" s="38" t="n">
        <f aca="false">IF(OR($C11="",$D11="",$F11=0),0,IF(OR(I$5&lt;=Projects!$C$2,((YEAR(I$5)-YEAR($C11))*12+MONTH(I$5)-MONTH($C11)+1)&lt;1,((YEAR(I$5)-YEAR($C11))*12+MONTH(I$5)-MONTH($C11)+1)&gt;$D11),0,$E11*IF($G11,1,N(INDEX(Phasing!$I11:$AF11,((YEAR(I$5)-YEAR($C11))*12+MONTH(I$5)-MONTH($C11)+1))))/$F11))</f>
        <v>0</v>
      </c>
      <c r="J11" s="38" t="n">
        <f aca="false">IF(OR($C11="",$D11="",$F11=0),0,IF(OR(J$5&lt;=Projects!$C$2,((YEAR(J$5)-YEAR($C11))*12+MONTH(J$5)-MONTH($C11)+1)&lt;1,((YEAR(J$5)-YEAR($C11))*12+MONTH(J$5)-MONTH($C11)+1)&gt;$D11),0,$E11*IF($G11,1,N(INDEX(Phasing!$I11:$AF11,((YEAR(J$5)-YEAR($C11))*12+MONTH(J$5)-MONTH($C11)+1))))/$F11))</f>
        <v>0</v>
      </c>
      <c r="K11" s="38" t="n">
        <f aca="false">IF(OR($C11="",$D11="",$F11=0),0,IF(OR(K$5&lt;=Projects!$C$2,((YEAR(K$5)-YEAR($C11))*12+MONTH(K$5)-MONTH($C11)+1)&lt;1,((YEAR(K$5)-YEAR($C11))*12+MONTH(K$5)-MONTH($C11)+1)&gt;$D11),0,$E11*IF($G11,1,N(INDEX(Phasing!$I11:$AF11,((YEAR(K$5)-YEAR($C11))*12+MONTH(K$5)-MONTH($C11)+1))))/$F11))</f>
        <v>0</v>
      </c>
      <c r="L11" s="38" t="n">
        <f aca="false">IF(OR($C11="",$D11="",$F11=0),0,IF(OR(L$5&lt;=Projects!$C$2,((YEAR(L$5)-YEAR($C11))*12+MONTH(L$5)-MONTH($C11)+1)&lt;1,((YEAR(L$5)-YEAR($C11))*12+MONTH(L$5)-MONTH($C11)+1)&gt;$D11),0,$E11*IF($G11,1,N(INDEX(Phasing!$I11:$AF11,((YEAR(L$5)-YEAR($C11))*12+MONTH(L$5)-MONTH($C11)+1))))/$F11))</f>
        <v>0</v>
      </c>
      <c r="M11" s="38" t="n">
        <f aca="false">IF(OR($C11="",$D11="",$F11=0),0,IF(OR(M$5&lt;=Projects!$C$2,((YEAR(M$5)-YEAR($C11))*12+MONTH(M$5)-MONTH($C11)+1)&lt;1,((YEAR(M$5)-YEAR($C11))*12+MONTH(M$5)-MONTH($C11)+1)&gt;$D11),0,$E11*IF($G11,1,N(INDEX(Phasing!$I11:$AF11,((YEAR(M$5)-YEAR($C11))*12+MONTH(M$5)-MONTH($C11)+1))))/$F11))</f>
        <v>0</v>
      </c>
      <c r="N11" s="38" t="n">
        <f aca="false">IF(OR($C11="",$D11="",$F11=0),0,IF(OR(N$5&lt;=Projects!$C$2,((YEAR(N$5)-YEAR($C11))*12+MONTH(N$5)-MONTH($C11)+1)&lt;1,((YEAR(N$5)-YEAR($C11))*12+MONTH(N$5)-MONTH($C11)+1)&gt;$D11),0,$E11*IF($G11,1,N(INDEX(Phasing!$I11:$AF11,((YEAR(N$5)-YEAR($C11))*12+MONTH(N$5)-MONTH($C11)+1))))/$F11))</f>
        <v>0</v>
      </c>
      <c r="O11" s="38" t="n">
        <f aca="false">IF(OR($C11="",$D11="",$F11=0),0,IF(OR(O$5&lt;=Projects!$C$2,((YEAR(O$5)-YEAR($C11))*12+MONTH(O$5)-MONTH($C11)+1)&lt;1,((YEAR(O$5)-YEAR($C11))*12+MONTH(O$5)-MONTH($C11)+1)&gt;$D11),0,$E11*IF($G11,1,N(INDEX(Phasing!$I11:$AF11,((YEAR(O$5)-YEAR($C11))*12+MONTH(O$5)-MONTH($C11)+1))))/$F11))</f>
        <v>0</v>
      </c>
      <c r="P11" s="38" t="n">
        <f aca="false">IF(OR($C11="",$D11="",$F11=0),0,IF(OR(P$5&lt;=Projects!$C$2,((YEAR(P$5)-YEAR($C11))*12+MONTH(P$5)-MONTH($C11)+1)&lt;1,((YEAR(P$5)-YEAR($C11))*12+MONTH(P$5)-MONTH($C11)+1)&gt;$D11),0,$E11*IF($G11,1,N(INDEX(Phasing!$I11:$AF11,((YEAR(P$5)-YEAR($C11))*12+MONTH(P$5)-MONTH($C11)+1))))/$F11))</f>
        <v>0</v>
      </c>
      <c r="Q11" s="38" t="n">
        <f aca="false">IF(OR($C11="",$D11="",$F11=0),0,IF(OR(Q$5&lt;=Projects!$C$2,((YEAR(Q$5)-YEAR($C11))*12+MONTH(Q$5)-MONTH($C11)+1)&lt;1,((YEAR(Q$5)-YEAR($C11))*12+MONTH(Q$5)-MONTH($C11)+1)&gt;$D11),0,$E11*IF($G11,1,N(INDEX(Phasing!$I11:$AF11,((YEAR(Q$5)-YEAR($C11))*12+MONTH(Q$5)-MONTH($C11)+1))))/$F11))</f>
        <v>0</v>
      </c>
      <c r="R11" s="38" t="n">
        <f aca="false">IF(OR($C11="",$D11="",$F11=0),0,IF(OR(R$5&lt;=Projects!$C$2,((YEAR(R$5)-YEAR($C11))*12+MONTH(R$5)-MONTH($C11)+1)&lt;1,((YEAR(R$5)-YEAR($C11))*12+MONTH(R$5)-MONTH($C11)+1)&gt;$D11),0,$E11*IF($G11,1,N(INDEX(Phasing!$I11:$AF11,((YEAR(R$5)-YEAR($C11))*12+MONTH(R$5)-MONTH($C11)+1))))/$F11))</f>
        <v>0</v>
      </c>
      <c r="S11" s="38" t="n">
        <f aca="false">IF(OR($C11="",$D11="",$F11=0),0,IF(OR(S$5&lt;=Projects!$C$2,((YEAR(S$5)-YEAR($C11))*12+MONTH(S$5)-MONTH($C11)+1)&lt;1,((YEAR(S$5)-YEAR($C11))*12+MONTH(S$5)-MONTH($C11)+1)&gt;$D11),0,$E11*IF($G11,1,N(INDEX(Phasing!$I11:$AF11,((YEAR(S$5)-YEAR($C11))*12+MONTH(S$5)-MONTH($C11)+1))))/$F11))</f>
        <v>0</v>
      </c>
      <c r="T11" s="38" t="n">
        <f aca="false">IF(OR($C11="",$D11="",$F11=0),0,IF(OR(T$5&lt;=Projects!$C$2,((YEAR(T$5)-YEAR($C11))*12+MONTH(T$5)-MONTH($C11)+1)&lt;1,((YEAR(T$5)-YEAR($C11))*12+MONTH(T$5)-MONTH($C11)+1)&gt;$D11),0,$E11*IF($G11,1,N(INDEX(Phasing!$I11:$AF11,((YEAR(T$5)-YEAR($C11))*12+MONTH(T$5)-MONTH($C11)+1))))/$F11))</f>
        <v>0</v>
      </c>
      <c r="U11" s="38" t="n">
        <f aca="false">IF(OR($C11="",$D11="",$F11=0),0,IF(OR(U$5&lt;=Projects!$C$2,((YEAR(U$5)-YEAR($C11))*12+MONTH(U$5)-MONTH($C11)+1)&lt;1,((YEAR(U$5)-YEAR($C11))*12+MONTH(U$5)-MONTH($C11)+1)&gt;$D11),0,$E11*IF($G11,1,N(INDEX(Phasing!$I11:$AF11,((YEAR(U$5)-YEAR($C11))*12+MONTH(U$5)-MONTH($C11)+1))))/$F11))</f>
        <v>0</v>
      </c>
      <c r="V11" s="38" t="n">
        <f aca="false">IF(OR($C11="",$D11="",$F11=0),0,IF(OR(V$5&lt;=Projects!$C$2,((YEAR(V$5)-YEAR($C11))*12+MONTH(V$5)-MONTH($C11)+1)&lt;1,((YEAR(V$5)-YEAR($C11))*12+MONTH(V$5)-MONTH($C11)+1)&gt;$D11),0,$E11*IF($G11,1,N(INDEX(Phasing!$I11:$AF11,((YEAR(V$5)-YEAR($C11))*12+MONTH(V$5)-MONTH($C11)+1))))/$F11))</f>
        <v>0</v>
      </c>
      <c r="W11" s="38" t="n">
        <f aca="false">IF(OR($C11="",$D11="",$F11=0),0,IF(OR(W$5&lt;=Projects!$C$2,((YEAR(W$5)-YEAR($C11))*12+MONTH(W$5)-MONTH($C11)+1)&lt;1,((YEAR(W$5)-YEAR($C11))*12+MONTH(W$5)-MONTH($C11)+1)&gt;$D11),0,$E11*IF($G11,1,N(INDEX(Phasing!$I11:$AF11,((YEAR(W$5)-YEAR($C11))*12+MONTH(W$5)-MONTH($C11)+1))))/$F11))</f>
        <v>0</v>
      </c>
      <c r="X11" s="38" t="n">
        <f aca="false">IF(OR($C11="",$D11="",$F11=0),0,IF(OR(X$5&lt;=Projects!$C$2,((YEAR(X$5)-YEAR($C11))*12+MONTH(X$5)-MONTH($C11)+1)&lt;1,((YEAR(X$5)-YEAR($C11))*12+MONTH(X$5)-MONTH($C11)+1)&gt;$D11),0,$E11*IF($G11,1,N(INDEX(Phasing!$I11:$AF11,((YEAR(X$5)-YEAR($C11))*12+MONTH(X$5)-MONTH($C11)+1))))/$F11))</f>
        <v>0</v>
      </c>
      <c r="Y11" s="38" t="n">
        <f aca="false">IF(OR($C11="",$D11="",$F11=0),0,IF(OR(Y$5&lt;=Projects!$C$2,((YEAR(Y$5)-YEAR($C11))*12+MONTH(Y$5)-MONTH($C11)+1)&lt;1,((YEAR(Y$5)-YEAR($C11))*12+MONTH(Y$5)-MONTH($C11)+1)&gt;$D11),0,$E11*IF($G11,1,N(INDEX(Phasing!$I11:$AF11,((YEAR(Y$5)-YEAR($C11))*12+MONTH(Y$5)-MONTH($C11)+1))))/$F11))</f>
        <v>0</v>
      </c>
      <c r="Z11" s="38" t="n">
        <f aca="false">IF(OR($C11="",$D11="",$F11=0),0,IF(OR(Z$5&lt;=Projects!$C$2,((YEAR(Z$5)-YEAR($C11))*12+MONTH(Z$5)-MONTH($C11)+1)&lt;1,((YEAR(Z$5)-YEAR($C11))*12+MONTH(Z$5)-MONTH($C11)+1)&gt;$D11),0,$E11*IF($G11,1,N(INDEX(Phasing!$I11:$AF11,((YEAR(Z$5)-YEAR($C11))*12+MONTH(Z$5)-MONTH($C11)+1))))/$F11))</f>
        <v>0</v>
      </c>
      <c r="AA11" s="38" t="n">
        <f aca="false">IF(OR($C11="",$D11="",$F11=0),0,IF(OR(AA$5&lt;=Projects!$C$2,((YEAR(AA$5)-YEAR($C11))*12+MONTH(AA$5)-MONTH($C11)+1)&lt;1,((YEAR(AA$5)-YEAR($C11))*12+MONTH(AA$5)-MONTH($C11)+1)&gt;$D11),0,$E11*IF($G11,1,N(INDEX(Phasing!$I11:$AF11,((YEAR(AA$5)-YEAR($C11))*12+MONTH(AA$5)-MONTH($C11)+1))))/$F11))</f>
        <v>0</v>
      </c>
      <c r="AB11" s="38" t="n">
        <f aca="false">IF(OR($C11="",$D11="",$F11=0),0,IF(OR(AB$5&lt;=Projects!$C$2,((YEAR(AB$5)-YEAR($C11))*12+MONTH(AB$5)-MONTH($C11)+1)&lt;1,((YEAR(AB$5)-YEAR($C11))*12+MONTH(AB$5)-MONTH($C11)+1)&gt;$D11),0,$E11*IF($G11,1,N(INDEX(Phasing!$I11:$AF11,((YEAR(AB$5)-YEAR($C11))*12+MONTH(AB$5)-MONTH($C11)+1))))/$F11))</f>
        <v>0</v>
      </c>
      <c r="AC11" s="38" t="n">
        <f aca="false">IF(OR($C11="",$D11="",$F11=0),0,IF(OR(AC$5&lt;=Projects!$C$2,((YEAR(AC$5)-YEAR($C11))*12+MONTH(AC$5)-MONTH($C11)+1)&lt;1,((YEAR(AC$5)-YEAR($C11))*12+MONTH(AC$5)-MONTH($C11)+1)&gt;$D11),0,$E11*IF($G11,1,N(INDEX(Phasing!$I11:$AF11,((YEAR(AC$5)-YEAR($C11))*12+MONTH(AC$5)-MONTH($C11)+1))))/$F11))</f>
        <v>0</v>
      </c>
      <c r="AD11" s="38" t="n">
        <f aca="false">IF(OR($C11="",$D11="",$F11=0),0,IF(OR(AD$5&lt;=Projects!$C$2,((YEAR(AD$5)-YEAR($C11))*12+MONTH(AD$5)-MONTH($C11)+1)&lt;1,((YEAR(AD$5)-YEAR($C11))*12+MONTH(AD$5)-MONTH($C11)+1)&gt;$D11),0,$E11*IF($G11,1,N(INDEX(Phasing!$I11:$AF11,((YEAR(AD$5)-YEAR($C11))*12+MONTH(AD$5)-MONTH($C11)+1))))/$F11))</f>
        <v>0</v>
      </c>
      <c r="AE11" s="38" t="n">
        <f aca="false">IF(OR($C11="",$D11="",$F11=0),0,IF(OR(AE$5&lt;=Projects!$C$2,((YEAR(AE$5)-YEAR($C11))*12+MONTH(AE$5)-MONTH($C11)+1)&lt;1,((YEAR(AE$5)-YEAR($C11))*12+MONTH(AE$5)-MONTH($C11)+1)&gt;$D11),0,$E11*IF($G11,1,N(INDEX(Phasing!$I11:$AF11,((YEAR(AE$5)-YEAR($C11))*12+MONTH(AE$5)-MONTH($C11)+1))))/$F11))</f>
        <v>0</v>
      </c>
      <c r="AF11" s="38" t="n">
        <f aca="false">IF(OR($C11="",$D11="",$F11=0),0,IF(OR(AF$5&lt;=Projects!$C$2,((YEAR(AF$5)-YEAR($C11))*12+MONTH(AF$5)-MONTH($C11)+1)&lt;1,((YEAR(AF$5)-YEAR($C11))*12+MONTH(AF$5)-MONTH($C11)+1)&gt;$D11),0,$E11*IF($G11,1,N(INDEX(Phasing!$I11:$AF11,((YEAR(AF$5)-YEAR($C11))*12+MONTH(AF$5)-MONTH($C11)+1))))/$F11))</f>
        <v>0</v>
      </c>
      <c r="AG11" s="38" t="n">
        <f aca="false">IF(OR($C11="",$D11="",$F11=0),0,IF(OR(AG$5&lt;=Projects!$C$2,((YEAR(AG$5)-YEAR($C11))*12+MONTH(AG$5)-MONTH($C11)+1)&lt;1,((YEAR(AG$5)-YEAR($C11))*12+MONTH(AG$5)-MONTH($C11)+1)&gt;$D11),0,$E11*IF($G11,1,N(INDEX(Phasing!$I11:$AF11,((YEAR(AG$5)-YEAR($C11))*12+MONTH(AG$5)-MONTH($C11)+1))))/$F11))</f>
        <v>0</v>
      </c>
      <c r="AH11" s="38" t="n">
        <f aca="false">IF(OR($C11="",$D11="",$F11=0),0,IF(OR(AH$5&lt;=Projects!$C$2,((YEAR(AH$5)-YEAR($C11))*12+MONTH(AH$5)-MONTH($C11)+1)&lt;1,((YEAR(AH$5)-YEAR($C11))*12+MONTH(AH$5)-MONTH($C11)+1)&gt;$D11),0,$E11*IF($G11,1,N(INDEX(Phasing!$I11:$AF11,((YEAR(AH$5)-YEAR($C11))*12+MONTH(AH$5)-MONTH($C11)+1))))/$F11))</f>
        <v>0</v>
      </c>
      <c r="AI11" s="38" t="n">
        <f aca="false">IF(OR($C11="",$D11="",$F11=0),0,IF(OR(AI$5&lt;=Projects!$C$2,((YEAR(AI$5)-YEAR($C11))*12+MONTH(AI$5)-MONTH($C11)+1)&lt;1,((YEAR(AI$5)-YEAR($C11))*12+MONTH(AI$5)-MONTH($C11)+1)&gt;$D11),0,$E11*IF($G11,1,N(INDEX(Phasing!$I11:$AF11,((YEAR(AI$5)-YEAR($C11))*12+MONTH(AI$5)-MONTH($C11)+1))))/$F11))</f>
        <v>0</v>
      </c>
      <c r="AJ11" s="38" t="n">
        <f aca="false">IF(OR($C11="",$D11="",$F11=0),0,IF(OR(AJ$5&lt;=Projects!$C$2,((YEAR(AJ$5)-YEAR($C11))*12+MONTH(AJ$5)-MONTH($C11)+1)&lt;1,((YEAR(AJ$5)-YEAR($C11))*12+MONTH(AJ$5)-MONTH($C11)+1)&gt;$D11),0,$E11*IF($G11,1,N(INDEX(Phasing!$I11:$AF11,((YEAR(AJ$5)-YEAR($C11))*12+MONTH(AJ$5)-MONTH($C11)+1))))/$F11))</f>
        <v>0</v>
      </c>
      <c r="AK11" s="38" t="n">
        <f aca="false">IF(OR($C11="",$D11="",$F11=0),0,IF(OR(AK$5&lt;=Projects!$C$2,((YEAR(AK$5)-YEAR($C11))*12+MONTH(AK$5)-MONTH($C11)+1)&lt;1,((YEAR(AK$5)-YEAR($C11))*12+MONTH(AK$5)-MONTH($C11)+1)&gt;$D11),0,$E11*IF($G11,1,N(INDEX(Phasing!$I11:$AF11,((YEAR(AK$5)-YEAR($C11))*12+MONTH(AK$5)-MONTH($C11)+1))))/$F11))</f>
        <v>0</v>
      </c>
      <c r="AL11" s="38" t="n">
        <f aca="false">IF(OR($C11="",$D11="",$F11=0),0,IF(OR(AL$5&lt;=Projects!$C$2,((YEAR(AL$5)-YEAR($C11))*12+MONTH(AL$5)-MONTH($C11)+1)&lt;1,((YEAR(AL$5)-YEAR($C11))*12+MONTH(AL$5)-MONTH($C11)+1)&gt;$D11),0,$E11*IF($G11,1,N(INDEX(Phasing!$I11:$AF11,((YEAR(AL$5)-YEAR($C11))*12+MONTH(AL$5)-MONTH($C11)+1))))/$F11))</f>
        <v>0</v>
      </c>
      <c r="AM11" s="38" t="n">
        <f aca="false">IF(OR($C11="",$D11="",$F11=0),0,IF(OR(AM$5&lt;=Projects!$C$2,((YEAR(AM$5)-YEAR($C11))*12+MONTH(AM$5)-MONTH($C11)+1)&lt;1,((YEAR(AM$5)-YEAR($C11))*12+MONTH(AM$5)-MONTH($C11)+1)&gt;$D11),0,$E11*IF($G11,1,N(INDEX(Phasing!$I11:$AF11,((YEAR(AM$5)-YEAR($C11))*12+MONTH(AM$5)-MONTH($C11)+1))))/$F11))</f>
        <v>0</v>
      </c>
      <c r="AN11" s="38" t="n">
        <f aca="false">IF(OR($C11="",$D11="",$F11=0),0,IF(OR(AN$5&lt;=Projects!$C$2,((YEAR(AN$5)-YEAR($C11))*12+MONTH(AN$5)-MONTH($C11)+1)&lt;1,((YEAR(AN$5)-YEAR($C11))*12+MONTH(AN$5)-MONTH($C11)+1)&gt;$D11),0,$E11*IF($G11,1,N(INDEX(Phasing!$I11:$AF11,((YEAR(AN$5)-YEAR($C11))*12+MONTH(AN$5)-MONTH($C11)+1))))/$F11))</f>
        <v>0</v>
      </c>
      <c r="AO11" s="38" t="n">
        <f aca="false">IF(OR($C11="",$D11="",$F11=0),0,IF(OR(AO$5&lt;=Projects!$C$2,((YEAR(AO$5)-YEAR($C11))*12+MONTH(AO$5)-MONTH($C11)+1)&lt;1,((YEAR(AO$5)-YEAR($C11))*12+MONTH(AO$5)-MONTH($C11)+1)&gt;$D11),0,$E11*IF($G11,1,N(INDEX(Phasing!$I11:$AF11,((YEAR(AO$5)-YEAR($C11))*12+MONTH(AO$5)-MONTH($C11)+1))))/$F11))</f>
        <v>0</v>
      </c>
      <c r="AP11" s="38" t="n">
        <f aca="false">IF(OR($C11="",$D11="",$F11=0),0,IF(OR(AP$5&lt;=Projects!$C$2,((YEAR(AP$5)-YEAR($C11))*12+MONTH(AP$5)-MONTH($C11)+1)&lt;1,((YEAR(AP$5)-YEAR($C11))*12+MONTH(AP$5)-MONTH($C11)+1)&gt;$D11),0,$E11*IF($G11,1,N(INDEX(Phasing!$I11:$AF11,((YEAR(AP$5)-YEAR($C11))*12+MONTH(AP$5)-MONTH($C11)+1))))/$F11))</f>
        <v>0</v>
      </c>
      <c r="AQ11" s="38" t="n">
        <f aca="false">IF(OR($C11="",$D11="",$F11=0),0,IF(OR(AQ$5&lt;=Projects!$C$2,((YEAR(AQ$5)-YEAR($C11))*12+MONTH(AQ$5)-MONTH($C11)+1)&lt;1,((YEAR(AQ$5)-YEAR($C11))*12+MONTH(AQ$5)-MONTH($C11)+1)&gt;$D11),0,$E11*IF($G11,1,N(INDEX(Phasing!$I11:$AF11,((YEAR(AQ$5)-YEAR($C11))*12+MONTH(AQ$5)-MONTH($C11)+1))))/$F11))</f>
        <v>0</v>
      </c>
    </row>
    <row r="12" customFormat="false" ht="15" hidden="false" customHeight="false" outlineLevel="0" collapsed="false">
      <c r="A12" s="11" t="n">
        <v>7</v>
      </c>
      <c r="B12" s="21" t="str">
        <f aca="false">IF(Projects!B12="","",Projects!B12)</f>
        <v/>
      </c>
      <c r="C12" s="31" t="str">
        <f aca="false">IF(Projects!D12="","",Projects!D12)</f>
        <v/>
      </c>
      <c r="D12" s="21" t="str">
        <f aca="false">IF(Projects!E12="","",Projects!E12)</f>
        <v/>
      </c>
      <c r="E12" s="33" t="n">
        <f aca="false">IF(Projects!B12="",0,N(Projects!I12))</f>
        <v>0</v>
      </c>
      <c r="F12" s="21" t="n">
        <f aca="false">Phasing!G12</f>
        <v>0</v>
      </c>
      <c r="G12" s="48" t="b">
        <f aca="false">Phasing!D12=0</f>
        <v>1</v>
      </c>
      <c r="H12" s="38" t="n">
        <f aca="false">IF(OR($C12="",$D12="",$F12=0),0,IF(OR(H$5&lt;=Projects!$C$2,((YEAR(H$5)-YEAR($C12))*12+MONTH(H$5)-MONTH($C12)+1)&lt;1,((YEAR(H$5)-YEAR($C12))*12+MONTH(H$5)-MONTH($C12)+1)&gt;$D12),0,$E12*IF($G12,1,N(INDEX(Phasing!$I12:$AF12,((YEAR(H$5)-YEAR($C12))*12+MONTH(H$5)-MONTH($C12)+1))))/$F12))</f>
        <v>0</v>
      </c>
      <c r="I12" s="38" t="n">
        <f aca="false">IF(OR($C12="",$D12="",$F12=0),0,IF(OR(I$5&lt;=Projects!$C$2,((YEAR(I$5)-YEAR($C12))*12+MONTH(I$5)-MONTH($C12)+1)&lt;1,((YEAR(I$5)-YEAR($C12))*12+MONTH(I$5)-MONTH($C12)+1)&gt;$D12),0,$E12*IF($G12,1,N(INDEX(Phasing!$I12:$AF12,((YEAR(I$5)-YEAR($C12))*12+MONTH(I$5)-MONTH($C12)+1))))/$F12))</f>
        <v>0</v>
      </c>
      <c r="J12" s="38" t="n">
        <f aca="false">IF(OR($C12="",$D12="",$F12=0),0,IF(OR(J$5&lt;=Projects!$C$2,((YEAR(J$5)-YEAR($C12))*12+MONTH(J$5)-MONTH($C12)+1)&lt;1,((YEAR(J$5)-YEAR($C12))*12+MONTH(J$5)-MONTH($C12)+1)&gt;$D12),0,$E12*IF($G12,1,N(INDEX(Phasing!$I12:$AF12,((YEAR(J$5)-YEAR($C12))*12+MONTH(J$5)-MONTH($C12)+1))))/$F12))</f>
        <v>0</v>
      </c>
      <c r="K12" s="38" t="n">
        <f aca="false">IF(OR($C12="",$D12="",$F12=0),0,IF(OR(K$5&lt;=Projects!$C$2,((YEAR(K$5)-YEAR($C12))*12+MONTH(K$5)-MONTH($C12)+1)&lt;1,((YEAR(K$5)-YEAR($C12))*12+MONTH(K$5)-MONTH($C12)+1)&gt;$D12),0,$E12*IF($G12,1,N(INDEX(Phasing!$I12:$AF12,((YEAR(K$5)-YEAR($C12))*12+MONTH(K$5)-MONTH($C12)+1))))/$F12))</f>
        <v>0</v>
      </c>
      <c r="L12" s="38" t="n">
        <f aca="false">IF(OR($C12="",$D12="",$F12=0),0,IF(OR(L$5&lt;=Projects!$C$2,((YEAR(L$5)-YEAR($C12))*12+MONTH(L$5)-MONTH($C12)+1)&lt;1,((YEAR(L$5)-YEAR($C12))*12+MONTH(L$5)-MONTH($C12)+1)&gt;$D12),0,$E12*IF($G12,1,N(INDEX(Phasing!$I12:$AF12,((YEAR(L$5)-YEAR($C12))*12+MONTH(L$5)-MONTH($C12)+1))))/$F12))</f>
        <v>0</v>
      </c>
      <c r="M12" s="38" t="n">
        <f aca="false">IF(OR($C12="",$D12="",$F12=0),0,IF(OR(M$5&lt;=Projects!$C$2,((YEAR(M$5)-YEAR($C12))*12+MONTH(M$5)-MONTH($C12)+1)&lt;1,((YEAR(M$5)-YEAR($C12))*12+MONTH(M$5)-MONTH($C12)+1)&gt;$D12),0,$E12*IF($G12,1,N(INDEX(Phasing!$I12:$AF12,((YEAR(M$5)-YEAR($C12))*12+MONTH(M$5)-MONTH($C12)+1))))/$F12))</f>
        <v>0</v>
      </c>
      <c r="N12" s="38" t="n">
        <f aca="false">IF(OR($C12="",$D12="",$F12=0),0,IF(OR(N$5&lt;=Projects!$C$2,((YEAR(N$5)-YEAR($C12))*12+MONTH(N$5)-MONTH($C12)+1)&lt;1,((YEAR(N$5)-YEAR($C12))*12+MONTH(N$5)-MONTH($C12)+1)&gt;$D12),0,$E12*IF($G12,1,N(INDEX(Phasing!$I12:$AF12,((YEAR(N$5)-YEAR($C12))*12+MONTH(N$5)-MONTH($C12)+1))))/$F12))</f>
        <v>0</v>
      </c>
      <c r="O12" s="38" t="n">
        <f aca="false">IF(OR($C12="",$D12="",$F12=0),0,IF(OR(O$5&lt;=Projects!$C$2,((YEAR(O$5)-YEAR($C12))*12+MONTH(O$5)-MONTH($C12)+1)&lt;1,((YEAR(O$5)-YEAR($C12))*12+MONTH(O$5)-MONTH($C12)+1)&gt;$D12),0,$E12*IF($G12,1,N(INDEX(Phasing!$I12:$AF12,((YEAR(O$5)-YEAR($C12))*12+MONTH(O$5)-MONTH($C12)+1))))/$F12))</f>
        <v>0</v>
      </c>
      <c r="P12" s="38" t="n">
        <f aca="false">IF(OR($C12="",$D12="",$F12=0),0,IF(OR(P$5&lt;=Projects!$C$2,((YEAR(P$5)-YEAR($C12))*12+MONTH(P$5)-MONTH($C12)+1)&lt;1,((YEAR(P$5)-YEAR($C12))*12+MONTH(P$5)-MONTH($C12)+1)&gt;$D12),0,$E12*IF($G12,1,N(INDEX(Phasing!$I12:$AF12,((YEAR(P$5)-YEAR($C12))*12+MONTH(P$5)-MONTH($C12)+1))))/$F12))</f>
        <v>0</v>
      </c>
      <c r="Q12" s="38" t="n">
        <f aca="false">IF(OR($C12="",$D12="",$F12=0),0,IF(OR(Q$5&lt;=Projects!$C$2,((YEAR(Q$5)-YEAR($C12))*12+MONTH(Q$5)-MONTH($C12)+1)&lt;1,((YEAR(Q$5)-YEAR($C12))*12+MONTH(Q$5)-MONTH($C12)+1)&gt;$D12),0,$E12*IF($G12,1,N(INDEX(Phasing!$I12:$AF12,((YEAR(Q$5)-YEAR($C12))*12+MONTH(Q$5)-MONTH($C12)+1))))/$F12))</f>
        <v>0</v>
      </c>
      <c r="R12" s="38" t="n">
        <f aca="false">IF(OR($C12="",$D12="",$F12=0),0,IF(OR(R$5&lt;=Projects!$C$2,((YEAR(R$5)-YEAR($C12))*12+MONTH(R$5)-MONTH($C12)+1)&lt;1,((YEAR(R$5)-YEAR($C12))*12+MONTH(R$5)-MONTH($C12)+1)&gt;$D12),0,$E12*IF($G12,1,N(INDEX(Phasing!$I12:$AF12,((YEAR(R$5)-YEAR($C12))*12+MONTH(R$5)-MONTH($C12)+1))))/$F12))</f>
        <v>0</v>
      </c>
      <c r="S12" s="38" t="n">
        <f aca="false">IF(OR($C12="",$D12="",$F12=0),0,IF(OR(S$5&lt;=Projects!$C$2,((YEAR(S$5)-YEAR($C12))*12+MONTH(S$5)-MONTH($C12)+1)&lt;1,((YEAR(S$5)-YEAR($C12))*12+MONTH(S$5)-MONTH($C12)+1)&gt;$D12),0,$E12*IF($G12,1,N(INDEX(Phasing!$I12:$AF12,((YEAR(S$5)-YEAR($C12))*12+MONTH(S$5)-MONTH($C12)+1))))/$F12))</f>
        <v>0</v>
      </c>
      <c r="T12" s="38" t="n">
        <f aca="false">IF(OR($C12="",$D12="",$F12=0),0,IF(OR(T$5&lt;=Projects!$C$2,((YEAR(T$5)-YEAR($C12))*12+MONTH(T$5)-MONTH($C12)+1)&lt;1,((YEAR(T$5)-YEAR($C12))*12+MONTH(T$5)-MONTH($C12)+1)&gt;$D12),0,$E12*IF($G12,1,N(INDEX(Phasing!$I12:$AF12,((YEAR(T$5)-YEAR($C12))*12+MONTH(T$5)-MONTH($C12)+1))))/$F12))</f>
        <v>0</v>
      </c>
      <c r="U12" s="38" t="n">
        <f aca="false">IF(OR($C12="",$D12="",$F12=0),0,IF(OR(U$5&lt;=Projects!$C$2,((YEAR(U$5)-YEAR($C12))*12+MONTH(U$5)-MONTH($C12)+1)&lt;1,((YEAR(U$5)-YEAR($C12))*12+MONTH(U$5)-MONTH($C12)+1)&gt;$D12),0,$E12*IF($G12,1,N(INDEX(Phasing!$I12:$AF12,((YEAR(U$5)-YEAR($C12))*12+MONTH(U$5)-MONTH($C12)+1))))/$F12))</f>
        <v>0</v>
      </c>
      <c r="V12" s="38" t="n">
        <f aca="false">IF(OR($C12="",$D12="",$F12=0),0,IF(OR(V$5&lt;=Projects!$C$2,((YEAR(V$5)-YEAR($C12))*12+MONTH(V$5)-MONTH($C12)+1)&lt;1,((YEAR(V$5)-YEAR($C12))*12+MONTH(V$5)-MONTH($C12)+1)&gt;$D12),0,$E12*IF($G12,1,N(INDEX(Phasing!$I12:$AF12,((YEAR(V$5)-YEAR($C12))*12+MONTH(V$5)-MONTH($C12)+1))))/$F12))</f>
        <v>0</v>
      </c>
      <c r="W12" s="38" t="n">
        <f aca="false">IF(OR($C12="",$D12="",$F12=0),0,IF(OR(W$5&lt;=Projects!$C$2,((YEAR(W$5)-YEAR($C12))*12+MONTH(W$5)-MONTH($C12)+1)&lt;1,((YEAR(W$5)-YEAR($C12))*12+MONTH(W$5)-MONTH($C12)+1)&gt;$D12),0,$E12*IF($G12,1,N(INDEX(Phasing!$I12:$AF12,((YEAR(W$5)-YEAR($C12))*12+MONTH(W$5)-MONTH($C12)+1))))/$F12))</f>
        <v>0</v>
      </c>
      <c r="X12" s="38" t="n">
        <f aca="false">IF(OR($C12="",$D12="",$F12=0),0,IF(OR(X$5&lt;=Projects!$C$2,((YEAR(X$5)-YEAR($C12))*12+MONTH(X$5)-MONTH($C12)+1)&lt;1,((YEAR(X$5)-YEAR($C12))*12+MONTH(X$5)-MONTH($C12)+1)&gt;$D12),0,$E12*IF($G12,1,N(INDEX(Phasing!$I12:$AF12,((YEAR(X$5)-YEAR($C12))*12+MONTH(X$5)-MONTH($C12)+1))))/$F12))</f>
        <v>0</v>
      </c>
      <c r="Y12" s="38" t="n">
        <f aca="false">IF(OR($C12="",$D12="",$F12=0),0,IF(OR(Y$5&lt;=Projects!$C$2,((YEAR(Y$5)-YEAR($C12))*12+MONTH(Y$5)-MONTH($C12)+1)&lt;1,((YEAR(Y$5)-YEAR($C12))*12+MONTH(Y$5)-MONTH($C12)+1)&gt;$D12),0,$E12*IF($G12,1,N(INDEX(Phasing!$I12:$AF12,((YEAR(Y$5)-YEAR($C12))*12+MONTH(Y$5)-MONTH($C12)+1))))/$F12))</f>
        <v>0</v>
      </c>
      <c r="Z12" s="38" t="n">
        <f aca="false">IF(OR($C12="",$D12="",$F12=0),0,IF(OR(Z$5&lt;=Projects!$C$2,((YEAR(Z$5)-YEAR($C12))*12+MONTH(Z$5)-MONTH($C12)+1)&lt;1,((YEAR(Z$5)-YEAR($C12))*12+MONTH(Z$5)-MONTH($C12)+1)&gt;$D12),0,$E12*IF($G12,1,N(INDEX(Phasing!$I12:$AF12,((YEAR(Z$5)-YEAR($C12))*12+MONTH(Z$5)-MONTH($C12)+1))))/$F12))</f>
        <v>0</v>
      </c>
      <c r="AA12" s="38" t="n">
        <f aca="false">IF(OR($C12="",$D12="",$F12=0),0,IF(OR(AA$5&lt;=Projects!$C$2,((YEAR(AA$5)-YEAR($C12))*12+MONTH(AA$5)-MONTH($C12)+1)&lt;1,((YEAR(AA$5)-YEAR($C12))*12+MONTH(AA$5)-MONTH($C12)+1)&gt;$D12),0,$E12*IF($G12,1,N(INDEX(Phasing!$I12:$AF12,((YEAR(AA$5)-YEAR($C12))*12+MONTH(AA$5)-MONTH($C12)+1))))/$F12))</f>
        <v>0</v>
      </c>
      <c r="AB12" s="38" t="n">
        <f aca="false">IF(OR($C12="",$D12="",$F12=0),0,IF(OR(AB$5&lt;=Projects!$C$2,((YEAR(AB$5)-YEAR($C12))*12+MONTH(AB$5)-MONTH($C12)+1)&lt;1,((YEAR(AB$5)-YEAR($C12))*12+MONTH(AB$5)-MONTH($C12)+1)&gt;$D12),0,$E12*IF($G12,1,N(INDEX(Phasing!$I12:$AF12,((YEAR(AB$5)-YEAR($C12))*12+MONTH(AB$5)-MONTH($C12)+1))))/$F12))</f>
        <v>0</v>
      </c>
      <c r="AC12" s="38" t="n">
        <f aca="false">IF(OR($C12="",$D12="",$F12=0),0,IF(OR(AC$5&lt;=Projects!$C$2,((YEAR(AC$5)-YEAR($C12))*12+MONTH(AC$5)-MONTH($C12)+1)&lt;1,((YEAR(AC$5)-YEAR($C12))*12+MONTH(AC$5)-MONTH($C12)+1)&gt;$D12),0,$E12*IF($G12,1,N(INDEX(Phasing!$I12:$AF12,((YEAR(AC$5)-YEAR($C12))*12+MONTH(AC$5)-MONTH($C12)+1))))/$F12))</f>
        <v>0</v>
      </c>
      <c r="AD12" s="38" t="n">
        <f aca="false">IF(OR($C12="",$D12="",$F12=0),0,IF(OR(AD$5&lt;=Projects!$C$2,((YEAR(AD$5)-YEAR($C12))*12+MONTH(AD$5)-MONTH($C12)+1)&lt;1,((YEAR(AD$5)-YEAR($C12))*12+MONTH(AD$5)-MONTH($C12)+1)&gt;$D12),0,$E12*IF($G12,1,N(INDEX(Phasing!$I12:$AF12,((YEAR(AD$5)-YEAR($C12))*12+MONTH(AD$5)-MONTH($C12)+1))))/$F12))</f>
        <v>0</v>
      </c>
      <c r="AE12" s="38" t="n">
        <f aca="false">IF(OR($C12="",$D12="",$F12=0),0,IF(OR(AE$5&lt;=Projects!$C$2,((YEAR(AE$5)-YEAR($C12))*12+MONTH(AE$5)-MONTH($C12)+1)&lt;1,((YEAR(AE$5)-YEAR($C12))*12+MONTH(AE$5)-MONTH($C12)+1)&gt;$D12),0,$E12*IF($G12,1,N(INDEX(Phasing!$I12:$AF12,((YEAR(AE$5)-YEAR($C12))*12+MONTH(AE$5)-MONTH($C12)+1))))/$F12))</f>
        <v>0</v>
      </c>
      <c r="AF12" s="38" t="n">
        <f aca="false">IF(OR($C12="",$D12="",$F12=0),0,IF(OR(AF$5&lt;=Projects!$C$2,((YEAR(AF$5)-YEAR($C12))*12+MONTH(AF$5)-MONTH($C12)+1)&lt;1,((YEAR(AF$5)-YEAR($C12))*12+MONTH(AF$5)-MONTH($C12)+1)&gt;$D12),0,$E12*IF($G12,1,N(INDEX(Phasing!$I12:$AF12,((YEAR(AF$5)-YEAR($C12))*12+MONTH(AF$5)-MONTH($C12)+1))))/$F12))</f>
        <v>0</v>
      </c>
      <c r="AG12" s="38" t="n">
        <f aca="false">IF(OR($C12="",$D12="",$F12=0),0,IF(OR(AG$5&lt;=Projects!$C$2,((YEAR(AG$5)-YEAR($C12))*12+MONTH(AG$5)-MONTH($C12)+1)&lt;1,((YEAR(AG$5)-YEAR($C12))*12+MONTH(AG$5)-MONTH($C12)+1)&gt;$D12),0,$E12*IF($G12,1,N(INDEX(Phasing!$I12:$AF12,((YEAR(AG$5)-YEAR($C12))*12+MONTH(AG$5)-MONTH($C12)+1))))/$F12))</f>
        <v>0</v>
      </c>
      <c r="AH12" s="38" t="n">
        <f aca="false">IF(OR($C12="",$D12="",$F12=0),0,IF(OR(AH$5&lt;=Projects!$C$2,((YEAR(AH$5)-YEAR($C12))*12+MONTH(AH$5)-MONTH($C12)+1)&lt;1,((YEAR(AH$5)-YEAR($C12))*12+MONTH(AH$5)-MONTH($C12)+1)&gt;$D12),0,$E12*IF($G12,1,N(INDEX(Phasing!$I12:$AF12,((YEAR(AH$5)-YEAR($C12))*12+MONTH(AH$5)-MONTH($C12)+1))))/$F12))</f>
        <v>0</v>
      </c>
      <c r="AI12" s="38" t="n">
        <f aca="false">IF(OR($C12="",$D12="",$F12=0),0,IF(OR(AI$5&lt;=Projects!$C$2,((YEAR(AI$5)-YEAR($C12))*12+MONTH(AI$5)-MONTH($C12)+1)&lt;1,((YEAR(AI$5)-YEAR($C12))*12+MONTH(AI$5)-MONTH($C12)+1)&gt;$D12),0,$E12*IF($G12,1,N(INDEX(Phasing!$I12:$AF12,((YEAR(AI$5)-YEAR($C12))*12+MONTH(AI$5)-MONTH($C12)+1))))/$F12))</f>
        <v>0</v>
      </c>
      <c r="AJ12" s="38" t="n">
        <f aca="false">IF(OR($C12="",$D12="",$F12=0),0,IF(OR(AJ$5&lt;=Projects!$C$2,((YEAR(AJ$5)-YEAR($C12))*12+MONTH(AJ$5)-MONTH($C12)+1)&lt;1,((YEAR(AJ$5)-YEAR($C12))*12+MONTH(AJ$5)-MONTH($C12)+1)&gt;$D12),0,$E12*IF($G12,1,N(INDEX(Phasing!$I12:$AF12,((YEAR(AJ$5)-YEAR($C12))*12+MONTH(AJ$5)-MONTH($C12)+1))))/$F12))</f>
        <v>0</v>
      </c>
      <c r="AK12" s="38" t="n">
        <f aca="false">IF(OR($C12="",$D12="",$F12=0),0,IF(OR(AK$5&lt;=Projects!$C$2,((YEAR(AK$5)-YEAR($C12))*12+MONTH(AK$5)-MONTH($C12)+1)&lt;1,((YEAR(AK$5)-YEAR($C12))*12+MONTH(AK$5)-MONTH($C12)+1)&gt;$D12),0,$E12*IF($G12,1,N(INDEX(Phasing!$I12:$AF12,((YEAR(AK$5)-YEAR($C12))*12+MONTH(AK$5)-MONTH($C12)+1))))/$F12))</f>
        <v>0</v>
      </c>
      <c r="AL12" s="38" t="n">
        <f aca="false">IF(OR($C12="",$D12="",$F12=0),0,IF(OR(AL$5&lt;=Projects!$C$2,((YEAR(AL$5)-YEAR($C12))*12+MONTH(AL$5)-MONTH($C12)+1)&lt;1,((YEAR(AL$5)-YEAR($C12))*12+MONTH(AL$5)-MONTH($C12)+1)&gt;$D12),0,$E12*IF($G12,1,N(INDEX(Phasing!$I12:$AF12,((YEAR(AL$5)-YEAR($C12))*12+MONTH(AL$5)-MONTH($C12)+1))))/$F12))</f>
        <v>0</v>
      </c>
      <c r="AM12" s="38" t="n">
        <f aca="false">IF(OR($C12="",$D12="",$F12=0),0,IF(OR(AM$5&lt;=Projects!$C$2,((YEAR(AM$5)-YEAR($C12))*12+MONTH(AM$5)-MONTH($C12)+1)&lt;1,((YEAR(AM$5)-YEAR($C12))*12+MONTH(AM$5)-MONTH($C12)+1)&gt;$D12),0,$E12*IF($G12,1,N(INDEX(Phasing!$I12:$AF12,((YEAR(AM$5)-YEAR($C12))*12+MONTH(AM$5)-MONTH($C12)+1))))/$F12))</f>
        <v>0</v>
      </c>
      <c r="AN12" s="38" t="n">
        <f aca="false">IF(OR($C12="",$D12="",$F12=0),0,IF(OR(AN$5&lt;=Projects!$C$2,((YEAR(AN$5)-YEAR($C12))*12+MONTH(AN$5)-MONTH($C12)+1)&lt;1,((YEAR(AN$5)-YEAR($C12))*12+MONTH(AN$5)-MONTH($C12)+1)&gt;$D12),0,$E12*IF($G12,1,N(INDEX(Phasing!$I12:$AF12,((YEAR(AN$5)-YEAR($C12))*12+MONTH(AN$5)-MONTH($C12)+1))))/$F12))</f>
        <v>0</v>
      </c>
      <c r="AO12" s="38" t="n">
        <f aca="false">IF(OR($C12="",$D12="",$F12=0),0,IF(OR(AO$5&lt;=Projects!$C$2,((YEAR(AO$5)-YEAR($C12))*12+MONTH(AO$5)-MONTH($C12)+1)&lt;1,((YEAR(AO$5)-YEAR($C12))*12+MONTH(AO$5)-MONTH($C12)+1)&gt;$D12),0,$E12*IF($G12,1,N(INDEX(Phasing!$I12:$AF12,((YEAR(AO$5)-YEAR($C12))*12+MONTH(AO$5)-MONTH($C12)+1))))/$F12))</f>
        <v>0</v>
      </c>
      <c r="AP12" s="38" t="n">
        <f aca="false">IF(OR($C12="",$D12="",$F12=0),0,IF(OR(AP$5&lt;=Projects!$C$2,((YEAR(AP$5)-YEAR($C12))*12+MONTH(AP$5)-MONTH($C12)+1)&lt;1,((YEAR(AP$5)-YEAR($C12))*12+MONTH(AP$5)-MONTH($C12)+1)&gt;$D12),0,$E12*IF($G12,1,N(INDEX(Phasing!$I12:$AF12,((YEAR(AP$5)-YEAR($C12))*12+MONTH(AP$5)-MONTH($C12)+1))))/$F12))</f>
        <v>0</v>
      </c>
      <c r="AQ12" s="38" t="n">
        <f aca="false">IF(OR($C12="",$D12="",$F12=0),0,IF(OR(AQ$5&lt;=Projects!$C$2,((YEAR(AQ$5)-YEAR($C12))*12+MONTH(AQ$5)-MONTH($C12)+1)&lt;1,((YEAR(AQ$5)-YEAR($C12))*12+MONTH(AQ$5)-MONTH($C12)+1)&gt;$D12),0,$E12*IF($G12,1,N(INDEX(Phasing!$I12:$AF12,((YEAR(AQ$5)-YEAR($C12))*12+MONTH(AQ$5)-MONTH($C12)+1))))/$F12))</f>
        <v>0</v>
      </c>
    </row>
    <row r="13" customFormat="false" ht="15" hidden="false" customHeight="false" outlineLevel="0" collapsed="false">
      <c r="A13" s="11" t="n">
        <v>8</v>
      </c>
      <c r="B13" s="21" t="str">
        <f aca="false">IF(Projects!B13="","",Projects!B13)</f>
        <v/>
      </c>
      <c r="C13" s="31" t="str">
        <f aca="false">IF(Projects!D13="","",Projects!D13)</f>
        <v/>
      </c>
      <c r="D13" s="21" t="str">
        <f aca="false">IF(Projects!E13="","",Projects!E13)</f>
        <v/>
      </c>
      <c r="E13" s="33" t="n">
        <f aca="false">IF(Projects!B13="",0,N(Projects!I13))</f>
        <v>0</v>
      </c>
      <c r="F13" s="21" t="n">
        <f aca="false">Phasing!G13</f>
        <v>0</v>
      </c>
      <c r="G13" s="48" t="b">
        <f aca="false">Phasing!D13=0</f>
        <v>1</v>
      </c>
      <c r="H13" s="38" t="n">
        <f aca="false">IF(OR($C13="",$D13="",$F13=0),0,IF(OR(H$5&lt;=Projects!$C$2,((YEAR(H$5)-YEAR($C13))*12+MONTH(H$5)-MONTH($C13)+1)&lt;1,((YEAR(H$5)-YEAR($C13))*12+MONTH(H$5)-MONTH($C13)+1)&gt;$D13),0,$E13*IF($G13,1,N(INDEX(Phasing!$I13:$AF13,((YEAR(H$5)-YEAR($C13))*12+MONTH(H$5)-MONTH($C13)+1))))/$F13))</f>
        <v>0</v>
      </c>
      <c r="I13" s="38" t="n">
        <f aca="false">IF(OR($C13="",$D13="",$F13=0),0,IF(OR(I$5&lt;=Projects!$C$2,((YEAR(I$5)-YEAR($C13))*12+MONTH(I$5)-MONTH($C13)+1)&lt;1,((YEAR(I$5)-YEAR($C13))*12+MONTH(I$5)-MONTH($C13)+1)&gt;$D13),0,$E13*IF($G13,1,N(INDEX(Phasing!$I13:$AF13,((YEAR(I$5)-YEAR($C13))*12+MONTH(I$5)-MONTH($C13)+1))))/$F13))</f>
        <v>0</v>
      </c>
      <c r="J13" s="38" t="n">
        <f aca="false">IF(OR($C13="",$D13="",$F13=0),0,IF(OR(J$5&lt;=Projects!$C$2,((YEAR(J$5)-YEAR($C13))*12+MONTH(J$5)-MONTH($C13)+1)&lt;1,((YEAR(J$5)-YEAR($C13))*12+MONTH(J$5)-MONTH($C13)+1)&gt;$D13),0,$E13*IF($G13,1,N(INDEX(Phasing!$I13:$AF13,((YEAR(J$5)-YEAR($C13))*12+MONTH(J$5)-MONTH($C13)+1))))/$F13))</f>
        <v>0</v>
      </c>
      <c r="K13" s="38" t="n">
        <f aca="false">IF(OR($C13="",$D13="",$F13=0),0,IF(OR(K$5&lt;=Projects!$C$2,((YEAR(K$5)-YEAR($C13))*12+MONTH(K$5)-MONTH($C13)+1)&lt;1,((YEAR(K$5)-YEAR($C13))*12+MONTH(K$5)-MONTH($C13)+1)&gt;$D13),0,$E13*IF($G13,1,N(INDEX(Phasing!$I13:$AF13,((YEAR(K$5)-YEAR($C13))*12+MONTH(K$5)-MONTH($C13)+1))))/$F13))</f>
        <v>0</v>
      </c>
      <c r="L13" s="38" t="n">
        <f aca="false">IF(OR($C13="",$D13="",$F13=0),0,IF(OR(L$5&lt;=Projects!$C$2,((YEAR(L$5)-YEAR($C13))*12+MONTH(L$5)-MONTH($C13)+1)&lt;1,((YEAR(L$5)-YEAR($C13))*12+MONTH(L$5)-MONTH($C13)+1)&gt;$D13),0,$E13*IF($G13,1,N(INDEX(Phasing!$I13:$AF13,((YEAR(L$5)-YEAR($C13))*12+MONTH(L$5)-MONTH($C13)+1))))/$F13))</f>
        <v>0</v>
      </c>
      <c r="M13" s="38" t="n">
        <f aca="false">IF(OR($C13="",$D13="",$F13=0),0,IF(OR(M$5&lt;=Projects!$C$2,((YEAR(M$5)-YEAR($C13))*12+MONTH(M$5)-MONTH($C13)+1)&lt;1,((YEAR(M$5)-YEAR($C13))*12+MONTH(M$5)-MONTH($C13)+1)&gt;$D13),0,$E13*IF($G13,1,N(INDEX(Phasing!$I13:$AF13,((YEAR(M$5)-YEAR($C13))*12+MONTH(M$5)-MONTH($C13)+1))))/$F13))</f>
        <v>0</v>
      </c>
      <c r="N13" s="38" t="n">
        <f aca="false">IF(OR($C13="",$D13="",$F13=0),0,IF(OR(N$5&lt;=Projects!$C$2,((YEAR(N$5)-YEAR($C13))*12+MONTH(N$5)-MONTH($C13)+1)&lt;1,((YEAR(N$5)-YEAR($C13))*12+MONTH(N$5)-MONTH($C13)+1)&gt;$D13),0,$E13*IF($G13,1,N(INDEX(Phasing!$I13:$AF13,((YEAR(N$5)-YEAR($C13))*12+MONTH(N$5)-MONTH($C13)+1))))/$F13))</f>
        <v>0</v>
      </c>
      <c r="O13" s="38" t="n">
        <f aca="false">IF(OR($C13="",$D13="",$F13=0),0,IF(OR(O$5&lt;=Projects!$C$2,((YEAR(O$5)-YEAR($C13))*12+MONTH(O$5)-MONTH($C13)+1)&lt;1,((YEAR(O$5)-YEAR($C13))*12+MONTH(O$5)-MONTH($C13)+1)&gt;$D13),0,$E13*IF($G13,1,N(INDEX(Phasing!$I13:$AF13,((YEAR(O$5)-YEAR($C13))*12+MONTH(O$5)-MONTH($C13)+1))))/$F13))</f>
        <v>0</v>
      </c>
      <c r="P13" s="38" t="n">
        <f aca="false">IF(OR($C13="",$D13="",$F13=0),0,IF(OR(P$5&lt;=Projects!$C$2,((YEAR(P$5)-YEAR($C13))*12+MONTH(P$5)-MONTH($C13)+1)&lt;1,((YEAR(P$5)-YEAR($C13))*12+MONTH(P$5)-MONTH($C13)+1)&gt;$D13),0,$E13*IF($G13,1,N(INDEX(Phasing!$I13:$AF13,((YEAR(P$5)-YEAR($C13))*12+MONTH(P$5)-MONTH($C13)+1))))/$F13))</f>
        <v>0</v>
      </c>
      <c r="Q13" s="38" t="n">
        <f aca="false">IF(OR($C13="",$D13="",$F13=0),0,IF(OR(Q$5&lt;=Projects!$C$2,((YEAR(Q$5)-YEAR($C13))*12+MONTH(Q$5)-MONTH($C13)+1)&lt;1,((YEAR(Q$5)-YEAR($C13))*12+MONTH(Q$5)-MONTH($C13)+1)&gt;$D13),0,$E13*IF($G13,1,N(INDEX(Phasing!$I13:$AF13,((YEAR(Q$5)-YEAR($C13))*12+MONTH(Q$5)-MONTH($C13)+1))))/$F13))</f>
        <v>0</v>
      </c>
      <c r="R13" s="38" t="n">
        <f aca="false">IF(OR($C13="",$D13="",$F13=0),0,IF(OR(R$5&lt;=Projects!$C$2,((YEAR(R$5)-YEAR($C13))*12+MONTH(R$5)-MONTH($C13)+1)&lt;1,((YEAR(R$5)-YEAR($C13))*12+MONTH(R$5)-MONTH($C13)+1)&gt;$D13),0,$E13*IF($G13,1,N(INDEX(Phasing!$I13:$AF13,((YEAR(R$5)-YEAR($C13))*12+MONTH(R$5)-MONTH($C13)+1))))/$F13))</f>
        <v>0</v>
      </c>
      <c r="S13" s="38" t="n">
        <f aca="false">IF(OR($C13="",$D13="",$F13=0),0,IF(OR(S$5&lt;=Projects!$C$2,((YEAR(S$5)-YEAR($C13))*12+MONTH(S$5)-MONTH($C13)+1)&lt;1,((YEAR(S$5)-YEAR($C13))*12+MONTH(S$5)-MONTH($C13)+1)&gt;$D13),0,$E13*IF($G13,1,N(INDEX(Phasing!$I13:$AF13,((YEAR(S$5)-YEAR($C13))*12+MONTH(S$5)-MONTH($C13)+1))))/$F13))</f>
        <v>0</v>
      </c>
      <c r="T13" s="38" t="n">
        <f aca="false">IF(OR($C13="",$D13="",$F13=0),0,IF(OR(T$5&lt;=Projects!$C$2,((YEAR(T$5)-YEAR($C13))*12+MONTH(T$5)-MONTH($C13)+1)&lt;1,((YEAR(T$5)-YEAR($C13))*12+MONTH(T$5)-MONTH($C13)+1)&gt;$D13),0,$E13*IF($G13,1,N(INDEX(Phasing!$I13:$AF13,((YEAR(T$5)-YEAR($C13))*12+MONTH(T$5)-MONTH($C13)+1))))/$F13))</f>
        <v>0</v>
      </c>
      <c r="U13" s="38" t="n">
        <f aca="false">IF(OR($C13="",$D13="",$F13=0),0,IF(OR(U$5&lt;=Projects!$C$2,((YEAR(U$5)-YEAR($C13))*12+MONTH(U$5)-MONTH($C13)+1)&lt;1,((YEAR(U$5)-YEAR($C13))*12+MONTH(U$5)-MONTH($C13)+1)&gt;$D13),0,$E13*IF($G13,1,N(INDEX(Phasing!$I13:$AF13,((YEAR(U$5)-YEAR($C13))*12+MONTH(U$5)-MONTH($C13)+1))))/$F13))</f>
        <v>0</v>
      </c>
      <c r="V13" s="38" t="n">
        <f aca="false">IF(OR($C13="",$D13="",$F13=0),0,IF(OR(V$5&lt;=Projects!$C$2,((YEAR(V$5)-YEAR($C13))*12+MONTH(V$5)-MONTH($C13)+1)&lt;1,((YEAR(V$5)-YEAR($C13))*12+MONTH(V$5)-MONTH($C13)+1)&gt;$D13),0,$E13*IF($G13,1,N(INDEX(Phasing!$I13:$AF13,((YEAR(V$5)-YEAR($C13))*12+MONTH(V$5)-MONTH($C13)+1))))/$F13))</f>
        <v>0</v>
      </c>
      <c r="W13" s="38" t="n">
        <f aca="false">IF(OR($C13="",$D13="",$F13=0),0,IF(OR(W$5&lt;=Projects!$C$2,((YEAR(W$5)-YEAR($C13))*12+MONTH(W$5)-MONTH($C13)+1)&lt;1,((YEAR(W$5)-YEAR($C13))*12+MONTH(W$5)-MONTH($C13)+1)&gt;$D13),0,$E13*IF($G13,1,N(INDEX(Phasing!$I13:$AF13,((YEAR(W$5)-YEAR($C13))*12+MONTH(W$5)-MONTH($C13)+1))))/$F13))</f>
        <v>0</v>
      </c>
      <c r="X13" s="38" t="n">
        <f aca="false">IF(OR($C13="",$D13="",$F13=0),0,IF(OR(X$5&lt;=Projects!$C$2,((YEAR(X$5)-YEAR($C13))*12+MONTH(X$5)-MONTH($C13)+1)&lt;1,((YEAR(X$5)-YEAR($C13))*12+MONTH(X$5)-MONTH($C13)+1)&gt;$D13),0,$E13*IF($G13,1,N(INDEX(Phasing!$I13:$AF13,((YEAR(X$5)-YEAR($C13))*12+MONTH(X$5)-MONTH($C13)+1))))/$F13))</f>
        <v>0</v>
      </c>
      <c r="Y13" s="38" t="n">
        <f aca="false">IF(OR($C13="",$D13="",$F13=0),0,IF(OR(Y$5&lt;=Projects!$C$2,((YEAR(Y$5)-YEAR($C13))*12+MONTH(Y$5)-MONTH($C13)+1)&lt;1,((YEAR(Y$5)-YEAR($C13))*12+MONTH(Y$5)-MONTH($C13)+1)&gt;$D13),0,$E13*IF($G13,1,N(INDEX(Phasing!$I13:$AF13,((YEAR(Y$5)-YEAR($C13))*12+MONTH(Y$5)-MONTH($C13)+1))))/$F13))</f>
        <v>0</v>
      </c>
      <c r="Z13" s="38" t="n">
        <f aca="false">IF(OR($C13="",$D13="",$F13=0),0,IF(OR(Z$5&lt;=Projects!$C$2,((YEAR(Z$5)-YEAR($C13))*12+MONTH(Z$5)-MONTH($C13)+1)&lt;1,((YEAR(Z$5)-YEAR($C13))*12+MONTH(Z$5)-MONTH($C13)+1)&gt;$D13),0,$E13*IF($G13,1,N(INDEX(Phasing!$I13:$AF13,((YEAR(Z$5)-YEAR($C13))*12+MONTH(Z$5)-MONTH($C13)+1))))/$F13))</f>
        <v>0</v>
      </c>
      <c r="AA13" s="38" t="n">
        <f aca="false">IF(OR($C13="",$D13="",$F13=0),0,IF(OR(AA$5&lt;=Projects!$C$2,((YEAR(AA$5)-YEAR($C13))*12+MONTH(AA$5)-MONTH($C13)+1)&lt;1,((YEAR(AA$5)-YEAR($C13))*12+MONTH(AA$5)-MONTH($C13)+1)&gt;$D13),0,$E13*IF($G13,1,N(INDEX(Phasing!$I13:$AF13,((YEAR(AA$5)-YEAR($C13))*12+MONTH(AA$5)-MONTH($C13)+1))))/$F13))</f>
        <v>0</v>
      </c>
      <c r="AB13" s="38" t="n">
        <f aca="false">IF(OR($C13="",$D13="",$F13=0),0,IF(OR(AB$5&lt;=Projects!$C$2,((YEAR(AB$5)-YEAR($C13))*12+MONTH(AB$5)-MONTH($C13)+1)&lt;1,((YEAR(AB$5)-YEAR($C13))*12+MONTH(AB$5)-MONTH($C13)+1)&gt;$D13),0,$E13*IF($G13,1,N(INDEX(Phasing!$I13:$AF13,((YEAR(AB$5)-YEAR($C13))*12+MONTH(AB$5)-MONTH($C13)+1))))/$F13))</f>
        <v>0</v>
      </c>
      <c r="AC13" s="38" t="n">
        <f aca="false">IF(OR($C13="",$D13="",$F13=0),0,IF(OR(AC$5&lt;=Projects!$C$2,((YEAR(AC$5)-YEAR($C13))*12+MONTH(AC$5)-MONTH($C13)+1)&lt;1,((YEAR(AC$5)-YEAR($C13))*12+MONTH(AC$5)-MONTH($C13)+1)&gt;$D13),0,$E13*IF($G13,1,N(INDEX(Phasing!$I13:$AF13,((YEAR(AC$5)-YEAR($C13))*12+MONTH(AC$5)-MONTH($C13)+1))))/$F13))</f>
        <v>0</v>
      </c>
      <c r="AD13" s="38" t="n">
        <f aca="false">IF(OR($C13="",$D13="",$F13=0),0,IF(OR(AD$5&lt;=Projects!$C$2,((YEAR(AD$5)-YEAR($C13))*12+MONTH(AD$5)-MONTH($C13)+1)&lt;1,((YEAR(AD$5)-YEAR($C13))*12+MONTH(AD$5)-MONTH($C13)+1)&gt;$D13),0,$E13*IF($G13,1,N(INDEX(Phasing!$I13:$AF13,((YEAR(AD$5)-YEAR($C13))*12+MONTH(AD$5)-MONTH($C13)+1))))/$F13))</f>
        <v>0</v>
      </c>
      <c r="AE13" s="38" t="n">
        <f aca="false">IF(OR($C13="",$D13="",$F13=0),0,IF(OR(AE$5&lt;=Projects!$C$2,((YEAR(AE$5)-YEAR($C13))*12+MONTH(AE$5)-MONTH($C13)+1)&lt;1,((YEAR(AE$5)-YEAR($C13))*12+MONTH(AE$5)-MONTH($C13)+1)&gt;$D13),0,$E13*IF($G13,1,N(INDEX(Phasing!$I13:$AF13,((YEAR(AE$5)-YEAR($C13))*12+MONTH(AE$5)-MONTH($C13)+1))))/$F13))</f>
        <v>0</v>
      </c>
      <c r="AF13" s="38" t="n">
        <f aca="false">IF(OR($C13="",$D13="",$F13=0),0,IF(OR(AF$5&lt;=Projects!$C$2,((YEAR(AF$5)-YEAR($C13))*12+MONTH(AF$5)-MONTH($C13)+1)&lt;1,((YEAR(AF$5)-YEAR($C13))*12+MONTH(AF$5)-MONTH($C13)+1)&gt;$D13),0,$E13*IF($G13,1,N(INDEX(Phasing!$I13:$AF13,((YEAR(AF$5)-YEAR($C13))*12+MONTH(AF$5)-MONTH($C13)+1))))/$F13))</f>
        <v>0</v>
      </c>
      <c r="AG13" s="38" t="n">
        <f aca="false">IF(OR($C13="",$D13="",$F13=0),0,IF(OR(AG$5&lt;=Projects!$C$2,((YEAR(AG$5)-YEAR($C13))*12+MONTH(AG$5)-MONTH($C13)+1)&lt;1,((YEAR(AG$5)-YEAR($C13))*12+MONTH(AG$5)-MONTH($C13)+1)&gt;$D13),0,$E13*IF($G13,1,N(INDEX(Phasing!$I13:$AF13,((YEAR(AG$5)-YEAR($C13))*12+MONTH(AG$5)-MONTH($C13)+1))))/$F13))</f>
        <v>0</v>
      </c>
      <c r="AH13" s="38" t="n">
        <f aca="false">IF(OR($C13="",$D13="",$F13=0),0,IF(OR(AH$5&lt;=Projects!$C$2,((YEAR(AH$5)-YEAR($C13))*12+MONTH(AH$5)-MONTH($C13)+1)&lt;1,((YEAR(AH$5)-YEAR($C13))*12+MONTH(AH$5)-MONTH($C13)+1)&gt;$D13),0,$E13*IF($G13,1,N(INDEX(Phasing!$I13:$AF13,((YEAR(AH$5)-YEAR($C13))*12+MONTH(AH$5)-MONTH($C13)+1))))/$F13))</f>
        <v>0</v>
      </c>
      <c r="AI13" s="38" t="n">
        <f aca="false">IF(OR($C13="",$D13="",$F13=0),0,IF(OR(AI$5&lt;=Projects!$C$2,((YEAR(AI$5)-YEAR($C13))*12+MONTH(AI$5)-MONTH($C13)+1)&lt;1,((YEAR(AI$5)-YEAR($C13))*12+MONTH(AI$5)-MONTH($C13)+1)&gt;$D13),0,$E13*IF($G13,1,N(INDEX(Phasing!$I13:$AF13,((YEAR(AI$5)-YEAR($C13))*12+MONTH(AI$5)-MONTH($C13)+1))))/$F13))</f>
        <v>0</v>
      </c>
      <c r="AJ13" s="38" t="n">
        <f aca="false">IF(OR($C13="",$D13="",$F13=0),0,IF(OR(AJ$5&lt;=Projects!$C$2,((YEAR(AJ$5)-YEAR($C13))*12+MONTH(AJ$5)-MONTH($C13)+1)&lt;1,((YEAR(AJ$5)-YEAR($C13))*12+MONTH(AJ$5)-MONTH($C13)+1)&gt;$D13),0,$E13*IF($G13,1,N(INDEX(Phasing!$I13:$AF13,((YEAR(AJ$5)-YEAR($C13))*12+MONTH(AJ$5)-MONTH($C13)+1))))/$F13))</f>
        <v>0</v>
      </c>
      <c r="AK13" s="38" t="n">
        <f aca="false">IF(OR($C13="",$D13="",$F13=0),0,IF(OR(AK$5&lt;=Projects!$C$2,((YEAR(AK$5)-YEAR($C13))*12+MONTH(AK$5)-MONTH($C13)+1)&lt;1,((YEAR(AK$5)-YEAR($C13))*12+MONTH(AK$5)-MONTH($C13)+1)&gt;$D13),0,$E13*IF($G13,1,N(INDEX(Phasing!$I13:$AF13,((YEAR(AK$5)-YEAR($C13))*12+MONTH(AK$5)-MONTH($C13)+1))))/$F13))</f>
        <v>0</v>
      </c>
      <c r="AL13" s="38" t="n">
        <f aca="false">IF(OR($C13="",$D13="",$F13=0),0,IF(OR(AL$5&lt;=Projects!$C$2,((YEAR(AL$5)-YEAR($C13))*12+MONTH(AL$5)-MONTH($C13)+1)&lt;1,((YEAR(AL$5)-YEAR($C13))*12+MONTH(AL$5)-MONTH($C13)+1)&gt;$D13),0,$E13*IF($G13,1,N(INDEX(Phasing!$I13:$AF13,((YEAR(AL$5)-YEAR($C13))*12+MONTH(AL$5)-MONTH($C13)+1))))/$F13))</f>
        <v>0</v>
      </c>
      <c r="AM13" s="38" t="n">
        <f aca="false">IF(OR($C13="",$D13="",$F13=0),0,IF(OR(AM$5&lt;=Projects!$C$2,((YEAR(AM$5)-YEAR($C13))*12+MONTH(AM$5)-MONTH($C13)+1)&lt;1,((YEAR(AM$5)-YEAR($C13))*12+MONTH(AM$5)-MONTH($C13)+1)&gt;$D13),0,$E13*IF($G13,1,N(INDEX(Phasing!$I13:$AF13,((YEAR(AM$5)-YEAR($C13))*12+MONTH(AM$5)-MONTH($C13)+1))))/$F13))</f>
        <v>0</v>
      </c>
      <c r="AN13" s="38" t="n">
        <f aca="false">IF(OR($C13="",$D13="",$F13=0),0,IF(OR(AN$5&lt;=Projects!$C$2,((YEAR(AN$5)-YEAR($C13))*12+MONTH(AN$5)-MONTH($C13)+1)&lt;1,((YEAR(AN$5)-YEAR($C13))*12+MONTH(AN$5)-MONTH($C13)+1)&gt;$D13),0,$E13*IF($G13,1,N(INDEX(Phasing!$I13:$AF13,((YEAR(AN$5)-YEAR($C13))*12+MONTH(AN$5)-MONTH($C13)+1))))/$F13))</f>
        <v>0</v>
      </c>
      <c r="AO13" s="38" t="n">
        <f aca="false">IF(OR($C13="",$D13="",$F13=0),0,IF(OR(AO$5&lt;=Projects!$C$2,((YEAR(AO$5)-YEAR($C13))*12+MONTH(AO$5)-MONTH($C13)+1)&lt;1,((YEAR(AO$5)-YEAR($C13))*12+MONTH(AO$5)-MONTH($C13)+1)&gt;$D13),0,$E13*IF($G13,1,N(INDEX(Phasing!$I13:$AF13,((YEAR(AO$5)-YEAR($C13))*12+MONTH(AO$5)-MONTH($C13)+1))))/$F13))</f>
        <v>0</v>
      </c>
      <c r="AP13" s="38" t="n">
        <f aca="false">IF(OR($C13="",$D13="",$F13=0),0,IF(OR(AP$5&lt;=Projects!$C$2,((YEAR(AP$5)-YEAR($C13))*12+MONTH(AP$5)-MONTH($C13)+1)&lt;1,((YEAR(AP$5)-YEAR($C13))*12+MONTH(AP$5)-MONTH($C13)+1)&gt;$D13),0,$E13*IF($G13,1,N(INDEX(Phasing!$I13:$AF13,((YEAR(AP$5)-YEAR($C13))*12+MONTH(AP$5)-MONTH($C13)+1))))/$F13))</f>
        <v>0</v>
      </c>
      <c r="AQ13" s="38" t="n">
        <f aca="false">IF(OR($C13="",$D13="",$F13=0),0,IF(OR(AQ$5&lt;=Projects!$C$2,((YEAR(AQ$5)-YEAR($C13))*12+MONTH(AQ$5)-MONTH($C13)+1)&lt;1,((YEAR(AQ$5)-YEAR($C13))*12+MONTH(AQ$5)-MONTH($C13)+1)&gt;$D13),0,$E13*IF($G13,1,N(INDEX(Phasing!$I13:$AF13,((YEAR(AQ$5)-YEAR($C13))*12+MONTH(AQ$5)-MONTH($C13)+1))))/$F13))</f>
        <v>0</v>
      </c>
    </row>
    <row r="14" customFormat="false" ht="15" hidden="false" customHeight="false" outlineLevel="0" collapsed="false">
      <c r="A14" s="11" t="n">
        <v>9</v>
      </c>
      <c r="B14" s="21" t="str">
        <f aca="false">IF(Projects!B14="","",Projects!B14)</f>
        <v/>
      </c>
      <c r="C14" s="31" t="str">
        <f aca="false">IF(Projects!D14="","",Projects!D14)</f>
        <v/>
      </c>
      <c r="D14" s="21" t="str">
        <f aca="false">IF(Projects!E14="","",Projects!E14)</f>
        <v/>
      </c>
      <c r="E14" s="33" t="n">
        <f aca="false">IF(Projects!B14="",0,N(Projects!I14))</f>
        <v>0</v>
      </c>
      <c r="F14" s="21" t="n">
        <f aca="false">Phasing!G14</f>
        <v>0</v>
      </c>
      <c r="G14" s="48" t="b">
        <f aca="false">Phasing!D14=0</f>
        <v>1</v>
      </c>
      <c r="H14" s="38" t="n">
        <f aca="false">IF(OR($C14="",$D14="",$F14=0),0,IF(OR(H$5&lt;=Projects!$C$2,((YEAR(H$5)-YEAR($C14))*12+MONTH(H$5)-MONTH($C14)+1)&lt;1,((YEAR(H$5)-YEAR($C14))*12+MONTH(H$5)-MONTH($C14)+1)&gt;$D14),0,$E14*IF($G14,1,N(INDEX(Phasing!$I14:$AF14,((YEAR(H$5)-YEAR($C14))*12+MONTH(H$5)-MONTH($C14)+1))))/$F14))</f>
        <v>0</v>
      </c>
      <c r="I14" s="38" t="n">
        <f aca="false">IF(OR($C14="",$D14="",$F14=0),0,IF(OR(I$5&lt;=Projects!$C$2,((YEAR(I$5)-YEAR($C14))*12+MONTH(I$5)-MONTH($C14)+1)&lt;1,((YEAR(I$5)-YEAR($C14))*12+MONTH(I$5)-MONTH($C14)+1)&gt;$D14),0,$E14*IF($G14,1,N(INDEX(Phasing!$I14:$AF14,((YEAR(I$5)-YEAR($C14))*12+MONTH(I$5)-MONTH($C14)+1))))/$F14))</f>
        <v>0</v>
      </c>
      <c r="J14" s="38" t="n">
        <f aca="false">IF(OR($C14="",$D14="",$F14=0),0,IF(OR(J$5&lt;=Projects!$C$2,((YEAR(J$5)-YEAR($C14))*12+MONTH(J$5)-MONTH($C14)+1)&lt;1,((YEAR(J$5)-YEAR($C14))*12+MONTH(J$5)-MONTH($C14)+1)&gt;$D14),0,$E14*IF($G14,1,N(INDEX(Phasing!$I14:$AF14,((YEAR(J$5)-YEAR($C14))*12+MONTH(J$5)-MONTH($C14)+1))))/$F14))</f>
        <v>0</v>
      </c>
      <c r="K14" s="38" t="n">
        <f aca="false">IF(OR($C14="",$D14="",$F14=0),0,IF(OR(K$5&lt;=Projects!$C$2,((YEAR(K$5)-YEAR($C14))*12+MONTH(K$5)-MONTH($C14)+1)&lt;1,((YEAR(K$5)-YEAR($C14))*12+MONTH(K$5)-MONTH($C14)+1)&gt;$D14),0,$E14*IF($G14,1,N(INDEX(Phasing!$I14:$AF14,((YEAR(K$5)-YEAR($C14))*12+MONTH(K$5)-MONTH($C14)+1))))/$F14))</f>
        <v>0</v>
      </c>
      <c r="L14" s="38" t="n">
        <f aca="false">IF(OR($C14="",$D14="",$F14=0),0,IF(OR(L$5&lt;=Projects!$C$2,((YEAR(L$5)-YEAR($C14))*12+MONTH(L$5)-MONTH($C14)+1)&lt;1,((YEAR(L$5)-YEAR($C14))*12+MONTH(L$5)-MONTH($C14)+1)&gt;$D14),0,$E14*IF($G14,1,N(INDEX(Phasing!$I14:$AF14,((YEAR(L$5)-YEAR($C14))*12+MONTH(L$5)-MONTH($C14)+1))))/$F14))</f>
        <v>0</v>
      </c>
      <c r="M14" s="38" t="n">
        <f aca="false">IF(OR($C14="",$D14="",$F14=0),0,IF(OR(M$5&lt;=Projects!$C$2,((YEAR(M$5)-YEAR($C14))*12+MONTH(M$5)-MONTH($C14)+1)&lt;1,((YEAR(M$5)-YEAR($C14))*12+MONTH(M$5)-MONTH($C14)+1)&gt;$D14),0,$E14*IF($G14,1,N(INDEX(Phasing!$I14:$AF14,((YEAR(M$5)-YEAR($C14))*12+MONTH(M$5)-MONTH($C14)+1))))/$F14))</f>
        <v>0</v>
      </c>
      <c r="N14" s="38" t="n">
        <f aca="false">IF(OR($C14="",$D14="",$F14=0),0,IF(OR(N$5&lt;=Projects!$C$2,((YEAR(N$5)-YEAR($C14))*12+MONTH(N$5)-MONTH($C14)+1)&lt;1,((YEAR(N$5)-YEAR($C14))*12+MONTH(N$5)-MONTH($C14)+1)&gt;$D14),0,$E14*IF($G14,1,N(INDEX(Phasing!$I14:$AF14,((YEAR(N$5)-YEAR($C14))*12+MONTH(N$5)-MONTH($C14)+1))))/$F14))</f>
        <v>0</v>
      </c>
      <c r="O14" s="38" t="n">
        <f aca="false">IF(OR($C14="",$D14="",$F14=0),0,IF(OR(O$5&lt;=Projects!$C$2,((YEAR(O$5)-YEAR($C14))*12+MONTH(O$5)-MONTH($C14)+1)&lt;1,((YEAR(O$5)-YEAR($C14))*12+MONTH(O$5)-MONTH($C14)+1)&gt;$D14),0,$E14*IF($G14,1,N(INDEX(Phasing!$I14:$AF14,((YEAR(O$5)-YEAR($C14))*12+MONTH(O$5)-MONTH($C14)+1))))/$F14))</f>
        <v>0</v>
      </c>
      <c r="P14" s="38" t="n">
        <f aca="false">IF(OR($C14="",$D14="",$F14=0),0,IF(OR(P$5&lt;=Projects!$C$2,((YEAR(P$5)-YEAR($C14))*12+MONTH(P$5)-MONTH($C14)+1)&lt;1,((YEAR(P$5)-YEAR($C14))*12+MONTH(P$5)-MONTH($C14)+1)&gt;$D14),0,$E14*IF($G14,1,N(INDEX(Phasing!$I14:$AF14,((YEAR(P$5)-YEAR($C14))*12+MONTH(P$5)-MONTH($C14)+1))))/$F14))</f>
        <v>0</v>
      </c>
      <c r="Q14" s="38" t="n">
        <f aca="false">IF(OR($C14="",$D14="",$F14=0),0,IF(OR(Q$5&lt;=Projects!$C$2,((YEAR(Q$5)-YEAR($C14))*12+MONTH(Q$5)-MONTH($C14)+1)&lt;1,((YEAR(Q$5)-YEAR($C14))*12+MONTH(Q$5)-MONTH($C14)+1)&gt;$D14),0,$E14*IF($G14,1,N(INDEX(Phasing!$I14:$AF14,((YEAR(Q$5)-YEAR($C14))*12+MONTH(Q$5)-MONTH($C14)+1))))/$F14))</f>
        <v>0</v>
      </c>
      <c r="R14" s="38" t="n">
        <f aca="false">IF(OR($C14="",$D14="",$F14=0),0,IF(OR(R$5&lt;=Projects!$C$2,((YEAR(R$5)-YEAR($C14))*12+MONTH(R$5)-MONTH($C14)+1)&lt;1,((YEAR(R$5)-YEAR($C14))*12+MONTH(R$5)-MONTH($C14)+1)&gt;$D14),0,$E14*IF($G14,1,N(INDEX(Phasing!$I14:$AF14,((YEAR(R$5)-YEAR($C14))*12+MONTH(R$5)-MONTH($C14)+1))))/$F14))</f>
        <v>0</v>
      </c>
      <c r="S14" s="38" t="n">
        <f aca="false">IF(OR($C14="",$D14="",$F14=0),0,IF(OR(S$5&lt;=Projects!$C$2,((YEAR(S$5)-YEAR($C14))*12+MONTH(S$5)-MONTH($C14)+1)&lt;1,((YEAR(S$5)-YEAR($C14))*12+MONTH(S$5)-MONTH($C14)+1)&gt;$D14),0,$E14*IF($G14,1,N(INDEX(Phasing!$I14:$AF14,((YEAR(S$5)-YEAR($C14))*12+MONTH(S$5)-MONTH($C14)+1))))/$F14))</f>
        <v>0</v>
      </c>
      <c r="T14" s="38" t="n">
        <f aca="false">IF(OR($C14="",$D14="",$F14=0),0,IF(OR(T$5&lt;=Projects!$C$2,((YEAR(T$5)-YEAR($C14))*12+MONTH(T$5)-MONTH($C14)+1)&lt;1,((YEAR(T$5)-YEAR($C14))*12+MONTH(T$5)-MONTH($C14)+1)&gt;$D14),0,$E14*IF($G14,1,N(INDEX(Phasing!$I14:$AF14,((YEAR(T$5)-YEAR($C14))*12+MONTH(T$5)-MONTH($C14)+1))))/$F14))</f>
        <v>0</v>
      </c>
      <c r="U14" s="38" t="n">
        <f aca="false">IF(OR($C14="",$D14="",$F14=0),0,IF(OR(U$5&lt;=Projects!$C$2,((YEAR(U$5)-YEAR($C14))*12+MONTH(U$5)-MONTH($C14)+1)&lt;1,((YEAR(U$5)-YEAR($C14))*12+MONTH(U$5)-MONTH($C14)+1)&gt;$D14),0,$E14*IF($G14,1,N(INDEX(Phasing!$I14:$AF14,((YEAR(U$5)-YEAR($C14))*12+MONTH(U$5)-MONTH($C14)+1))))/$F14))</f>
        <v>0</v>
      </c>
      <c r="V14" s="38" t="n">
        <f aca="false">IF(OR($C14="",$D14="",$F14=0),0,IF(OR(V$5&lt;=Projects!$C$2,((YEAR(V$5)-YEAR($C14))*12+MONTH(V$5)-MONTH($C14)+1)&lt;1,((YEAR(V$5)-YEAR($C14))*12+MONTH(V$5)-MONTH($C14)+1)&gt;$D14),0,$E14*IF($G14,1,N(INDEX(Phasing!$I14:$AF14,((YEAR(V$5)-YEAR($C14))*12+MONTH(V$5)-MONTH($C14)+1))))/$F14))</f>
        <v>0</v>
      </c>
      <c r="W14" s="38" t="n">
        <f aca="false">IF(OR($C14="",$D14="",$F14=0),0,IF(OR(W$5&lt;=Projects!$C$2,((YEAR(W$5)-YEAR($C14))*12+MONTH(W$5)-MONTH($C14)+1)&lt;1,((YEAR(W$5)-YEAR($C14))*12+MONTH(W$5)-MONTH($C14)+1)&gt;$D14),0,$E14*IF($G14,1,N(INDEX(Phasing!$I14:$AF14,((YEAR(W$5)-YEAR($C14))*12+MONTH(W$5)-MONTH($C14)+1))))/$F14))</f>
        <v>0</v>
      </c>
      <c r="X14" s="38" t="n">
        <f aca="false">IF(OR($C14="",$D14="",$F14=0),0,IF(OR(X$5&lt;=Projects!$C$2,((YEAR(X$5)-YEAR($C14))*12+MONTH(X$5)-MONTH($C14)+1)&lt;1,((YEAR(X$5)-YEAR($C14))*12+MONTH(X$5)-MONTH($C14)+1)&gt;$D14),0,$E14*IF($G14,1,N(INDEX(Phasing!$I14:$AF14,((YEAR(X$5)-YEAR($C14))*12+MONTH(X$5)-MONTH($C14)+1))))/$F14))</f>
        <v>0</v>
      </c>
      <c r="Y14" s="38" t="n">
        <f aca="false">IF(OR($C14="",$D14="",$F14=0),0,IF(OR(Y$5&lt;=Projects!$C$2,((YEAR(Y$5)-YEAR($C14))*12+MONTH(Y$5)-MONTH($C14)+1)&lt;1,((YEAR(Y$5)-YEAR($C14))*12+MONTH(Y$5)-MONTH($C14)+1)&gt;$D14),0,$E14*IF($G14,1,N(INDEX(Phasing!$I14:$AF14,((YEAR(Y$5)-YEAR($C14))*12+MONTH(Y$5)-MONTH($C14)+1))))/$F14))</f>
        <v>0</v>
      </c>
      <c r="Z14" s="38" t="n">
        <f aca="false">IF(OR($C14="",$D14="",$F14=0),0,IF(OR(Z$5&lt;=Projects!$C$2,((YEAR(Z$5)-YEAR($C14))*12+MONTH(Z$5)-MONTH($C14)+1)&lt;1,((YEAR(Z$5)-YEAR($C14))*12+MONTH(Z$5)-MONTH($C14)+1)&gt;$D14),0,$E14*IF($G14,1,N(INDEX(Phasing!$I14:$AF14,((YEAR(Z$5)-YEAR($C14))*12+MONTH(Z$5)-MONTH($C14)+1))))/$F14))</f>
        <v>0</v>
      </c>
      <c r="AA14" s="38" t="n">
        <f aca="false">IF(OR($C14="",$D14="",$F14=0),0,IF(OR(AA$5&lt;=Projects!$C$2,((YEAR(AA$5)-YEAR($C14))*12+MONTH(AA$5)-MONTH($C14)+1)&lt;1,((YEAR(AA$5)-YEAR($C14))*12+MONTH(AA$5)-MONTH($C14)+1)&gt;$D14),0,$E14*IF($G14,1,N(INDEX(Phasing!$I14:$AF14,((YEAR(AA$5)-YEAR($C14))*12+MONTH(AA$5)-MONTH($C14)+1))))/$F14))</f>
        <v>0</v>
      </c>
      <c r="AB14" s="38" t="n">
        <f aca="false">IF(OR($C14="",$D14="",$F14=0),0,IF(OR(AB$5&lt;=Projects!$C$2,((YEAR(AB$5)-YEAR($C14))*12+MONTH(AB$5)-MONTH($C14)+1)&lt;1,((YEAR(AB$5)-YEAR($C14))*12+MONTH(AB$5)-MONTH($C14)+1)&gt;$D14),0,$E14*IF($G14,1,N(INDEX(Phasing!$I14:$AF14,((YEAR(AB$5)-YEAR($C14))*12+MONTH(AB$5)-MONTH($C14)+1))))/$F14))</f>
        <v>0</v>
      </c>
      <c r="AC14" s="38" t="n">
        <f aca="false">IF(OR($C14="",$D14="",$F14=0),0,IF(OR(AC$5&lt;=Projects!$C$2,((YEAR(AC$5)-YEAR($C14))*12+MONTH(AC$5)-MONTH($C14)+1)&lt;1,((YEAR(AC$5)-YEAR($C14))*12+MONTH(AC$5)-MONTH($C14)+1)&gt;$D14),0,$E14*IF($G14,1,N(INDEX(Phasing!$I14:$AF14,((YEAR(AC$5)-YEAR($C14))*12+MONTH(AC$5)-MONTH($C14)+1))))/$F14))</f>
        <v>0</v>
      </c>
      <c r="AD14" s="38" t="n">
        <f aca="false">IF(OR($C14="",$D14="",$F14=0),0,IF(OR(AD$5&lt;=Projects!$C$2,((YEAR(AD$5)-YEAR($C14))*12+MONTH(AD$5)-MONTH($C14)+1)&lt;1,((YEAR(AD$5)-YEAR($C14))*12+MONTH(AD$5)-MONTH($C14)+1)&gt;$D14),0,$E14*IF($G14,1,N(INDEX(Phasing!$I14:$AF14,((YEAR(AD$5)-YEAR($C14))*12+MONTH(AD$5)-MONTH($C14)+1))))/$F14))</f>
        <v>0</v>
      </c>
      <c r="AE14" s="38" t="n">
        <f aca="false">IF(OR($C14="",$D14="",$F14=0),0,IF(OR(AE$5&lt;=Projects!$C$2,((YEAR(AE$5)-YEAR($C14))*12+MONTH(AE$5)-MONTH($C14)+1)&lt;1,((YEAR(AE$5)-YEAR($C14))*12+MONTH(AE$5)-MONTH($C14)+1)&gt;$D14),0,$E14*IF($G14,1,N(INDEX(Phasing!$I14:$AF14,((YEAR(AE$5)-YEAR($C14))*12+MONTH(AE$5)-MONTH($C14)+1))))/$F14))</f>
        <v>0</v>
      </c>
      <c r="AF14" s="38" t="n">
        <f aca="false">IF(OR($C14="",$D14="",$F14=0),0,IF(OR(AF$5&lt;=Projects!$C$2,((YEAR(AF$5)-YEAR($C14))*12+MONTH(AF$5)-MONTH($C14)+1)&lt;1,((YEAR(AF$5)-YEAR($C14))*12+MONTH(AF$5)-MONTH($C14)+1)&gt;$D14),0,$E14*IF($G14,1,N(INDEX(Phasing!$I14:$AF14,((YEAR(AF$5)-YEAR($C14))*12+MONTH(AF$5)-MONTH($C14)+1))))/$F14))</f>
        <v>0</v>
      </c>
      <c r="AG14" s="38" t="n">
        <f aca="false">IF(OR($C14="",$D14="",$F14=0),0,IF(OR(AG$5&lt;=Projects!$C$2,((YEAR(AG$5)-YEAR($C14))*12+MONTH(AG$5)-MONTH($C14)+1)&lt;1,((YEAR(AG$5)-YEAR($C14))*12+MONTH(AG$5)-MONTH($C14)+1)&gt;$D14),0,$E14*IF($G14,1,N(INDEX(Phasing!$I14:$AF14,((YEAR(AG$5)-YEAR($C14))*12+MONTH(AG$5)-MONTH($C14)+1))))/$F14))</f>
        <v>0</v>
      </c>
      <c r="AH14" s="38" t="n">
        <f aca="false">IF(OR($C14="",$D14="",$F14=0),0,IF(OR(AH$5&lt;=Projects!$C$2,((YEAR(AH$5)-YEAR($C14))*12+MONTH(AH$5)-MONTH($C14)+1)&lt;1,((YEAR(AH$5)-YEAR($C14))*12+MONTH(AH$5)-MONTH($C14)+1)&gt;$D14),0,$E14*IF($G14,1,N(INDEX(Phasing!$I14:$AF14,((YEAR(AH$5)-YEAR($C14))*12+MONTH(AH$5)-MONTH($C14)+1))))/$F14))</f>
        <v>0</v>
      </c>
      <c r="AI14" s="38" t="n">
        <f aca="false">IF(OR($C14="",$D14="",$F14=0),0,IF(OR(AI$5&lt;=Projects!$C$2,((YEAR(AI$5)-YEAR($C14))*12+MONTH(AI$5)-MONTH($C14)+1)&lt;1,((YEAR(AI$5)-YEAR($C14))*12+MONTH(AI$5)-MONTH($C14)+1)&gt;$D14),0,$E14*IF($G14,1,N(INDEX(Phasing!$I14:$AF14,((YEAR(AI$5)-YEAR($C14))*12+MONTH(AI$5)-MONTH($C14)+1))))/$F14))</f>
        <v>0</v>
      </c>
      <c r="AJ14" s="38" t="n">
        <f aca="false">IF(OR($C14="",$D14="",$F14=0),0,IF(OR(AJ$5&lt;=Projects!$C$2,((YEAR(AJ$5)-YEAR($C14))*12+MONTH(AJ$5)-MONTH($C14)+1)&lt;1,((YEAR(AJ$5)-YEAR($C14))*12+MONTH(AJ$5)-MONTH($C14)+1)&gt;$D14),0,$E14*IF($G14,1,N(INDEX(Phasing!$I14:$AF14,((YEAR(AJ$5)-YEAR($C14))*12+MONTH(AJ$5)-MONTH($C14)+1))))/$F14))</f>
        <v>0</v>
      </c>
      <c r="AK14" s="38" t="n">
        <f aca="false">IF(OR($C14="",$D14="",$F14=0),0,IF(OR(AK$5&lt;=Projects!$C$2,((YEAR(AK$5)-YEAR($C14))*12+MONTH(AK$5)-MONTH($C14)+1)&lt;1,((YEAR(AK$5)-YEAR($C14))*12+MONTH(AK$5)-MONTH($C14)+1)&gt;$D14),0,$E14*IF($G14,1,N(INDEX(Phasing!$I14:$AF14,((YEAR(AK$5)-YEAR($C14))*12+MONTH(AK$5)-MONTH($C14)+1))))/$F14))</f>
        <v>0</v>
      </c>
      <c r="AL14" s="38" t="n">
        <f aca="false">IF(OR($C14="",$D14="",$F14=0),0,IF(OR(AL$5&lt;=Projects!$C$2,((YEAR(AL$5)-YEAR($C14))*12+MONTH(AL$5)-MONTH($C14)+1)&lt;1,((YEAR(AL$5)-YEAR($C14))*12+MONTH(AL$5)-MONTH($C14)+1)&gt;$D14),0,$E14*IF($G14,1,N(INDEX(Phasing!$I14:$AF14,((YEAR(AL$5)-YEAR($C14))*12+MONTH(AL$5)-MONTH($C14)+1))))/$F14))</f>
        <v>0</v>
      </c>
      <c r="AM14" s="38" t="n">
        <f aca="false">IF(OR($C14="",$D14="",$F14=0),0,IF(OR(AM$5&lt;=Projects!$C$2,((YEAR(AM$5)-YEAR($C14))*12+MONTH(AM$5)-MONTH($C14)+1)&lt;1,((YEAR(AM$5)-YEAR($C14))*12+MONTH(AM$5)-MONTH($C14)+1)&gt;$D14),0,$E14*IF($G14,1,N(INDEX(Phasing!$I14:$AF14,((YEAR(AM$5)-YEAR($C14))*12+MONTH(AM$5)-MONTH($C14)+1))))/$F14))</f>
        <v>0</v>
      </c>
      <c r="AN14" s="38" t="n">
        <f aca="false">IF(OR($C14="",$D14="",$F14=0),0,IF(OR(AN$5&lt;=Projects!$C$2,((YEAR(AN$5)-YEAR($C14))*12+MONTH(AN$5)-MONTH($C14)+1)&lt;1,((YEAR(AN$5)-YEAR($C14))*12+MONTH(AN$5)-MONTH($C14)+1)&gt;$D14),0,$E14*IF($G14,1,N(INDEX(Phasing!$I14:$AF14,((YEAR(AN$5)-YEAR($C14))*12+MONTH(AN$5)-MONTH($C14)+1))))/$F14))</f>
        <v>0</v>
      </c>
      <c r="AO14" s="38" t="n">
        <f aca="false">IF(OR($C14="",$D14="",$F14=0),0,IF(OR(AO$5&lt;=Projects!$C$2,((YEAR(AO$5)-YEAR($C14))*12+MONTH(AO$5)-MONTH($C14)+1)&lt;1,((YEAR(AO$5)-YEAR($C14))*12+MONTH(AO$5)-MONTH($C14)+1)&gt;$D14),0,$E14*IF($G14,1,N(INDEX(Phasing!$I14:$AF14,((YEAR(AO$5)-YEAR($C14))*12+MONTH(AO$5)-MONTH($C14)+1))))/$F14))</f>
        <v>0</v>
      </c>
      <c r="AP14" s="38" t="n">
        <f aca="false">IF(OR($C14="",$D14="",$F14=0),0,IF(OR(AP$5&lt;=Projects!$C$2,((YEAR(AP$5)-YEAR($C14))*12+MONTH(AP$5)-MONTH($C14)+1)&lt;1,((YEAR(AP$5)-YEAR($C14))*12+MONTH(AP$5)-MONTH($C14)+1)&gt;$D14),0,$E14*IF($G14,1,N(INDEX(Phasing!$I14:$AF14,((YEAR(AP$5)-YEAR($C14))*12+MONTH(AP$5)-MONTH($C14)+1))))/$F14))</f>
        <v>0</v>
      </c>
      <c r="AQ14" s="38" t="n">
        <f aca="false">IF(OR($C14="",$D14="",$F14=0),0,IF(OR(AQ$5&lt;=Projects!$C$2,((YEAR(AQ$5)-YEAR($C14))*12+MONTH(AQ$5)-MONTH($C14)+1)&lt;1,((YEAR(AQ$5)-YEAR($C14))*12+MONTH(AQ$5)-MONTH($C14)+1)&gt;$D14),0,$E14*IF($G14,1,N(INDEX(Phasing!$I14:$AF14,((YEAR(AQ$5)-YEAR($C14))*12+MONTH(AQ$5)-MONTH($C14)+1))))/$F14))</f>
        <v>0</v>
      </c>
    </row>
    <row r="15" customFormat="false" ht="15" hidden="false" customHeight="false" outlineLevel="0" collapsed="false">
      <c r="A15" s="11" t="n">
        <v>10</v>
      </c>
      <c r="B15" s="21" t="str">
        <f aca="false">IF(Projects!B15="","",Projects!B15)</f>
        <v/>
      </c>
      <c r="C15" s="31" t="str">
        <f aca="false">IF(Projects!D15="","",Projects!D15)</f>
        <v/>
      </c>
      <c r="D15" s="21" t="str">
        <f aca="false">IF(Projects!E15="","",Projects!E15)</f>
        <v/>
      </c>
      <c r="E15" s="33" t="n">
        <f aca="false">IF(Projects!B15="",0,N(Projects!I15))</f>
        <v>0</v>
      </c>
      <c r="F15" s="21" t="n">
        <f aca="false">Phasing!G15</f>
        <v>0</v>
      </c>
      <c r="G15" s="48" t="b">
        <f aca="false">Phasing!D15=0</f>
        <v>1</v>
      </c>
      <c r="H15" s="38" t="n">
        <f aca="false">IF(OR($C15="",$D15="",$F15=0),0,IF(OR(H$5&lt;=Projects!$C$2,((YEAR(H$5)-YEAR($C15))*12+MONTH(H$5)-MONTH($C15)+1)&lt;1,((YEAR(H$5)-YEAR($C15))*12+MONTH(H$5)-MONTH($C15)+1)&gt;$D15),0,$E15*IF($G15,1,N(INDEX(Phasing!$I15:$AF15,((YEAR(H$5)-YEAR($C15))*12+MONTH(H$5)-MONTH($C15)+1))))/$F15))</f>
        <v>0</v>
      </c>
      <c r="I15" s="38" t="n">
        <f aca="false">IF(OR($C15="",$D15="",$F15=0),0,IF(OR(I$5&lt;=Projects!$C$2,((YEAR(I$5)-YEAR($C15))*12+MONTH(I$5)-MONTH($C15)+1)&lt;1,((YEAR(I$5)-YEAR($C15))*12+MONTH(I$5)-MONTH($C15)+1)&gt;$D15),0,$E15*IF($G15,1,N(INDEX(Phasing!$I15:$AF15,((YEAR(I$5)-YEAR($C15))*12+MONTH(I$5)-MONTH($C15)+1))))/$F15))</f>
        <v>0</v>
      </c>
      <c r="J15" s="38" t="n">
        <f aca="false">IF(OR($C15="",$D15="",$F15=0),0,IF(OR(J$5&lt;=Projects!$C$2,((YEAR(J$5)-YEAR($C15))*12+MONTH(J$5)-MONTH($C15)+1)&lt;1,((YEAR(J$5)-YEAR($C15))*12+MONTH(J$5)-MONTH($C15)+1)&gt;$D15),0,$E15*IF($G15,1,N(INDEX(Phasing!$I15:$AF15,((YEAR(J$5)-YEAR($C15))*12+MONTH(J$5)-MONTH($C15)+1))))/$F15))</f>
        <v>0</v>
      </c>
      <c r="K15" s="38" t="n">
        <f aca="false">IF(OR($C15="",$D15="",$F15=0),0,IF(OR(K$5&lt;=Projects!$C$2,((YEAR(K$5)-YEAR($C15))*12+MONTH(K$5)-MONTH($C15)+1)&lt;1,((YEAR(K$5)-YEAR($C15))*12+MONTH(K$5)-MONTH($C15)+1)&gt;$D15),0,$E15*IF($G15,1,N(INDEX(Phasing!$I15:$AF15,((YEAR(K$5)-YEAR($C15))*12+MONTH(K$5)-MONTH($C15)+1))))/$F15))</f>
        <v>0</v>
      </c>
      <c r="L15" s="38" t="n">
        <f aca="false">IF(OR($C15="",$D15="",$F15=0),0,IF(OR(L$5&lt;=Projects!$C$2,((YEAR(L$5)-YEAR($C15))*12+MONTH(L$5)-MONTH($C15)+1)&lt;1,((YEAR(L$5)-YEAR($C15))*12+MONTH(L$5)-MONTH($C15)+1)&gt;$D15),0,$E15*IF($G15,1,N(INDEX(Phasing!$I15:$AF15,((YEAR(L$5)-YEAR($C15))*12+MONTH(L$5)-MONTH($C15)+1))))/$F15))</f>
        <v>0</v>
      </c>
      <c r="M15" s="38" t="n">
        <f aca="false">IF(OR($C15="",$D15="",$F15=0),0,IF(OR(M$5&lt;=Projects!$C$2,((YEAR(M$5)-YEAR($C15))*12+MONTH(M$5)-MONTH($C15)+1)&lt;1,((YEAR(M$5)-YEAR($C15))*12+MONTH(M$5)-MONTH($C15)+1)&gt;$D15),0,$E15*IF($G15,1,N(INDEX(Phasing!$I15:$AF15,((YEAR(M$5)-YEAR($C15))*12+MONTH(M$5)-MONTH($C15)+1))))/$F15))</f>
        <v>0</v>
      </c>
      <c r="N15" s="38" t="n">
        <f aca="false">IF(OR($C15="",$D15="",$F15=0),0,IF(OR(N$5&lt;=Projects!$C$2,((YEAR(N$5)-YEAR($C15))*12+MONTH(N$5)-MONTH($C15)+1)&lt;1,((YEAR(N$5)-YEAR($C15))*12+MONTH(N$5)-MONTH($C15)+1)&gt;$D15),0,$E15*IF($G15,1,N(INDEX(Phasing!$I15:$AF15,((YEAR(N$5)-YEAR($C15))*12+MONTH(N$5)-MONTH($C15)+1))))/$F15))</f>
        <v>0</v>
      </c>
      <c r="O15" s="38" t="n">
        <f aca="false">IF(OR($C15="",$D15="",$F15=0),0,IF(OR(O$5&lt;=Projects!$C$2,((YEAR(O$5)-YEAR($C15))*12+MONTH(O$5)-MONTH($C15)+1)&lt;1,((YEAR(O$5)-YEAR($C15))*12+MONTH(O$5)-MONTH($C15)+1)&gt;$D15),0,$E15*IF($G15,1,N(INDEX(Phasing!$I15:$AF15,((YEAR(O$5)-YEAR($C15))*12+MONTH(O$5)-MONTH($C15)+1))))/$F15))</f>
        <v>0</v>
      </c>
      <c r="P15" s="38" t="n">
        <f aca="false">IF(OR($C15="",$D15="",$F15=0),0,IF(OR(P$5&lt;=Projects!$C$2,((YEAR(P$5)-YEAR($C15))*12+MONTH(P$5)-MONTH($C15)+1)&lt;1,((YEAR(P$5)-YEAR($C15))*12+MONTH(P$5)-MONTH($C15)+1)&gt;$D15),0,$E15*IF($G15,1,N(INDEX(Phasing!$I15:$AF15,((YEAR(P$5)-YEAR($C15))*12+MONTH(P$5)-MONTH($C15)+1))))/$F15))</f>
        <v>0</v>
      </c>
      <c r="Q15" s="38" t="n">
        <f aca="false">IF(OR($C15="",$D15="",$F15=0),0,IF(OR(Q$5&lt;=Projects!$C$2,((YEAR(Q$5)-YEAR($C15))*12+MONTH(Q$5)-MONTH($C15)+1)&lt;1,((YEAR(Q$5)-YEAR($C15))*12+MONTH(Q$5)-MONTH($C15)+1)&gt;$D15),0,$E15*IF($G15,1,N(INDEX(Phasing!$I15:$AF15,((YEAR(Q$5)-YEAR($C15))*12+MONTH(Q$5)-MONTH($C15)+1))))/$F15))</f>
        <v>0</v>
      </c>
      <c r="R15" s="38" t="n">
        <f aca="false">IF(OR($C15="",$D15="",$F15=0),0,IF(OR(R$5&lt;=Projects!$C$2,((YEAR(R$5)-YEAR($C15))*12+MONTH(R$5)-MONTH($C15)+1)&lt;1,((YEAR(R$5)-YEAR($C15))*12+MONTH(R$5)-MONTH($C15)+1)&gt;$D15),0,$E15*IF($G15,1,N(INDEX(Phasing!$I15:$AF15,((YEAR(R$5)-YEAR($C15))*12+MONTH(R$5)-MONTH($C15)+1))))/$F15))</f>
        <v>0</v>
      </c>
      <c r="S15" s="38" t="n">
        <f aca="false">IF(OR($C15="",$D15="",$F15=0),0,IF(OR(S$5&lt;=Projects!$C$2,((YEAR(S$5)-YEAR($C15))*12+MONTH(S$5)-MONTH($C15)+1)&lt;1,((YEAR(S$5)-YEAR($C15))*12+MONTH(S$5)-MONTH($C15)+1)&gt;$D15),0,$E15*IF($G15,1,N(INDEX(Phasing!$I15:$AF15,((YEAR(S$5)-YEAR($C15))*12+MONTH(S$5)-MONTH($C15)+1))))/$F15))</f>
        <v>0</v>
      </c>
      <c r="T15" s="38" t="n">
        <f aca="false">IF(OR($C15="",$D15="",$F15=0),0,IF(OR(T$5&lt;=Projects!$C$2,((YEAR(T$5)-YEAR($C15))*12+MONTH(T$5)-MONTH($C15)+1)&lt;1,((YEAR(T$5)-YEAR($C15))*12+MONTH(T$5)-MONTH($C15)+1)&gt;$D15),0,$E15*IF($G15,1,N(INDEX(Phasing!$I15:$AF15,((YEAR(T$5)-YEAR($C15))*12+MONTH(T$5)-MONTH($C15)+1))))/$F15))</f>
        <v>0</v>
      </c>
      <c r="U15" s="38" t="n">
        <f aca="false">IF(OR($C15="",$D15="",$F15=0),0,IF(OR(U$5&lt;=Projects!$C$2,((YEAR(U$5)-YEAR($C15))*12+MONTH(U$5)-MONTH($C15)+1)&lt;1,((YEAR(U$5)-YEAR($C15))*12+MONTH(U$5)-MONTH($C15)+1)&gt;$D15),0,$E15*IF($G15,1,N(INDEX(Phasing!$I15:$AF15,((YEAR(U$5)-YEAR($C15))*12+MONTH(U$5)-MONTH($C15)+1))))/$F15))</f>
        <v>0</v>
      </c>
      <c r="V15" s="38" t="n">
        <f aca="false">IF(OR($C15="",$D15="",$F15=0),0,IF(OR(V$5&lt;=Projects!$C$2,((YEAR(V$5)-YEAR($C15))*12+MONTH(V$5)-MONTH($C15)+1)&lt;1,((YEAR(V$5)-YEAR($C15))*12+MONTH(V$5)-MONTH($C15)+1)&gt;$D15),0,$E15*IF($G15,1,N(INDEX(Phasing!$I15:$AF15,((YEAR(V$5)-YEAR($C15))*12+MONTH(V$5)-MONTH($C15)+1))))/$F15))</f>
        <v>0</v>
      </c>
      <c r="W15" s="38" t="n">
        <f aca="false">IF(OR($C15="",$D15="",$F15=0),0,IF(OR(W$5&lt;=Projects!$C$2,((YEAR(W$5)-YEAR($C15))*12+MONTH(W$5)-MONTH($C15)+1)&lt;1,((YEAR(W$5)-YEAR($C15))*12+MONTH(W$5)-MONTH($C15)+1)&gt;$D15),0,$E15*IF($G15,1,N(INDEX(Phasing!$I15:$AF15,((YEAR(W$5)-YEAR($C15))*12+MONTH(W$5)-MONTH($C15)+1))))/$F15))</f>
        <v>0</v>
      </c>
      <c r="X15" s="38" t="n">
        <f aca="false">IF(OR($C15="",$D15="",$F15=0),0,IF(OR(X$5&lt;=Projects!$C$2,((YEAR(X$5)-YEAR($C15))*12+MONTH(X$5)-MONTH($C15)+1)&lt;1,((YEAR(X$5)-YEAR($C15))*12+MONTH(X$5)-MONTH($C15)+1)&gt;$D15),0,$E15*IF($G15,1,N(INDEX(Phasing!$I15:$AF15,((YEAR(X$5)-YEAR($C15))*12+MONTH(X$5)-MONTH($C15)+1))))/$F15))</f>
        <v>0</v>
      </c>
      <c r="Y15" s="38" t="n">
        <f aca="false">IF(OR($C15="",$D15="",$F15=0),0,IF(OR(Y$5&lt;=Projects!$C$2,((YEAR(Y$5)-YEAR($C15))*12+MONTH(Y$5)-MONTH($C15)+1)&lt;1,((YEAR(Y$5)-YEAR($C15))*12+MONTH(Y$5)-MONTH($C15)+1)&gt;$D15),0,$E15*IF($G15,1,N(INDEX(Phasing!$I15:$AF15,((YEAR(Y$5)-YEAR($C15))*12+MONTH(Y$5)-MONTH($C15)+1))))/$F15))</f>
        <v>0</v>
      </c>
      <c r="Z15" s="38" t="n">
        <f aca="false">IF(OR($C15="",$D15="",$F15=0),0,IF(OR(Z$5&lt;=Projects!$C$2,((YEAR(Z$5)-YEAR($C15))*12+MONTH(Z$5)-MONTH($C15)+1)&lt;1,((YEAR(Z$5)-YEAR($C15))*12+MONTH(Z$5)-MONTH($C15)+1)&gt;$D15),0,$E15*IF($G15,1,N(INDEX(Phasing!$I15:$AF15,((YEAR(Z$5)-YEAR($C15))*12+MONTH(Z$5)-MONTH($C15)+1))))/$F15))</f>
        <v>0</v>
      </c>
      <c r="AA15" s="38" t="n">
        <f aca="false">IF(OR($C15="",$D15="",$F15=0),0,IF(OR(AA$5&lt;=Projects!$C$2,((YEAR(AA$5)-YEAR($C15))*12+MONTH(AA$5)-MONTH($C15)+1)&lt;1,((YEAR(AA$5)-YEAR($C15))*12+MONTH(AA$5)-MONTH($C15)+1)&gt;$D15),0,$E15*IF($G15,1,N(INDEX(Phasing!$I15:$AF15,((YEAR(AA$5)-YEAR($C15))*12+MONTH(AA$5)-MONTH($C15)+1))))/$F15))</f>
        <v>0</v>
      </c>
      <c r="AB15" s="38" t="n">
        <f aca="false">IF(OR($C15="",$D15="",$F15=0),0,IF(OR(AB$5&lt;=Projects!$C$2,((YEAR(AB$5)-YEAR($C15))*12+MONTH(AB$5)-MONTH($C15)+1)&lt;1,((YEAR(AB$5)-YEAR($C15))*12+MONTH(AB$5)-MONTH($C15)+1)&gt;$D15),0,$E15*IF($G15,1,N(INDEX(Phasing!$I15:$AF15,((YEAR(AB$5)-YEAR($C15))*12+MONTH(AB$5)-MONTH($C15)+1))))/$F15))</f>
        <v>0</v>
      </c>
      <c r="AC15" s="38" t="n">
        <f aca="false">IF(OR($C15="",$D15="",$F15=0),0,IF(OR(AC$5&lt;=Projects!$C$2,((YEAR(AC$5)-YEAR($C15))*12+MONTH(AC$5)-MONTH($C15)+1)&lt;1,((YEAR(AC$5)-YEAR($C15))*12+MONTH(AC$5)-MONTH($C15)+1)&gt;$D15),0,$E15*IF($G15,1,N(INDEX(Phasing!$I15:$AF15,((YEAR(AC$5)-YEAR($C15))*12+MONTH(AC$5)-MONTH($C15)+1))))/$F15))</f>
        <v>0</v>
      </c>
      <c r="AD15" s="38" t="n">
        <f aca="false">IF(OR($C15="",$D15="",$F15=0),0,IF(OR(AD$5&lt;=Projects!$C$2,((YEAR(AD$5)-YEAR($C15))*12+MONTH(AD$5)-MONTH($C15)+1)&lt;1,((YEAR(AD$5)-YEAR($C15))*12+MONTH(AD$5)-MONTH($C15)+1)&gt;$D15),0,$E15*IF($G15,1,N(INDEX(Phasing!$I15:$AF15,((YEAR(AD$5)-YEAR($C15))*12+MONTH(AD$5)-MONTH($C15)+1))))/$F15))</f>
        <v>0</v>
      </c>
      <c r="AE15" s="38" t="n">
        <f aca="false">IF(OR($C15="",$D15="",$F15=0),0,IF(OR(AE$5&lt;=Projects!$C$2,((YEAR(AE$5)-YEAR($C15))*12+MONTH(AE$5)-MONTH($C15)+1)&lt;1,((YEAR(AE$5)-YEAR($C15))*12+MONTH(AE$5)-MONTH($C15)+1)&gt;$D15),0,$E15*IF($G15,1,N(INDEX(Phasing!$I15:$AF15,((YEAR(AE$5)-YEAR($C15))*12+MONTH(AE$5)-MONTH($C15)+1))))/$F15))</f>
        <v>0</v>
      </c>
      <c r="AF15" s="38" t="n">
        <f aca="false">IF(OR($C15="",$D15="",$F15=0),0,IF(OR(AF$5&lt;=Projects!$C$2,((YEAR(AF$5)-YEAR($C15))*12+MONTH(AF$5)-MONTH($C15)+1)&lt;1,((YEAR(AF$5)-YEAR($C15))*12+MONTH(AF$5)-MONTH($C15)+1)&gt;$D15),0,$E15*IF($G15,1,N(INDEX(Phasing!$I15:$AF15,((YEAR(AF$5)-YEAR($C15))*12+MONTH(AF$5)-MONTH($C15)+1))))/$F15))</f>
        <v>0</v>
      </c>
      <c r="AG15" s="38" t="n">
        <f aca="false">IF(OR($C15="",$D15="",$F15=0),0,IF(OR(AG$5&lt;=Projects!$C$2,((YEAR(AG$5)-YEAR($C15))*12+MONTH(AG$5)-MONTH($C15)+1)&lt;1,((YEAR(AG$5)-YEAR($C15))*12+MONTH(AG$5)-MONTH($C15)+1)&gt;$D15),0,$E15*IF($G15,1,N(INDEX(Phasing!$I15:$AF15,((YEAR(AG$5)-YEAR($C15))*12+MONTH(AG$5)-MONTH($C15)+1))))/$F15))</f>
        <v>0</v>
      </c>
      <c r="AH15" s="38" t="n">
        <f aca="false">IF(OR($C15="",$D15="",$F15=0),0,IF(OR(AH$5&lt;=Projects!$C$2,((YEAR(AH$5)-YEAR($C15))*12+MONTH(AH$5)-MONTH($C15)+1)&lt;1,((YEAR(AH$5)-YEAR($C15))*12+MONTH(AH$5)-MONTH($C15)+1)&gt;$D15),0,$E15*IF($G15,1,N(INDEX(Phasing!$I15:$AF15,((YEAR(AH$5)-YEAR($C15))*12+MONTH(AH$5)-MONTH($C15)+1))))/$F15))</f>
        <v>0</v>
      </c>
      <c r="AI15" s="38" t="n">
        <f aca="false">IF(OR($C15="",$D15="",$F15=0),0,IF(OR(AI$5&lt;=Projects!$C$2,((YEAR(AI$5)-YEAR($C15))*12+MONTH(AI$5)-MONTH($C15)+1)&lt;1,((YEAR(AI$5)-YEAR($C15))*12+MONTH(AI$5)-MONTH($C15)+1)&gt;$D15),0,$E15*IF($G15,1,N(INDEX(Phasing!$I15:$AF15,((YEAR(AI$5)-YEAR($C15))*12+MONTH(AI$5)-MONTH($C15)+1))))/$F15))</f>
        <v>0</v>
      </c>
      <c r="AJ15" s="38" t="n">
        <f aca="false">IF(OR($C15="",$D15="",$F15=0),0,IF(OR(AJ$5&lt;=Projects!$C$2,((YEAR(AJ$5)-YEAR($C15))*12+MONTH(AJ$5)-MONTH($C15)+1)&lt;1,((YEAR(AJ$5)-YEAR($C15))*12+MONTH(AJ$5)-MONTH($C15)+1)&gt;$D15),0,$E15*IF($G15,1,N(INDEX(Phasing!$I15:$AF15,((YEAR(AJ$5)-YEAR($C15))*12+MONTH(AJ$5)-MONTH($C15)+1))))/$F15))</f>
        <v>0</v>
      </c>
      <c r="AK15" s="38" t="n">
        <f aca="false">IF(OR($C15="",$D15="",$F15=0),0,IF(OR(AK$5&lt;=Projects!$C$2,((YEAR(AK$5)-YEAR($C15))*12+MONTH(AK$5)-MONTH($C15)+1)&lt;1,((YEAR(AK$5)-YEAR($C15))*12+MONTH(AK$5)-MONTH($C15)+1)&gt;$D15),0,$E15*IF($G15,1,N(INDEX(Phasing!$I15:$AF15,((YEAR(AK$5)-YEAR($C15))*12+MONTH(AK$5)-MONTH($C15)+1))))/$F15))</f>
        <v>0</v>
      </c>
      <c r="AL15" s="38" t="n">
        <f aca="false">IF(OR($C15="",$D15="",$F15=0),0,IF(OR(AL$5&lt;=Projects!$C$2,((YEAR(AL$5)-YEAR($C15))*12+MONTH(AL$5)-MONTH($C15)+1)&lt;1,((YEAR(AL$5)-YEAR($C15))*12+MONTH(AL$5)-MONTH($C15)+1)&gt;$D15),0,$E15*IF($G15,1,N(INDEX(Phasing!$I15:$AF15,((YEAR(AL$5)-YEAR($C15))*12+MONTH(AL$5)-MONTH($C15)+1))))/$F15))</f>
        <v>0</v>
      </c>
      <c r="AM15" s="38" t="n">
        <f aca="false">IF(OR($C15="",$D15="",$F15=0),0,IF(OR(AM$5&lt;=Projects!$C$2,((YEAR(AM$5)-YEAR($C15))*12+MONTH(AM$5)-MONTH($C15)+1)&lt;1,((YEAR(AM$5)-YEAR($C15))*12+MONTH(AM$5)-MONTH($C15)+1)&gt;$D15),0,$E15*IF($G15,1,N(INDEX(Phasing!$I15:$AF15,((YEAR(AM$5)-YEAR($C15))*12+MONTH(AM$5)-MONTH($C15)+1))))/$F15))</f>
        <v>0</v>
      </c>
      <c r="AN15" s="38" t="n">
        <f aca="false">IF(OR($C15="",$D15="",$F15=0),0,IF(OR(AN$5&lt;=Projects!$C$2,((YEAR(AN$5)-YEAR($C15))*12+MONTH(AN$5)-MONTH($C15)+1)&lt;1,((YEAR(AN$5)-YEAR($C15))*12+MONTH(AN$5)-MONTH($C15)+1)&gt;$D15),0,$E15*IF($G15,1,N(INDEX(Phasing!$I15:$AF15,((YEAR(AN$5)-YEAR($C15))*12+MONTH(AN$5)-MONTH($C15)+1))))/$F15))</f>
        <v>0</v>
      </c>
      <c r="AO15" s="38" t="n">
        <f aca="false">IF(OR($C15="",$D15="",$F15=0),0,IF(OR(AO$5&lt;=Projects!$C$2,((YEAR(AO$5)-YEAR($C15))*12+MONTH(AO$5)-MONTH($C15)+1)&lt;1,((YEAR(AO$5)-YEAR($C15))*12+MONTH(AO$5)-MONTH($C15)+1)&gt;$D15),0,$E15*IF($G15,1,N(INDEX(Phasing!$I15:$AF15,((YEAR(AO$5)-YEAR($C15))*12+MONTH(AO$5)-MONTH($C15)+1))))/$F15))</f>
        <v>0</v>
      </c>
      <c r="AP15" s="38" t="n">
        <f aca="false">IF(OR($C15="",$D15="",$F15=0),0,IF(OR(AP$5&lt;=Projects!$C$2,((YEAR(AP$5)-YEAR($C15))*12+MONTH(AP$5)-MONTH($C15)+1)&lt;1,((YEAR(AP$5)-YEAR($C15))*12+MONTH(AP$5)-MONTH($C15)+1)&gt;$D15),0,$E15*IF($G15,1,N(INDEX(Phasing!$I15:$AF15,((YEAR(AP$5)-YEAR($C15))*12+MONTH(AP$5)-MONTH($C15)+1))))/$F15))</f>
        <v>0</v>
      </c>
      <c r="AQ15" s="38" t="n">
        <f aca="false">IF(OR($C15="",$D15="",$F15=0),0,IF(OR(AQ$5&lt;=Projects!$C$2,((YEAR(AQ$5)-YEAR($C15))*12+MONTH(AQ$5)-MONTH($C15)+1)&lt;1,((YEAR(AQ$5)-YEAR($C15))*12+MONTH(AQ$5)-MONTH($C15)+1)&gt;$D15),0,$E15*IF($G15,1,N(INDEX(Phasing!$I15:$AF15,((YEAR(AQ$5)-YEAR($C15))*12+MONTH(AQ$5)-MONTH($C15)+1))))/$F15))</f>
        <v>0</v>
      </c>
    </row>
    <row r="16" customFormat="false" ht="15" hidden="false" customHeight="false" outlineLevel="0" collapsed="false">
      <c r="A16" s="11" t="n">
        <v>11</v>
      </c>
      <c r="B16" s="21" t="str">
        <f aca="false">IF(Projects!B16="","",Projects!B16)</f>
        <v/>
      </c>
      <c r="C16" s="31" t="str">
        <f aca="false">IF(Projects!D16="","",Projects!D16)</f>
        <v/>
      </c>
      <c r="D16" s="21" t="str">
        <f aca="false">IF(Projects!E16="","",Projects!E16)</f>
        <v/>
      </c>
      <c r="E16" s="33" t="n">
        <f aca="false">IF(Projects!B16="",0,N(Projects!I16))</f>
        <v>0</v>
      </c>
      <c r="F16" s="21" t="n">
        <f aca="false">Phasing!G16</f>
        <v>0</v>
      </c>
      <c r="G16" s="48" t="b">
        <f aca="false">Phasing!D16=0</f>
        <v>1</v>
      </c>
      <c r="H16" s="38" t="n">
        <f aca="false">IF(OR($C16="",$D16="",$F16=0),0,IF(OR(H$5&lt;=Projects!$C$2,((YEAR(H$5)-YEAR($C16))*12+MONTH(H$5)-MONTH($C16)+1)&lt;1,((YEAR(H$5)-YEAR($C16))*12+MONTH(H$5)-MONTH($C16)+1)&gt;$D16),0,$E16*IF($G16,1,N(INDEX(Phasing!$I16:$AF16,((YEAR(H$5)-YEAR($C16))*12+MONTH(H$5)-MONTH($C16)+1))))/$F16))</f>
        <v>0</v>
      </c>
      <c r="I16" s="38" t="n">
        <f aca="false">IF(OR($C16="",$D16="",$F16=0),0,IF(OR(I$5&lt;=Projects!$C$2,((YEAR(I$5)-YEAR($C16))*12+MONTH(I$5)-MONTH($C16)+1)&lt;1,((YEAR(I$5)-YEAR($C16))*12+MONTH(I$5)-MONTH($C16)+1)&gt;$D16),0,$E16*IF($G16,1,N(INDEX(Phasing!$I16:$AF16,((YEAR(I$5)-YEAR($C16))*12+MONTH(I$5)-MONTH($C16)+1))))/$F16))</f>
        <v>0</v>
      </c>
      <c r="J16" s="38" t="n">
        <f aca="false">IF(OR($C16="",$D16="",$F16=0),0,IF(OR(J$5&lt;=Projects!$C$2,((YEAR(J$5)-YEAR($C16))*12+MONTH(J$5)-MONTH($C16)+1)&lt;1,((YEAR(J$5)-YEAR($C16))*12+MONTH(J$5)-MONTH($C16)+1)&gt;$D16),0,$E16*IF($G16,1,N(INDEX(Phasing!$I16:$AF16,((YEAR(J$5)-YEAR($C16))*12+MONTH(J$5)-MONTH($C16)+1))))/$F16))</f>
        <v>0</v>
      </c>
      <c r="K16" s="38" t="n">
        <f aca="false">IF(OR($C16="",$D16="",$F16=0),0,IF(OR(K$5&lt;=Projects!$C$2,((YEAR(K$5)-YEAR($C16))*12+MONTH(K$5)-MONTH($C16)+1)&lt;1,((YEAR(K$5)-YEAR($C16))*12+MONTH(K$5)-MONTH($C16)+1)&gt;$D16),0,$E16*IF($G16,1,N(INDEX(Phasing!$I16:$AF16,((YEAR(K$5)-YEAR($C16))*12+MONTH(K$5)-MONTH($C16)+1))))/$F16))</f>
        <v>0</v>
      </c>
      <c r="L16" s="38" t="n">
        <f aca="false">IF(OR($C16="",$D16="",$F16=0),0,IF(OR(L$5&lt;=Projects!$C$2,((YEAR(L$5)-YEAR($C16))*12+MONTH(L$5)-MONTH($C16)+1)&lt;1,((YEAR(L$5)-YEAR($C16))*12+MONTH(L$5)-MONTH($C16)+1)&gt;$D16),0,$E16*IF($G16,1,N(INDEX(Phasing!$I16:$AF16,((YEAR(L$5)-YEAR($C16))*12+MONTH(L$5)-MONTH($C16)+1))))/$F16))</f>
        <v>0</v>
      </c>
      <c r="M16" s="38" t="n">
        <f aca="false">IF(OR($C16="",$D16="",$F16=0),0,IF(OR(M$5&lt;=Projects!$C$2,((YEAR(M$5)-YEAR($C16))*12+MONTH(M$5)-MONTH($C16)+1)&lt;1,((YEAR(M$5)-YEAR($C16))*12+MONTH(M$5)-MONTH($C16)+1)&gt;$D16),0,$E16*IF($G16,1,N(INDEX(Phasing!$I16:$AF16,((YEAR(M$5)-YEAR($C16))*12+MONTH(M$5)-MONTH($C16)+1))))/$F16))</f>
        <v>0</v>
      </c>
      <c r="N16" s="38" t="n">
        <f aca="false">IF(OR($C16="",$D16="",$F16=0),0,IF(OR(N$5&lt;=Projects!$C$2,((YEAR(N$5)-YEAR($C16))*12+MONTH(N$5)-MONTH($C16)+1)&lt;1,((YEAR(N$5)-YEAR($C16))*12+MONTH(N$5)-MONTH($C16)+1)&gt;$D16),0,$E16*IF($G16,1,N(INDEX(Phasing!$I16:$AF16,((YEAR(N$5)-YEAR($C16))*12+MONTH(N$5)-MONTH($C16)+1))))/$F16))</f>
        <v>0</v>
      </c>
      <c r="O16" s="38" t="n">
        <f aca="false">IF(OR($C16="",$D16="",$F16=0),0,IF(OR(O$5&lt;=Projects!$C$2,((YEAR(O$5)-YEAR($C16))*12+MONTH(O$5)-MONTH($C16)+1)&lt;1,((YEAR(O$5)-YEAR($C16))*12+MONTH(O$5)-MONTH($C16)+1)&gt;$D16),0,$E16*IF($G16,1,N(INDEX(Phasing!$I16:$AF16,((YEAR(O$5)-YEAR($C16))*12+MONTH(O$5)-MONTH($C16)+1))))/$F16))</f>
        <v>0</v>
      </c>
      <c r="P16" s="38" t="n">
        <f aca="false">IF(OR($C16="",$D16="",$F16=0),0,IF(OR(P$5&lt;=Projects!$C$2,((YEAR(P$5)-YEAR($C16))*12+MONTH(P$5)-MONTH($C16)+1)&lt;1,((YEAR(P$5)-YEAR($C16))*12+MONTH(P$5)-MONTH($C16)+1)&gt;$D16),0,$E16*IF($G16,1,N(INDEX(Phasing!$I16:$AF16,((YEAR(P$5)-YEAR($C16))*12+MONTH(P$5)-MONTH($C16)+1))))/$F16))</f>
        <v>0</v>
      </c>
      <c r="Q16" s="38" t="n">
        <f aca="false">IF(OR($C16="",$D16="",$F16=0),0,IF(OR(Q$5&lt;=Projects!$C$2,((YEAR(Q$5)-YEAR($C16))*12+MONTH(Q$5)-MONTH($C16)+1)&lt;1,((YEAR(Q$5)-YEAR($C16))*12+MONTH(Q$5)-MONTH($C16)+1)&gt;$D16),0,$E16*IF($G16,1,N(INDEX(Phasing!$I16:$AF16,((YEAR(Q$5)-YEAR($C16))*12+MONTH(Q$5)-MONTH($C16)+1))))/$F16))</f>
        <v>0</v>
      </c>
      <c r="R16" s="38" t="n">
        <f aca="false">IF(OR($C16="",$D16="",$F16=0),0,IF(OR(R$5&lt;=Projects!$C$2,((YEAR(R$5)-YEAR($C16))*12+MONTH(R$5)-MONTH($C16)+1)&lt;1,((YEAR(R$5)-YEAR($C16))*12+MONTH(R$5)-MONTH($C16)+1)&gt;$D16),0,$E16*IF($G16,1,N(INDEX(Phasing!$I16:$AF16,((YEAR(R$5)-YEAR($C16))*12+MONTH(R$5)-MONTH($C16)+1))))/$F16))</f>
        <v>0</v>
      </c>
      <c r="S16" s="38" t="n">
        <f aca="false">IF(OR($C16="",$D16="",$F16=0),0,IF(OR(S$5&lt;=Projects!$C$2,((YEAR(S$5)-YEAR($C16))*12+MONTH(S$5)-MONTH($C16)+1)&lt;1,((YEAR(S$5)-YEAR($C16))*12+MONTH(S$5)-MONTH($C16)+1)&gt;$D16),0,$E16*IF($G16,1,N(INDEX(Phasing!$I16:$AF16,((YEAR(S$5)-YEAR($C16))*12+MONTH(S$5)-MONTH($C16)+1))))/$F16))</f>
        <v>0</v>
      </c>
      <c r="T16" s="38" t="n">
        <f aca="false">IF(OR($C16="",$D16="",$F16=0),0,IF(OR(T$5&lt;=Projects!$C$2,((YEAR(T$5)-YEAR($C16))*12+MONTH(T$5)-MONTH($C16)+1)&lt;1,((YEAR(T$5)-YEAR($C16))*12+MONTH(T$5)-MONTH($C16)+1)&gt;$D16),0,$E16*IF($G16,1,N(INDEX(Phasing!$I16:$AF16,((YEAR(T$5)-YEAR($C16))*12+MONTH(T$5)-MONTH($C16)+1))))/$F16))</f>
        <v>0</v>
      </c>
      <c r="U16" s="38" t="n">
        <f aca="false">IF(OR($C16="",$D16="",$F16=0),0,IF(OR(U$5&lt;=Projects!$C$2,((YEAR(U$5)-YEAR($C16))*12+MONTH(U$5)-MONTH($C16)+1)&lt;1,((YEAR(U$5)-YEAR($C16))*12+MONTH(U$5)-MONTH($C16)+1)&gt;$D16),0,$E16*IF($G16,1,N(INDEX(Phasing!$I16:$AF16,((YEAR(U$5)-YEAR($C16))*12+MONTH(U$5)-MONTH($C16)+1))))/$F16))</f>
        <v>0</v>
      </c>
      <c r="V16" s="38" t="n">
        <f aca="false">IF(OR($C16="",$D16="",$F16=0),0,IF(OR(V$5&lt;=Projects!$C$2,((YEAR(V$5)-YEAR($C16))*12+MONTH(V$5)-MONTH($C16)+1)&lt;1,((YEAR(V$5)-YEAR($C16))*12+MONTH(V$5)-MONTH($C16)+1)&gt;$D16),0,$E16*IF($G16,1,N(INDEX(Phasing!$I16:$AF16,((YEAR(V$5)-YEAR($C16))*12+MONTH(V$5)-MONTH($C16)+1))))/$F16))</f>
        <v>0</v>
      </c>
      <c r="W16" s="38" t="n">
        <f aca="false">IF(OR($C16="",$D16="",$F16=0),0,IF(OR(W$5&lt;=Projects!$C$2,((YEAR(W$5)-YEAR($C16))*12+MONTH(W$5)-MONTH($C16)+1)&lt;1,((YEAR(W$5)-YEAR($C16))*12+MONTH(W$5)-MONTH($C16)+1)&gt;$D16),0,$E16*IF($G16,1,N(INDEX(Phasing!$I16:$AF16,((YEAR(W$5)-YEAR($C16))*12+MONTH(W$5)-MONTH($C16)+1))))/$F16))</f>
        <v>0</v>
      </c>
      <c r="X16" s="38" t="n">
        <f aca="false">IF(OR($C16="",$D16="",$F16=0),0,IF(OR(X$5&lt;=Projects!$C$2,((YEAR(X$5)-YEAR($C16))*12+MONTH(X$5)-MONTH($C16)+1)&lt;1,((YEAR(X$5)-YEAR($C16))*12+MONTH(X$5)-MONTH($C16)+1)&gt;$D16),0,$E16*IF($G16,1,N(INDEX(Phasing!$I16:$AF16,((YEAR(X$5)-YEAR($C16))*12+MONTH(X$5)-MONTH($C16)+1))))/$F16))</f>
        <v>0</v>
      </c>
      <c r="Y16" s="38" t="n">
        <f aca="false">IF(OR($C16="",$D16="",$F16=0),0,IF(OR(Y$5&lt;=Projects!$C$2,((YEAR(Y$5)-YEAR($C16))*12+MONTH(Y$5)-MONTH($C16)+1)&lt;1,((YEAR(Y$5)-YEAR($C16))*12+MONTH(Y$5)-MONTH($C16)+1)&gt;$D16),0,$E16*IF($G16,1,N(INDEX(Phasing!$I16:$AF16,((YEAR(Y$5)-YEAR($C16))*12+MONTH(Y$5)-MONTH($C16)+1))))/$F16))</f>
        <v>0</v>
      </c>
      <c r="Z16" s="38" t="n">
        <f aca="false">IF(OR($C16="",$D16="",$F16=0),0,IF(OR(Z$5&lt;=Projects!$C$2,((YEAR(Z$5)-YEAR($C16))*12+MONTH(Z$5)-MONTH($C16)+1)&lt;1,((YEAR(Z$5)-YEAR($C16))*12+MONTH(Z$5)-MONTH($C16)+1)&gt;$D16),0,$E16*IF($G16,1,N(INDEX(Phasing!$I16:$AF16,((YEAR(Z$5)-YEAR($C16))*12+MONTH(Z$5)-MONTH($C16)+1))))/$F16))</f>
        <v>0</v>
      </c>
      <c r="AA16" s="38" t="n">
        <f aca="false">IF(OR($C16="",$D16="",$F16=0),0,IF(OR(AA$5&lt;=Projects!$C$2,((YEAR(AA$5)-YEAR($C16))*12+MONTH(AA$5)-MONTH($C16)+1)&lt;1,((YEAR(AA$5)-YEAR($C16))*12+MONTH(AA$5)-MONTH($C16)+1)&gt;$D16),0,$E16*IF($G16,1,N(INDEX(Phasing!$I16:$AF16,((YEAR(AA$5)-YEAR($C16))*12+MONTH(AA$5)-MONTH($C16)+1))))/$F16))</f>
        <v>0</v>
      </c>
      <c r="AB16" s="38" t="n">
        <f aca="false">IF(OR($C16="",$D16="",$F16=0),0,IF(OR(AB$5&lt;=Projects!$C$2,((YEAR(AB$5)-YEAR($C16))*12+MONTH(AB$5)-MONTH($C16)+1)&lt;1,((YEAR(AB$5)-YEAR($C16))*12+MONTH(AB$5)-MONTH($C16)+1)&gt;$D16),0,$E16*IF($G16,1,N(INDEX(Phasing!$I16:$AF16,((YEAR(AB$5)-YEAR($C16))*12+MONTH(AB$5)-MONTH($C16)+1))))/$F16))</f>
        <v>0</v>
      </c>
      <c r="AC16" s="38" t="n">
        <f aca="false">IF(OR($C16="",$D16="",$F16=0),0,IF(OR(AC$5&lt;=Projects!$C$2,((YEAR(AC$5)-YEAR($C16))*12+MONTH(AC$5)-MONTH($C16)+1)&lt;1,((YEAR(AC$5)-YEAR($C16))*12+MONTH(AC$5)-MONTH($C16)+1)&gt;$D16),0,$E16*IF($G16,1,N(INDEX(Phasing!$I16:$AF16,((YEAR(AC$5)-YEAR($C16))*12+MONTH(AC$5)-MONTH($C16)+1))))/$F16))</f>
        <v>0</v>
      </c>
      <c r="AD16" s="38" t="n">
        <f aca="false">IF(OR($C16="",$D16="",$F16=0),0,IF(OR(AD$5&lt;=Projects!$C$2,((YEAR(AD$5)-YEAR($C16))*12+MONTH(AD$5)-MONTH($C16)+1)&lt;1,((YEAR(AD$5)-YEAR($C16))*12+MONTH(AD$5)-MONTH($C16)+1)&gt;$D16),0,$E16*IF($G16,1,N(INDEX(Phasing!$I16:$AF16,((YEAR(AD$5)-YEAR($C16))*12+MONTH(AD$5)-MONTH($C16)+1))))/$F16))</f>
        <v>0</v>
      </c>
      <c r="AE16" s="38" t="n">
        <f aca="false">IF(OR($C16="",$D16="",$F16=0),0,IF(OR(AE$5&lt;=Projects!$C$2,((YEAR(AE$5)-YEAR($C16))*12+MONTH(AE$5)-MONTH($C16)+1)&lt;1,((YEAR(AE$5)-YEAR($C16))*12+MONTH(AE$5)-MONTH($C16)+1)&gt;$D16),0,$E16*IF($G16,1,N(INDEX(Phasing!$I16:$AF16,((YEAR(AE$5)-YEAR($C16))*12+MONTH(AE$5)-MONTH($C16)+1))))/$F16))</f>
        <v>0</v>
      </c>
      <c r="AF16" s="38" t="n">
        <f aca="false">IF(OR($C16="",$D16="",$F16=0),0,IF(OR(AF$5&lt;=Projects!$C$2,((YEAR(AF$5)-YEAR($C16))*12+MONTH(AF$5)-MONTH($C16)+1)&lt;1,((YEAR(AF$5)-YEAR($C16))*12+MONTH(AF$5)-MONTH($C16)+1)&gt;$D16),0,$E16*IF($G16,1,N(INDEX(Phasing!$I16:$AF16,((YEAR(AF$5)-YEAR($C16))*12+MONTH(AF$5)-MONTH($C16)+1))))/$F16))</f>
        <v>0</v>
      </c>
      <c r="AG16" s="38" t="n">
        <f aca="false">IF(OR($C16="",$D16="",$F16=0),0,IF(OR(AG$5&lt;=Projects!$C$2,((YEAR(AG$5)-YEAR($C16))*12+MONTH(AG$5)-MONTH($C16)+1)&lt;1,((YEAR(AG$5)-YEAR($C16))*12+MONTH(AG$5)-MONTH($C16)+1)&gt;$D16),0,$E16*IF($G16,1,N(INDEX(Phasing!$I16:$AF16,((YEAR(AG$5)-YEAR($C16))*12+MONTH(AG$5)-MONTH($C16)+1))))/$F16))</f>
        <v>0</v>
      </c>
      <c r="AH16" s="38" t="n">
        <f aca="false">IF(OR($C16="",$D16="",$F16=0),0,IF(OR(AH$5&lt;=Projects!$C$2,((YEAR(AH$5)-YEAR($C16))*12+MONTH(AH$5)-MONTH($C16)+1)&lt;1,((YEAR(AH$5)-YEAR($C16))*12+MONTH(AH$5)-MONTH($C16)+1)&gt;$D16),0,$E16*IF($G16,1,N(INDEX(Phasing!$I16:$AF16,((YEAR(AH$5)-YEAR($C16))*12+MONTH(AH$5)-MONTH($C16)+1))))/$F16))</f>
        <v>0</v>
      </c>
      <c r="AI16" s="38" t="n">
        <f aca="false">IF(OR($C16="",$D16="",$F16=0),0,IF(OR(AI$5&lt;=Projects!$C$2,((YEAR(AI$5)-YEAR($C16))*12+MONTH(AI$5)-MONTH($C16)+1)&lt;1,((YEAR(AI$5)-YEAR($C16))*12+MONTH(AI$5)-MONTH($C16)+1)&gt;$D16),0,$E16*IF($G16,1,N(INDEX(Phasing!$I16:$AF16,((YEAR(AI$5)-YEAR($C16))*12+MONTH(AI$5)-MONTH($C16)+1))))/$F16))</f>
        <v>0</v>
      </c>
      <c r="AJ16" s="38" t="n">
        <f aca="false">IF(OR($C16="",$D16="",$F16=0),0,IF(OR(AJ$5&lt;=Projects!$C$2,((YEAR(AJ$5)-YEAR($C16))*12+MONTH(AJ$5)-MONTH($C16)+1)&lt;1,((YEAR(AJ$5)-YEAR($C16))*12+MONTH(AJ$5)-MONTH($C16)+1)&gt;$D16),0,$E16*IF($G16,1,N(INDEX(Phasing!$I16:$AF16,((YEAR(AJ$5)-YEAR($C16))*12+MONTH(AJ$5)-MONTH($C16)+1))))/$F16))</f>
        <v>0</v>
      </c>
      <c r="AK16" s="38" t="n">
        <f aca="false">IF(OR($C16="",$D16="",$F16=0),0,IF(OR(AK$5&lt;=Projects!$C$2,((YEAR(AK$5)-YEAR($C16))*12+MONTH(AK$5)-MONTH($C16)+1)&lt;1,((YEAR(AK$5)-YEAR($C16))*12+MONTH(AK$5)-MONTH($C16)+1)&gt;$D16),0,$E16*IF($G16,1,N(INDEX(Phasing!$I16:$AF16,((YEAR(AK$5)-YEAR($C16))*12+MONTH(AK$5)-MONTH($C16)+1))))/$F16))</f>
        <v>0</v>
      </c>
      <c r="AL16" s="38" t="n">
        <f aca="false">IF(OR($C16="",$D16="",$F16=0),0,IF(OR(AL$5&lt;=Projects!$C$2,((YEAR(AL$5)-YEAR($C16))*12+MONTH(AL$5)-MONTH($C16)+1)&lt;1,((YEAR(AL$5)-YEAR($C16))*12+MONTH(AL$5)-MONTH($C16)+1)&gt;$D16),0,$E16*IF($G16,1,N(INDEX(Phasing!$I16:$AF16,((YEAR(AL$5)-YEAR($C16))*12+MONTH(AL$5)-MONTH($C16)+1))))/$F16))</f>
        <v>0</v>
      </c>
      <c r="AM16" s="38" t="n">
        <f aca="false">IF(OR($C16="",$D16="",$F16=0),0,IF(OR(AM$5&lt;=Projects!$C$2,((YEAR(AM$5)-YEAR($C16))*12+MONTH(AM$5)-MONTH($C16)+1)&lt;1,((YEAR(AM$5)-YEAR($C16))*12+MONTH(AM$5)-MONTH($C16)+1)&gt;$D16),0,$E16*IF($G16,1,N(INDEX(Phasing!$I16:$AF16,((YEAR(AM$5)-YEAR($C16))*12+MONTH(AM$5)-MONTH($C16)+1))))/$F16))</f>
        <v>0</v>
      </c>
      <c r="AN16" s="38" t="n">
        <f aca="false">IF(OR($C16="",$D16="",$F16=0),0,IF(OR(AN$5&lt;=Projects!$C$2,((YEAR(AN$5)-YEAR($C16))*12+MONTH(AN$5)-MONTH($C16)+1)&lt;1,((YEAR(AN$5)-YEAR($C16))*12+MONTH(AN$5)-MONTH($C16)+1)&gt;$D16),0,$E16*IF($G16,1,N(INDEX(Phasing!$I16:$AF16,((YEAR(AN$5)-YEAR($C16))*12+MONTH(AN$5)-MONTH($C16)+1))))/$F16))</f>
        <v>0</v>
      </c>
      <c r="AO16" s="38" t="n">
        <f aca="false">IF(OR($C16="",$D16="",$F16=0),0,IF(OR(AO$5&lt;=Projects!$C$2,((YEAR(AO$5)-YEAR($C16))*12+MONTH(AO$5)-MONTH($C16)+1)&lt;1,((YEAR(AO$5)-YEAR($C16))*12+MONTH(AO$5)-MONTH($C16)+1)&gt;$D16),0,$E16*IF($G16,1,N(INDEX(Phasing!$I16:$AF16,((YEAR(AO$5)-YEAR($C16))*12+MONTH(AO$5)-MONTH($C16)+1))))/$F16))</f>
        <v>0</v>
      </c>
      <c r="AP16" s="38" t="n">
        <f aca="false">IF(OR($C16="",$D16="",$F16=0),0,IF(OR(AP$5&lt;=Projects!$C$2,((YEAR(AP$5)-YEAR($C16))*12+MONTH(AP$5)-MONTH($C16)+1)&lt;1,((YEAR(AP$5)-YEAR($C16))*12+MONTH(AP$5)-MONTH($C16)+1)&gt;$D16),0,$E16*IF($G16,1,N(INDEX(Phasing!$I16:$AF16,((YEAR(AP$5)-YEAR($C16))*12+MONTH(AP$5)-MONTH($C16)+1))))/$F16))</f>
        <v>0</v>
      </c>
      <c r="AQ16" s="38" t="n">
        <f aca="false">IF(OR($C16="",$D16="",$F16=0),0,IF(OR(AQ$5&lt;=Projects!$C$2,((YEAR(AQ$5)-YEAR($C16))*12+MONTH(AQ$5)-MONTH($C16)+1)&lt;1,((YEAR(AQ$5)-YEAR($C16))*12+MONTH(AQ$5)-MONTH($C16)+1)&gt;$D16),0,$E16*IF($G16,1,N(INDEX(Phasing!$I16:$AF16,((YEAR(AQ$5)-YEAR($C16))*12+MONTH(AQ$5)-MONTH($C16)+1))))/$F16))</f>
        <v>0</v>
      </c>
    </row>
    <row r="17" customFormat="false" ht="15" hidden="false" customHeight="false" outlineLevel="0" collapsed="false">
      <c r="A17" s="11" t="n">
        <v>12</v>
      </c>
      <c r="B17" s="21" t="str">
        <f aca="false">IF(Projects!B17="","",Projects!B17)</f>
        <v/>
      </c>
      <c r="C17" s="31" t="str">
        <f aca="false">IF(Projects!D17="","",Projects!D17)</f>
        <v/>
      </c>
      <c r="D17" s="21" t="str">
        <f aca="false">IF(Projects!E17="","",Projects!E17)</f>
        <v/>
      </c>
      <c r="E17" s="33" t="n">
        <f aca="false">IF(Projects!B17="",0,N(Projects!I17))</f>
        <v>0</v>
      </c>
      <c r="F17" s="21" t="n">
        <f aca="false">Phasing!G17</f>
        <v>0</v>
      </c>
      <c r="G17" s="48" t="b">
        <f aca="false">Phasing!D17=0</f>
        <v>1</v>
      </c>
      <c r="H17" s="38" t="n">
        <f aca="false">IF(OR($C17="",$D17="",$F17=0),0,IF(OR(H$5&lt;=Projects!$C$2,((YEAR(H$5)-YEAR($C17))*12+MONTH(H$5)-MONTH($C17)+1)&lt;1,((YEAR(H$5)-YEAR($C17))*12+MONTH(H$5)-MONTH($C17)+1)&gt;$D17),0,$E17*IF($G17,1,N(INDEX(Phasing!$I17:$AF17,((YEAR(H$5)-YEAR($C17))*12+MONTH(H$5)-MONTH($C17)+1))))/$F17))</f>
        <v>0</v>
      </c>
      <c r="I17" s="38" t="n">
        <f aca="false">IF(OR($C17="",$D17="",$F17=0),0,IF(OR(I$5&lt;=Projects!$C$2,((YEAR(I$5)-YEAR($C17))*12+MONTH(I$5)-MONTH($C17)+1)&lt;1,((YEAR(I$5)-YEAR($C17))*12+MONTH(I$5)-MONTH($C17)+1)&gt;$D17),0,$E17*IF($G17,1,N(INDEX(Phasing!$I17:$AF17,((YEAR(I$5)-YEAR($C17))*12+MONTH(I$5)-MONTH($C17)+1))))/$F17))</f>
        <v>0</v>
      </c>
      <c r="J17" s="38" t="n">
        <f aca="false">IF(OR($C17="",$D17="",$F17=0),0,IF(OR(J$5&lt;=Projects!$C$2,((YEAR(J$5)-YEAR($C17))*12+MONTH(J$5)-MONTH($C17)+1)&lt;1,((YEAR(J$5)-YEAR($C17))*12+MONTH(J$5)-MONTH($C17)+1)&gt;$D17),0,$E17*IF($G17,1,N(INDEX(Phasing!$I17:$AF17,((YEAR(J$5)-YEAR($C17))*12+MONTH(J$5)-MONTH($C17)+1))))/$F17))</f>
        <v>0</v>
      </c>
      <c r="K17" s="38" t="n">
        <f aca="false">IF(OR($C17="",$D17="",$F17=0),0,IF(OR(K$5&lt;=Projects!$C$2,((YEAR(K$5)-YEAR($C17))*12+MONTH(K$5)-MONTH($C17)+1)&lt;1,((YEAR(K$5)-YEAR($C17))*12+MONTH(K$5)-MONTH($C17)+1)&gt;$D17),0,$E17*IF($G17,1,N(INDEX(Phasing!$I17:$AF17,((YEAR(K$5)-YEAR($C17))*12+MONTH(K$5)-MONTH($C17)+1))))/$F17))</f>
        <v>0</v>
      </c>
      <c r="L17" s="38" t="n">
        <f aca="false">IF(OR($C17="",$D17="",$F17=0),0,IF(OR(L$5&lt;=Projects!$C$2,((YEAR(L$5)-YEAR($C17))*12+MONTH(L$5)-MONTH($C17)+1)&lt;1,((YEAR(L$5)-YEAR($C17))*12+MONTH(L$5)-MONTH($C17)+1)&gt;$D17),0,$E17*IF($G17,1,N(INDEX(Phasing!$I17:$AF17,((YEAR(L$5)-YEAR($C17))*12+MONTH(L$5)-MONTH($C17)+1))))/$F17))</f>
        <v>0</v>
      </c>
      <c r="M17" s="38" t="n">
        <f aca="false">IF(OR($C17="",$D17="",$F17=0),0,IF(OR(M$5&lt;=Projects!$C$2,((YEAR(M$5)-YEAR($C17))*12+MONTH(M$5)-MONTH($C17)+1)&lt;1,((YEAR(M$5)-YEAR($C17))*12+MONTH(M$5)-MONTH($C17)+1)&gt;$D17),0,$E17*IF($G17,1,N(INDEX(Phasing!$I17:$AF17,((YEAR(M$5)-YEAR($C17))*12+MONTH(M$5)-MONTH($C17)+1))))/$F17))</f>
        <v>0</v>
      </c>
      <c r="N17" s="38" t="n">
        <f aca="false">IF(OR($C17="",$D17="",$F17=0),0,IF(OR(N$5&lt;=Projects!$C$2,((YEAR(N$5)-YEAR($C17))*12+MONTH(N$5)-MONTH($C17)+1)&lt;1,((YEAR(N$5)-YEAR($C17))*12+MONTH(N$5)-MONTH($C17)+1)&gt;$D17),0,$E17*IF($G17,1,N(INDEX(Phasing!$I17:$AF17,((YEAR(N$5)-YEAR($C17))*12+MONTH(N$5)-MONTH($C17)+1))))/$F17))</f>
        <v>0</v>
      </c>
      <c r="O17" s="38" t="n">
        <f aca="false">IF(OR($C17="",$D17="",$F17=0),0,IF(OR(O$5&lt;=Projects!$C$2,((YEAR(O$5)-YEAR($C17))*12+MONTH(O$5)-MONTH($C17)+1)&lt;1,((YEAR(O$5)-YEAR($C17))*12+MONTH(O$5)-MONTH($C17)+1)&gt;$D17),0,$E17*IF($G17,1,N(INDEX(Phasing!$I17:$AF17,((YEAR(O$5)-YEAR($C17))*12+MONTH(O$5)-MONTH($C17)+1))))/$F17))</f>
        <v>0</v>
      </c>
      <c r="P17" s="38" t="n">
        <f aca="false">IF(OR($C17="",$D17="",$F17=0),0,IF(OR(P$5&lt;=Projects!$C$2,((YEAR(P$5)-YEAR($C17))*12+MONTH(P$5)-MONTH($C17)+1)&lt;1,((YEAR(P$5)-YEAR($C17))*12+MONTH(P$5)-MONTH($C17)+1)&gt;$D17),0,$E17*IF($G17,1,N(INDEX(Phasing!$I17:$AF17,((YEAR(P$5)-YEAR($C17))*12+MONTH(P$5)-MONTH($C17)+1))))/$F17))</f>
        <v>0</v>
      </c>
      <c r="Q17" s="38" t="n">
        <f aca="false">IF(OR($C17="",$D17="",$F17=0),0,IF(OR(Q$5&lt;=Projects!$C$2,((YEAR(Q$5)-YEAR($C17))*12+MONTH(Q$5)-MONTH($C17)+1)&lt;1,((YEAR(Q$5)-YEAR($C17))*12+MONTH(Q$5)-MONTH($C17)+1)&gt;$D17),0,$E17*IF($G17,1,N(INDEX(Phasing!$I17:$AF17,((YEAR(Q$5)-YEAR($C17))*12+MONTH(Q$5)-MONTH($C17)+1))))/$F17))</f>
        <v>0</v>
      </c>
      <c r="R17" s="38" t="n">
        <f aca="false">IF(OR($C17="",$D17="",$F17=0),0,IF(OR(R$5&lt;=Projects!$C$2,((YEAR(R$5)-YEAR($C17))*12+MONTH(R$5)-MONTH($C17)+1)&lt;1,((YEAR(R$5)-YEAR($C17))*12+MONTH(R$5)-MONTH($C17)+1)&gt;$D17),0,$E17*IF($G17,1,N(INDEX(Phasing!$I17:$AF17,((YEAR(R$5)-YEAR($C17))*12+MONTH(R$5)-MONTH($C17)+1))))/$F17))</f>
        <v>0</v>
      </c>
      <c r="S17" s="38" t="n">
        <f aca="false">IF(OR($C17="",$D17="",$F17=0),0,IF(OR(S$5&lt;=Projects!$C$2,((YEAR(S$5)-YEAR($C17))*12+MONTH(S$5)-MONTH($C17)+1)&lt;1,((YEAR(S$5)-YEAR($C17))*12+MONTH(S$5)-MONTH($C17)+1)&gt;$D17),0,$E17*IF($G17,1,N(INDEX(Phasing!$I17:$AF17,((YEAR(S$5)-YEAR($C17))*12+MONTH(S$5)-MONTH($C17)+1))))/$F17))</f>
        <v>0</v>
      </c>
      <c r="T17" s="38" t="n">
        <f aca="false">IF(OR($C17="",$D17="",$F17=0),0,IF(OR(T$5&lt;=Projects!$C$2,((YEAR(T$5)-YEAR($C17))*12+MONTH(T$5)-MONTH($C17)+1)&lt;1,((YEAR(T$5)-YEAR($C17))*12+MONTH(T$5)-MONTH($C17)+1)&gt;$D17),0,$E17*IF($G17,1,N(INDEX(Phasing!$I17:$AF17,((YEAR(T$5)-YEAR($C17))*12+MONTH(T$5)-MONTH($C17)+1))))/$F17))</f>
        <v>0</v>
      </c>
      <c r="U17" s="38" t="n">
        <f aca="false">IF(OR($C17="",$D17="",$F17=0),0,IF(OR(U$5&lt;=Projects!$C$2,((YEAR(U$5)-YEAR($C17))*12+MONTH(U$5)-MONTH($C17)+1)&lt;1,((YEAR(U$5)-YEAR($C17))*12+MONTH(U$5)-MONTH($C17)+1)&gt;$D17),0,$E17*IF($G17,1,N(INDEX(Phasing!$I17:$AF17,((YEAR(U$5)-YEAR($C17))*12+MONTH(U$5)-MONTH($C17)+1))))/$F17))</f>
        <v>0</v>
      </c>
      <c r="V17" s="38" t="n">
        <f aca="false">IF(OR($C17="",$D17="",$F17=0),0,IF(OR(V$5&lt;=Projects!$C$2,((YEAR(V$5)-YEAR($C17))*12+MONTH(V$5)-MONTH($C17)+1)&lt;1,((YEAR(V$5)-YEAR($C17))*12+MONTH(V$5)-MONTH($C17)+1)&gt;$D17),0,$E17*IF($G17,1,N(INDEX(Phasing!$I17:$AF17,((YEAR(V$5)-YEAR($C17))*12+MONTH(V$5)-MONTH($C17)+1))))/$F17))</f>
        <v>0</v>
      </c>
      <c r="W17" s="38" t="n">
        <f aca="false">IF(OR($C17="",$D17="",$F17=0),0,IF(OR(W$5&lt;=Projects!$C$2,((YEAR(W$5)-YEAR($C17))*12+MONTH(W$5)-MONTH($C17)+1)&lt;1,((YEAR(W$5)-YEAR($C17))*12+MONTH(W$5)-MONTH($C17)+1)&gt;$D17),0,$E17*IF($G17,1,N(INDEX(Phasing!$I17:$AF17,((YEAR(W$5)-YEAR($C17))*12+MONTH(W$5)-MONTH($C17)+1))))/$F17))</f>
        <v>0</v>
      </c>
      <c r="X17" s="38" t="n">
        <f aca="false">IF(OR($C17="",$D17="",$F17=0),0,IF(OR(X$5&lt;=Projects!$C$2,((YEAR(X$5)-YEAR($C17))*12+MONTH(X$5)-MONTH($C17)+1)&lt;1,((YEAR(X$5)-YEAR($C17))*12+MONTH(X$5)-MONTH($C17)+1)&gt;$D17),0,$E17*IF($G17,1,N(INDEX(Phasing!$I17:$AF17,((YEAR(X$5)-YEAR($C17))*12+MONTH(X$5)-MONTH($C17)+1))))/$F17))</f>
        <v>0</v>
      </c>
      <c r="Y17" s="38" t="n">
        <f aca="false">IF(OR($C17="",$D17="",$F17=0),0,IF(OR(Y$5&lt;=Projects!$C$2,((YEAR(Y$5)-YEAR($C17))*12+MONTH(Y$5)-MONTH($C17)+1)&lt;1,((YEAR(Y$5)-YEAR($C17))*12+MONTH(Y$5)-MONTH($C17)+1)&gt;$D17),0,$E17*IF($G17,1,N(INDEX(Phasing!$I17:$AF17,((YEAR(Y$5)-YEAR($C17))*12+MONTH(Y$5)-MONTH($C17)+1))))/$F17))</f>
        <v>0</v>
      </c>
      <c r="Z17" s="38" t="n">
        <f aca="false">IF(OR($C17="",$D17="",$F17=0),0,IF(OR(Z$5&lt;=Projects!$C$2,((YEAR(Z$5)-YEAR($C17))*12+MONTH(Z$5)-MONTH($C17)+1)&lt;1,((YEAR(Z$5)-YEAR($C17))*12+MONTH(Z$5)-MONTH($C17)+1)&gt;$D17),0,$E17*IF($G17,1,N(INDEX(Phasing!$I17:$AF17,((YEAR(Z$5)-YEAR($C17))*12+MONTH(Z$5)-MONTH($C17)+1))))/$F17))</f>
        <v>0</v>
      </c>
      <c r="AA17" s="38" t="n">
        <f aca="false">IF(OR($C17="",$D17="",$F17=0),0,IF(OR(AA$5&lt;=Projects!$C$2,((YEAR(AA$5)-YEAR($C17))*12+MONTH(AA$5)-MONTH($C17)+1)&lt;1,((YEAR(AA$5)-YEAR($C17))*12+MONTH(AA$5)-MONTH($C17)+1)&gt;$D17),0,$E17*IF($G17,1,N(INDEX(Phasing!$I17:$AF17,((YEAR(AA$5)-YEAR($C17))*12+MONTH(AA$5)-MONTH($C17)+1))))/$F17))</f>
        <v>0</v>
      </c>
      <c r="AB17" s="38" t="n">
        <f aca="false">IF(OR($C17="",$D17="",$F17=0),0,IF(OR(AB$5&lt;=Projects!$C$2,((YEAR(AB$5)-YEAR($C17))*12+MONTH(AB$5)-MONTH($C17)+1)&lt;1,((YEAR(AB$5)-YEAR($C17))*12+MONTH(AB$5)-MONTH($C17)+1)&gt;$D17),0,$E17*IF($G17,1,N(INDEX(Phasing!$I17:$AF17,((YEAR(AB$5)-YEAR($C17))*12+MONTH(AB$5)-MONTH($C17)+1))))/$F17))</f>
        <v>0</v>
      </c>
      <c r="AC17" s="38" t="n">
        <f aca="false">IF(OR($C17="",$D17="",$F17=0),0,IF(OR(AC$5&lt;=Projects!$C$2,((YEAR(AC$5)-YEAR($C17))*12+MONTH(AC$5)-MONTH($C17)+1)&lt;1,((YEAR(AC$5)-YEAR($C17))*12+MONTH(AC$5)-MONTH($C17)+1)&gt;$D17),0,$E17*IF($G17,1,N(INDEX(Phasing!$I17:$AF17,((YEAR(AC$5)-YEAR($C17))*12+MONTH(AC$5)-MONTH($C17)+1))))/$F17))</f>
        <v>0</v>
      </c>
      <c r="AD17" s="38" t="n">
        <f aca="false">IF(OR($C17="",$D17="",$F17=0),0,IF(OR(AD$5&lt;=Projects!$C$2,((YEAR(AD$5)-YEAR($C17))*12+MONTH(AD$5)-MONTH($C17)+1)&lt;1,((YEAR(AD$5)-YEAR($C17))*12+MONTH(AD$5)-MONTH($C17)+1)&gt;$D17),0,$E17*IF($G17,1,N(INDEX(Phasing!$I17:$AF17,((YEAR(AD$5)-YEAR($C17))*12+MONTH(AD$5)-MONTH($C17)+1))))/$F17))</f>
        <v>0</v>
      </c>
      <c r="AE17" s="38" t="n">
        <f aca="false">IF(OR($C17="",$D17="",$F17=0),0,IF(OR(AE$5&lt;=Projects!$C$2,((YEAR(AE$5)-YEAR($C17))*12+MONTH(AE$5)-MONTH($C17)+1)&lt;1,((YEAR(AE$5)-YEAR($C17))*12+MONTH(AE$5)-MONTH($C17)+1)&gt;$D17),0,$E17*IF($G17,1,N(INDEX(Phasing!$I17:$AF17,((YEAR(AE$5)-YEAR($C17))*12+MONTH(AE$5)-MONTH($C17)+1))))/$F17))</f>
        <v>0</v>
      </c>
      <c r="AF17" s="38" t="n">
        <f aca="false">IF(OR($C17="",$D17="",$F17=0),0,IF(OR(AF$5&lt;=Projects!$C$2,((YEAR(AF$5)-YEAR($C17))*12+MONTH(AF$5)-MONTH($C17)+1)&lt;1,((YEAR(AF$5)-YEAR($C17))*12+MONTH(AF$5)-MONTH($C17)+1)&gt;$D17),0,$E17*IF($G17,1,N(INDEX(Phasing!$I17:$AF17,((YEAR(AF$5)-YEAR($C17))*12+MONTH(AF$5)-MONTH($C17)+1))))/$F17))</f>
        <v>0</v>
      </c>
      <c r="AG17" s="38" t="n">
        <f aca="false">IF(OR($C17="",$D17="",$F17=0),0,IF(OR(AG$5&lt;=Projects!$C$2,((YEAR(AG$5)-YEAR($C17))*12+MONTH(AG$5)-MONTH($C17)+1)&lt;1,((YEAR(AG$5)-YEAR($C17))*12+MONTH(AG$5)-MONTH($C17)+1)&gt;$D17),0,$E17*IF($G17,1,N(INDEX(Phasing!$I17:$AF17,((YEAR(AG$5)-YEAR($C17))*12+MONTH(AG$5)-MONTH($C17)+1))))/$F17))</f>
        <v>0</v>
      </c>
      <c r="AH17" s="38" t="n">
        <f aca="false">IF(OR($C17="",$D17="",$F17=0),0,IF(OR(AH$5&lt;=Projects!$C$2,((YEAR(AH$5)-YEAR($C17))*12+MONTH(AH$5)-MONTH($C17)+1)&lt;1,((YEAR(AH$5)-YEAR($C17))*12+MONTH(AH$5)-MONTH($C17)+1)&gt;$D17),0,$E17*IF($G17,1,N(INDEX(Phasing!$I17:$AF17,((YEAR(AH$5)-YEAR($C17))*12+MONTH(AH$5)-MONTH($C17)+1))))/$F17))</f>
        <v>0</v>
      </c>
      <c r="AI17" s="38" t="n">
        <f aca="false">IF(OR($C17="",$D17="",$F17=0),0,IF(OR(AI$5&lt;=Projects!$C$2,((YEAR(AI$5)-YEAR($C17))*12+MONTH(AI$5)-MONTH($C17)+1)&lt;1,((YEAR(AI$5)-YEAR($C17))*12+MONTH(AI$5)-MONTH($C17)+1)&gt;$D17),0,$E17*IF($G17,1,N(INDEX(Phasing!$I17:$AF17,((YEAR(AI$5)-YEAR($C17))*12+MONTH(AI$5)-MONTH($C17)+1))))/$F17))</f>
        <v>0</v>
      </c>
      <c r="AJ17" s="38" t="n">
        <f aca="false">IF(OR($C17="",$D17="",$F17=0),0,IF(OR(AJ$5&lt;=Projects!$C$2,((YEAR(AJ$5)-YEAR($C17))*12+MONTH(AJ$5)-MONTH($C17)+1)&lt;1,((YEAR(AJ$5)-YEAR($C17))*12+MONTH(AJ$5)-MONTH($C17)+1)&gt;$D17),0,$E17*IF($G17,1,N(INDEX(Phasing!$I17:$AF17,((YEAR(AJ$5)-YEAR($C17))*12+MONTH(AJ$5)-MONTH($C17)+1))))/$F17))</f>
        <v>0</v>
      </c>
      <c r="AK17" s="38" t="n">
        <f aca="false">IF(OR($C17="",$D17="",$F17=0),0,IF(OR(AK$5&lt;=Projects!$C$2,((YEAR(AK$5)-YEAR($C17))*12+MONTH(AK$5)-MONTH($C17)+1)&lt;1,((YEAR(AK$5)-YEAR($C17))*12+MONTH(AK$5)-MONTH($C17)+1)&gt;$D17),0,$E17*IF($G17,1,N(INDEX(Phasing!$I17:$AF17,((YEAR(AK$5)-YEAR($C17))*12+MONTH(AK$5)-MONTH($C17)+1))))/$F17))</f>
        <v>0</v>
      </c>
      <c r="AL17" s="38" t="n">
        <f aca="false">IF(OR($C17="",$D17="",$F17=0),0,IF(OR(AL$5&lt;=Projects!$C$2,((YEAR(AL$5)-YEAR($C17))*12+MONTH(AL$5)-MONTH($C17)+1)&lt;1,((YEAR(AL$5)-YEAR($C17))*12+MONTH(AL$5)-MONTH($C17)+1)&gt;$D17),0,$E17*IF($G17,1,N(INDEX(Phasing!$I17:$AF17,((YEAR(AL$5)-YEAR($C17))*12+MONTH(AL$5)-MONTH($C17)+1))))/$F17))</f>
        <v>0</v>
      </c>
      <c r="AM17" s="38" t="n">
        <f aca="false">IF(OR($C17="",$D17="",$F17=0),0,IF(OR(AM$5&lt;=Projects!$C$2,((YEAR(AM$5)-YEAR($C17))*12+MONTH(AM$5)-MONTH($C17)+1)&lt;1,((YEAR(AM$5)-YEAR($C17))*12+MONTH(AM$5)-MONTH($C17)+1)&gt;$D17),0,$E17*IF($G17,1,N(INDEX(Phasing!$I17:$AF17,((YEAR(AM$5)-YEAR($C17))*12+MONTH(AM$5)-MONTH($C17)+1))))/$F17))</f>
        <v>0</v>
      </c>
      <c r="AN17" s="38" t="n">
        <f aca="false">IF(OR($C17="",$D17="",$F17=0),0,IF(OR(AN$5&lt;=Projects!$C$2,((YEAR(AN$5)-YEAR($C17))*12+MONTH(AN$5)-MONTH($C17)+1)&lt;1,((YEAR(AN$5)-YEAR($C17))*12+MONTH(AN$5)-MONTH($C17)+1)&gt;$D17),0,$E17*IF($G17,1,N(INDEX(Phasing!$I17:$AF17,((YEAR(AN$5)-YEAR($C17))*12+MONTH(AN$5)-MONTH($C17)+1))))/$F17))</f>
        <v>0</v>
      </c>
      <c r="AO17" s="38" t="n">
        <f aca="false">IF(OR($C17="",$D17="",$F17=0),0,IF(OR(AO$5&lt;=Projects!$C$2,((YEAR(AO$5)-YEAR($C17))*12+MONTH(AO$5)-MONTH($C17)+1)&lt;1,((YEAR(AO$5)-YEAR($C17))*12+MONTH(AO$5)-MONTH($C17)+1)&gt;$D17),0,$E17*IF($G17,1,N(INDEX(Phasing!$I17:$AF17,((YEAR(AO$5)-YEAR($C17))*12+MONTH(AO$5)-MONTH($C17)+1))))/$F17))</f>
        <v>0</v>
      </c>
      <c r="AP17" s="38" t="n">
        <f aca="false">IF(OR($C17="",$D17="",$F17=0),0,IF(OR(AP$5&lt;=Projects!$C$2,((YEAR(AP$5)-YEAR($C17))*12+MONTH(AP$5)-MONTH($C17)+1)&lt;1,((YEAR(AP$5)-YEAR($C17))*12+MONTH(AP$5)-MONTH($C17)+1)&gt;$D17),0,$E17*IF($G17,1,N(INDEX(Phasing!$I17:$AF17,((YEAR(AP$5)-YEAR($C17))*12+MONTH(AP$5)-MONTH($C17)+1))))/$F17))</f>
        <v>0</v>
      </c>
      <c r="AQ17" s="38" t="n">
        <f aca="false">IF(OR($C17="",$D17="",$F17=0),0,IF(OR(AQ$5&lt;=Projects!$C$2,((YEAR(AQ$5)-YEAR($C17))*12+MONTH(AQ$5)-MONTH($C17)+1)&lt;1,((YEAR(AQ$5)-YEAR($C17))*12+MONTH(AQ$5)-MONTH($C17)+1)&gt;$D17),0,$E17*IF($G17,1,N(INDEX(Phasing!$I17:$AF17,((YEAR(AQ$5)-YEAR($C17))*12+MONTH(AQ$5)-MONTH($C17)+1))))/$F17))</f>
        <v>0</v>
      </c>
    </row>
    <row r="18" customFormat="false" ht="15" hidden="false" customHeight="false" outlineLevel="0" collapsed="false">
      <c r="A18" s="11" t="n">
        <v>13</v>
      </c>
      <c r="B18" s="21" t="str">
        <f aca="false">IF(Projects!B18="","",Projects!B18)</f>
        <v/>
      </c>
      <c r="C18" s="31" t="str">
        <f aca="false">IF(Projects!D18="","",Projects!D18)</f>
        <v/>
      </c>
      <c r="D18" s="21" t="str">
        <f aca="false">IF(Projects!E18="","",Projects!E18)</f>
        <v/>
      </c>
      <c r="E18" s="33" t="n">
        <f aca="false">IF(Projects!B18="",0,N(Projects!I18))</f>
        <v>0</v>
      </c>
      <c r="F18" s="21" t="n">
        <f aca="false">Phasing!G18</f>
        <v>0</v>
      </c>
      <c r="G18" s="48" t="b">
        <f aca="false">Phasing!D18=0</f>
        <v>1</v>
      </c>
      <c r="H18" s="38" t="n">
        <f aca="false">IF(OR($C18="",$D18="",$F18=0),0,IF(OR(H$5&lt;=Projects!$C$2,((YEAR(H$5)-YEAR($C18))*12+MONTH(H$5)-MONTH($C18)+1)&lt;1,((YEAR(H$5)-YEAR($C18))*12+MONTH(H$5)-MONTH($C18)+1)&gt;$D18),0,$E18*IF($G18,1,N(INDEX(Phasing!$I18:$AF18,((YEAR(H$5)-YEAR($C18))*12+MONTH(H$5)-MONTH($C18)+1))))/$F18))</f>
        <v>0</v>
      </c>
      <c r="I18" s="38" t="n">
        <f aca="false">IF(OR($C18="",$D18="",$F18=0),0,IF(OR(I$5&lt;=Projects!$C$2,((YEAR(I$5)-YEAR($C18))*12+MONTH(I$5)-MONTH($C18)+1)&lt;1,((YEAR(I$5)-YEAR($C18))*12+MONTH(I$5)-MONTH($C18)+1)&gt;$D18),0,$E18*IF($G18,1,N(INDEX(Phasing!$I18:$AF18,((YEAR(I$5)-YEAR($C18))*12+MONTH(I$5)-MONTH($C18)+1))))/$F18))</f>
        <v>0</v>
      </c>
      <c r="J18" s="38" t="n">
        <f aca="false">IF(OR($C18="",$D18="",$F18=0),0,IF(OR(J$5&lt;=Projects!$C$2,((YEAR(J$5)-YEAR($C18))*12+MONTH(J$5)-MONTH($C18)+1)&lt;1,((YEAR(J$5)-YEAR($C18))*12+MONTH(J$5)-MONTH($C18)+1)&gt;$D18),0,$E18*IF($G18,1,N(INDEX(Phasing!$I18:$AF18,((YEAR(J$5)-YEAR($C18))*12+MONTH(J$5)-MONTH($C18)+1))))/$F18))</f>
        <v>0</v>
      </c>
      <c r="K18" s="38" t="n">
        <f aca="false">IF(OR($C18="",$D18="",$F18=0),0,IF(OR(K$5&lt;=Projects!$C$2,((YEAR(K$5)-YEAR($C18))*12+MONTH(K$5)-MONTH($C18)+1)&lt;1,((YEAR(K$5)-YEAR($C18))*12+MONTH(K$5)-MONTH($C18)+1)&gt;$D18),0,$E18*IF($G18,1,N(INDEX(Phasing!$I18:$AF18,((YEAR(K$5)-YEAR($C18))*12+MONTH(K$5)-MONTH($C18)+1))))/$F18))</f>
        <v>0</v>
      </c>
      <c r="L18" s="38" t="n">
        <f aca="false">IF(OR($C18="",$D18="",$F18=0),0,IF(OR(L$5&lt;=Projects!$C$2,((YEAR(L$5)-YEAR($C18))*12+MONTH(L$5)-MONTH($C18)+1)&lt;1,((YEAR(L$5)-YEAR($C18))*12+MONTH(L$5)-MONTH($C18)+1)&gt;$D18),0,$E18*IF($G18,1,N(INDEX(Phasing!$I18:$AF18,((YEAR(L$5)-YEAR($C18))*12+MONTH(L$5)-MONTH($C18)+1))))/$F18))</f>
        <v>0</v>
      </c>
      <c r="M18" s="38" t="n">
        <f aca="false">IF(OR($C18="",$D18="",$F18=0),0,IF(OR(M$5&lt;=Projects!$C$2,((YEAR(M$5)-YEAR($C18))*12+MONTH(M$5)-MONTH($C18)+1)&lt;1,((YEAR(M$5)-YEAR($C18))*12+MONTH(M$5)-MONTH($C18)+1)&gt;$D18),0,$E18*IF($G18,1,N(INDEX(Phasing!$I18:$AF18,((YEAR(M$5)-YEAR($C18))*12+MONTH(M$5)-MONTH($C18)+1))))/$F18))</f>
        <v>0</v>
      </c>
      <c r="N18" s="38" t="n">
        <f aca="false">IF(OR($C18="",$D18="",$F18=0),0,IF(OR(N$5&lt;=Projects!$C$2,((YEAR(N$5)-YEAR($C18))*12+MONTH(N$5)-MONTH($C18)+1)&lt;1,((YEAR(N$5)-YEAR($C18))*12+MONTH(N$5)-MONTH($C18)+1)&gt;$D18),0,$E18*IF($G18,1,N(INDEX(Phasing!$I18:$AF18,((YEAR(N$5)-YEAR($C18))*12+MONTH(N$5)-MONTH($C18)+1))))/$F18))</f>
        <v>0</v>
      </c>
      <c r="O18" s="38" t="n">
        <f aca="false">IF(OR($C18="",$D18="",$F18=0),0,IF(OR(O$5&lt;=Projects!$C$2,((YEAR(O$5)-YEAR($C18))*12+MONTH(O$5)-MONTH($C18)+1)&lt;1,((YEAR(O$5)-YEAR($C18))*12+MONTH(O$5)-MONTH($C18)+1)&gt;$D18),0,$E18*IF($G18,1,N(INDEX(Phasing!$I18:$AF18,((YEAR(O$5)-YEAR($C18))*12+MONTH(O$5)-MONTH($C18)+1))))/$F18))</f>
        <v>0</v>
      </c>
      <c r="P18" s="38" t="n">
        <f aca="false">IF(OR($C18="",$D18="",$F18=0),0,IF(OR(P$5&lt;=Projects!$C$2,((YEAR(P$5)-YEAR($C18))*12+MONTH(P$5)-MONTH($C18)+1)&lt;1,((YEAR(P$5)-YEAR($C18))*12+MONTH(P$5)-MONTH($C18)+1)&gt;$D18),0,$E18*IF($G18,1,N(INDEX(Phasing!$I18:$AF18,((YEAR(P$5)-YEAR($C18))*12+MONTH(P$5)-MONTH($C18)+1))))/$F18))</f>
        <v>0</v>
      </c>
      <c r="Q18" s="38" t="n">
        <f aca="false">IF(OR($C18="",$D18="",$F18=0),0,IF(OR(Q$5&lt;=Projects!$C$2,((YEAR(Q$5)-YEAR($C18))*12+MONTH(Q$5)-MONTH($C18)+1)&lt;1,((YEAR(Q$5)-YEAR($C18))*12+MONTH(Q$5)-MONTH($C18)+1)&gt;$D18),0,$E18*IF($G18,1,N(INDEX(Phasing!$I18:$AF18,((YEAR(Q$5)-YEAR($C18))*12+MONTH(Q$5)-MONTH($C18)+1))))/$F18))</f>
        <v>0</v>
      </c>
      <c r="R18" s="38" t="n">
        <f aca="false">IF(OR($C18="",$D18="",$F18=0),0,IF(OR(R$5&lt;=Projects!$C$2,((YEAR(R$5)-YEAR($C18))*12+MONTH(R$5)-MONTH($C18)+1)&lt;1,((YEAR(R$5)-YEAR($C18))*12+MONTH(R$5)-MONTH($C18)+1)&gt;$D18),0,$E18*IF($G18,1,N(INDEX(Phasing!$I18:$AF18,((YEAR(R$5)-YEAR($C18))*12+MONTH(R$5)-MONTH($C18)+1))))/$F18))</f>
        <v>0</v>
      </c>
      <c r="S18" s="38" t="n">
        <f aca="false">IF(OR($C18="",$D18="",$F18=0),0,IF(OR(S$5&lt;=Projects!$C$2,((YEAR(S$5)-YEAR($C18))*12+MONTH(S$5)-MONTH($C18)+1)&lt;1,((YEAR(S$5)-YEAR($C18))*12+MONTH(S$5)-MONTH($C18)+1)&gt;$D18),0,$E18*IF($G18,1,N(INDEX(Phasing!$I18:$AF18,((YEAR(S$5)-YEAR($C18))*12+MONTH(S$5)-MONTH($C18)+1))))/$F18))</f>
        <v>0</v>
      </c>
      <c r="T18" s="38" t="n">
        <f aca="false">IF(OR($C18="",$D18="",$F18=0),0,IF(OR(T$5&lt;=Projects!$C$2,((YEAR(T$5)-YEAR($C18))*12+MONTH(T$5)-MONTH($C18)+1)&lt;1,((YEAR(T$5)-YEAR($C18))*12+MONTH(T$5)-MONTH($C18)+1)&gt;$D18),0,$E18*IF($G18,1,N(INDEX(Phasing!$I18:$AF18,((YEAR(T$5)-YEAR($C18))*12+MONTH(T$5)-MONTH($C18)+1))))/$F18))</f>
        <v>0</v>
      </c>
      <c r="U18" s="38" t="n">
        <f aca="false">IF(OR($C18="",$D18="",$F18=0),0,IF(OR(U$5&lt;=Projects!$C$2,((YEAR(U$5)-YEAR($C18))*12+MONTH(U$5)-MONTH($C18)+1)&lt;1,((YEAR(U$5)-YEAR($C18))*12+MONTH(U$5)-MONTH($C18)+1)&gt;$D18),0,$E18*IF($G18,1,N(INDEX(Phasing!$I18:$AF18,((YEAR(U$5)-YEAR($C18))*12+MONTH(U$5)-MONTH($C18)+1))))/$F18))</f>
        <v>0</v>
      </c>
      <c r="V18" s="38" t="n">
        <f aca="false">IF(OR($C18="",$D18="",$F18=0),0,IF(OR(V$5&lt;=Projects!$C$2,((YEAR(V$5)-YEAR($C18))*12+MONTH(V$5)-MONTH($C18)+1)&lt;1,((YEAR(V$5)-YEAR($C18))*12+MONTH(V$5)-MONTH($C18)+1)&gt;$D18),0,$E18*IF($G18,1,N(INDEX(Phasing!$I18:$AF18,((YEAR(V$5)-YEAR($C18))*12+MONTH(V$5)-MONTH($C18)+1))))/$F18))</f>
        <v>0</v>
      </c>
      <c r="W18" s="38" t="n">
        <f aca="false">IF(OR($C18="",$D18="",$F18=0),0,IF(OR(W$5&lt;=Projects!$C$2,((YEAR(W$5)-YEAR($C18))*12+MONTH(W$5)-MONTH($C18)+1)&lt;1,((YEAR(W$5)-YEAR($C18))*12+MONTH(W$5)-MONTH($C18)+1)&gt;$D18),0,$E18*IF($G18,1,N(INDEX(Phasing!$I18:$AF18,((YEAR(W$5)-YEAR($C18))*12+MONTH(W$5)-MONTH($C18)+1))))/$F18))</f>
        <v>0</v>
      </c>
      <c r="X18" s="38" t="n">
        <f aca="false">IF(OR($C18="",$D18="",$F18=0),0,IF(OR(X$5&lt;=Projects!$C$2,((YEAR(X$5)-YEAR($C18))*12+MONTH(X$5)-MONTH($C18)+1)&lt;1,((YEAR(X$5)-YEAR($C18))*12+MONTH(X$5)-MONTH($C18)+1)&gt;$D18),0,$E18*IF($G18,1,N(INDEX(Phasing!$I18:$AF18,((YEAR(X$5)-YEAR($C18))*12+MONTH(X$5)-MONTH($C18)+1))))/$F18))</f>
        <v>0</v>
      </c>
      <c r="Y18" s="38" t="n">
        <f aca="false">IF(OR($C18="",$D18="",$F18=0),0,IF(OR(Y$5&lt;=Projects!$C$2,((YEAR(Y$5)-YEAR($C18))*12+MONTH(Y$5)-MONTH($C18)+1)&lt;1,((YEAR(Y$5)-YEAR($C18))*12+MONTH(Y$5)-MONTH($C18)+1)&gt;$D18),0,$E18*IF($G18,1,N(INDEX(Phasing!$I18:$AF18,((YEAR(Y$5)-YEAR($C18))*12+MONTH(Y$5)-MONTH($C18)+1))))/$F18))</f>
        <v>0</v>
      </c>
      <c r="Z18" s="38" t="n">
        <f aca="false">IF(OR($C18="",$D18="",$F18=0),0,IF(OR(Z$5&lt;=Projects!$C$2,((YEAR(Z$5)-YEAR($C18))*12+MONTH(Z$5)-MONTH($C18)+1)&lt;1,((YEAR(Z$5)-YEAR($C18))*12+MONTH(Z$5)-MONTH($C18)+1)&gt;$D18),0,$E18*IF($G18,1,N(INDEX(Phasing!$I18:$AF18,((YEAR(Z$5)-YEAR($C18))*12+MONTH(Z$5)-MONTH($C18)+1))))/$F18))</f>
        <v>0</v>
      </c>
      <c r="AA18" s="38" t="n">
        <f aca="false">IF(OR($C18="",$D18="",$F18=0),0,IF(OR(AA$5&lt;=Projects!$C$2,((YEAR(AA$5)-YEAR($C18))*12+MONTH(AA$5)-MONTH($C18)+1)&lt;1,((YEAR(AA$5)-YEAR($C18))*12+MONTH(AA$5)-MONTH($C18)+1)&gt;$D18),0,$E18*IF($G18,1,N(INDEX(Phasing!$I18:$AF18,((YEAR(AA$5)-YEAR($C18))*12+MONTH(AA$5)-MONTH($C18)+1))))/$F18))</f>
        <v>0</v>
      </c>
      <c r="AB18" s="38" t="n">
        <f aca="false">IF(OR($C18="",$D18="",$F18=0),0,IF(OR(AB$5&lt;=Projects!$C$2,((YEAR(AB$5)-YEAR($C18))*12+MONTH(AB$5)-MONTH($C18)+1)&lt;1,((YEAR(AB$5)-YEAR($C18))*12+MONTH(AB$5)-MONTH($C18)+1)&gt;$D18),0,$E18*IF($G18,1,N(INDEX(Phasing!$I18:$AF18,((YEAR(AB$5)-YEAR($C18))*12+MONTH(AB$5)-MONTH($C18)+1))))/$F18))</f>
        <v>0</v>
      </c>
      <c r="AC18" s="38" t="n">
        <f aca="false">IF(OR($C18="",$D18="",$F18=0),0,IF(OR(AC$5&lt;=Projects!$C$2,((YEAR(AC$5)-YEAR($C18))*12+MONTH(AC$5)-MONTH($C18)+1)&lt;1,((YEAR(AC$5)-YEAR($C18))*12+MONTH(AC$5)-MONTH($C18)+1)&gt;$D18),0,$E18*IF($G18,1,N(INDEX(Phasing!$I18:$AF18,((YEAR(AC$5)-YEAR($C18))*12+MONTH(AC$5)-MONTH($C18)+1))))/$F18))</f>
        <v>0</v>
      </c>
      <c r="AD18" s="38" t="n">
        <f aca="false">IF(OR($C18="",$D18="",$F18=0),0,IF(OR(AD$5&lt;=Projects!$C$2,((YEAR(AD$5)-YEAR($C18))*12+MONTH(AD$5)-MONTH($C18)+1)&lt;1,((YEAR(AD$5)-YEAR($C18))*12+MONTH(AD$5)-MONTH($C18)+1)&gt;$D18),0,$E18*IF($G18,1,N(INDEX(Phasing!$I18:$AF18,((YEAR(AD$5)-YEAR($C18))*12+MONTH(AD$5)-MONTH($C18)+1))))/$F18))</f>
        <v>0</v>
      </c>
      <c r="AE18" s="38" t="n">
        <f aca="false">IF(OR($C18="",$D18="",$F18=0),0,IF(OR(AE$5&lt;=Projects!$C$2,((YEAR(AE$5)-YEAR($C18))*12+MONTH(AE$5)-MONTH($C18)+1)&lt;1,((YEAR(AE$5)-YEAR($C18))*12+MONTH(AE$5)-MONTH($C18)+1)&gt;$D18),0,$E18*IF($G18,1,N(INDEX(Phasing!$I18:$AF18,((YEAR(AE$5)-YEAR($C18))*12+MONTH(AE$5)-MONTH($C18)+1))))/$F18))</f>
        <v>0</v>
      </c>
      <c r="AF18" s="38" t="n">
        <f aca="false">IF(OR($C18="",$D18="",$F18=0),0,IF(OR(AF$5&lt;=Projects!$C$2,((YEAR(AF$5)-YEAR($C18))*12+MONTH(AF$5)-MONTH($C18)+1)&lt;1,((YEAR(AF$5)-YEAR($C18))*12+MONTH(AF$5)-MONTH($C18)+1)&gt;$D18),0,$E18*IF($G18,1,N(INDEX(Phasing!$I18:$AF18,((YEAR(AF$5)-YEAR($C18))*12+MONTH(AF$5)-MONTH($C18)+1))))/$F18))</f>
        <v>0</v>
      </c>
      <c r="AG18" s="38" t="n">
        <f aca="false">IF(OR($C18="",$D18="",$F18=0),0,IF(OR(AG$5&lt;=Projects!$C$2,((YEAR(AG$5)-YEAR($C18))*12+MONTH(AG$5)-MONTH($C18)+1)&lt;1,((YEAR(AG$5)-YEAR($C18))*12+MONTH(AG$5)-MONTH($C18)+1)&gt;$D18),0,$E18*IF($G18,1,N(INDEX(Phasing!$I18:$AF18,((YEAR(AG$5)-YEAR($C18))*12+MONTH(AG$5)-MONTH($C18)+1))))/$F18))</f>
        <v>0</v>
      </c>
      <c r="AH18" s="38" t="n">
        <f aca="false">IF(OR($C18="",$D18="",$F18=0),0,IF(OR(AH$5&lt;=Projects!$C$2,((YEAR(AH$5)-YEAR($C18))*12+MONTH(AH$5)-MONTH($C18)+1)&lt;1,((YEAR(AH$5)-YEAR($C18))*12+MONTH(AH$5)-MONTH($C18)+1)&gt;$D18),0,$E18*IF($G18,1,N(INDEX(Phasing!$I18:$AF18,((YEAR(AH$5)-YEAR($C18))*12+MONTH(AH$5)-MONTH($C18)+1))))/$F18))</f>
        <v>0</v>
      </c>
      <c r="AI18" s="38" t="n">
        <f aca="false">IF(OR($C18="",$D18="",$F18=0),0,IF(OR(AI$5&lt;=Projects!$C$2,((YEAR(AI$5)-YEAR($C18))*12+MONTH(AI$5)-MONTH($C18)+1)&lt;1,((YEAR(AI$5)-YEAR($C18))*12+MONTH(AI$5)-MONTH($C18)+1)&gt;$D18),0,$E18*IF($G18,1,N(INDEX(Phasing!$I18:$AF18,((YEAR(AI$5)-YEAR($C18))*12+MONTH(AI$5)-MONTH($C18)+1))))/$F18))</f>
        <v>0</v>
      </c>
      <c r="AJ18" s="38" t="n">
        <f aca="false">IF(OR($C18="",$D18="",$F18=0),0,IF(OR(AJ$5&lt;=Projects!$C$2,((YEAR(AJ$5)-YEAR($C18))*12+MONTH(AJ$5)-MONTH($C18)+1)&lt;1,((YEAR(AJ$5)-YEAR($C18))*12+MONTH(AJ$5)-MONTH($C18)+1)&gt;$D18),0,$E18*IF($G18,1,N(INDEX(Phasing!$I18:$AF18,((YEAR(AJ$5)-YEAR($C18))*12+MONTH(AJ$5)-MONTH($C18)+1))))/$F18))</f>
        <v>0</v>
      </c>
      <c r="AK18" s="38" t="n">
        <f aca="false">IF(OR($C18="",$D18="",$F18=0),0,IF(OR(AK$5&lt;=Projects!$C$2,((YEAR(AK$5)-YEAR($C18))*12+MONTH(AK$5)-MONTH($C18)+1)&lt;1,((YEAR(AK$5)-YEAR($C18))*12+MONTH(AK$5)-MONTH($C18)+1)&gt;$D18),0,$E18*IF($G18,1,N(INDEX(Phasing!$I18:$AF18,((YEAR(AK$5)-YEAR($C18))*12+MONTH(AK$5)-MONTH($C18)+1))))/$F18))</f>
        <v>0</v>
      </c>
      <c r="AL18" s="38" t="n">
        <f aca="false">IF(OR($C18="",$D18="",$F18=0),0,IF(OR(AL$5&lt;=Projects!$C$2,((YEAR(AL$5)-YEAR($C18))*12+MONTH(AL$5)-MONTH($C18)+1)&lt;1,((YEAR(AL$5)-YEAR($C18))*12+MONTH(AL$5)-MONTH($C18)+1)&gt;$D18),0,$E18*IF($G18,1,N(INDEX(Phasing!$I18:$AF18,((YEAR(AL$5)-YEAR($C18))*12+MONTH(AL$5)-MONTH($C18)+1))))/$F18))</f>
        <v>0</v>
      </c>
      <c r="AM18" s="38" t="n">
        <f aca="false">IF(OR($C18="",$D18="",$F18=0),0,IF(OR(AM$5&lt;=Projects!$C$2,((YEAR(AM$5)-YEAR($C18))*12+MONTH(AM$5)-MONTH($C18)+1)&lt;1,((YEAR(AM$5)-YEAR($C18))*12+MONTH(AM$5)-MONTH($C18)+1)&gt;$D18),0,$E18*IF($G18,1,N(INDEX(Phasing!$I18:$AF18,((YEAR(AM$5)-YEAR($C18))*12+MONTH(AM$5)-MONTH($C18)+1))))/$F18))</f>
        <v>0</v>
      </c>
      <c r="AN18" s="38" t="n">
        <f aca="false">IF(OR($C18="",$D18="",$F18=0),0,IF(OR(AN$5&lt;=Projects!$C$2,((YEAR(AN$5)-YEAR($C18))*12+MONTH(AN$5)-MONTH($C18)+1)&lt;1,((YEAR(AN$5)-YEAR($C18))*12+MONTH(AN$5)-MONTH($C18)+1)&gt;$D18),0,$E18*IF($G18,1,N(INDEX(Phasing!$I18:$AF18,((YEAR(AN$5)-YEAR($C18))*12+MONTH(AN$5)-MONTH($C18)+1))))/$F18))</f>
        <v>0</v>
      </c>
      <c r="AO18" s="38" t="n">
        <f aca="false">IF(OR($C18="",$D18="",$F18=0),0,IF(OR(AO$5&lt;=Projects!$C$2,((YEAR(AO$5)-YEAR($C18))*12+MONTH(AO$5)-MONTH($C18)+1)&lt;1,((YEAR(AO$5)-YEAR($C18))*12+MONTH(AO$5)-MONTH($C18)+1)&gt;$D18),0,$E18*IF($G18,1,N(INDEX(Phasing!$I18:$AF18,((YEAR(AO$5)-YEAR($C18))*12+MONTH(AO$5)-MONTH($C18)+1))))/$F18))</f>
        <v>0</v>
      </c>
      <c r="AP18" s="38" t="n">
        <f aca="false">IF(OR($C18="",$D18="",$F18=0),0,IF(OR(AP$5&lt;=Projects!$C$2,((YEAR(AP$5)-YEAR($C18))*12+MONTH(AP$5)-MONTH($C18)+1)&lt;1,((YEAR(AP$5)-YEAR($C18))*12+MONTH(AP$5)-MONTH($C18)+1)&gt;$D18),0,$E18*IF($G18,1,N(INDEX(Phasing!$I18:$AF18,((YEAR(AP$5)-YEAR($C18))*12+MONTH(AP$5)-MONTH($C18)+1))))/$F18))</f>
        <v>0</v>
      </c>
      <c r="AQ18" s="38" t="n">
        <f aca="false">IF(OR($C18="",$D18="",$F18=0),0,IF(OR(AQ$5&lt;=Projects!$C$2,((YEAR(AQ$5)-YEAR($C18))*12+MONTH(AQ$5)-MONTH($C18)+1)&lt;1,((YEAR(AQ$5)-YEAR($C18))*12+MONTH(AQ$5)-MONTH($C18)+1)&gt;$D18),0,$E18*IF($G18,1,N(INDEX(Phasing!$I18:$AF18,((YEAR(AQ$5)-YEAR($C18))*12+MONTH(AQ$5)-MONTH($C18)+1))))/$F18))</f>
        <v>0</v>
      </c>
    </row>
    <row r="19" customFormat="false" ht="15" hidden="false" customHeight="false" outlineLevel="0" collapsed="false">
      <c r="A19" s="11" t="n">
        <v>14</v>
      </c>
      <c r="B19" s="21" t="str">
        <f aca="false">IF(Projects!B19="","",Projects!B19)</f>
        <v/>
      </c>
      <c r="C19" s="31" t="str">
        <f aca="false">IF(Projects!D19="","",Projects!D19)</f>
        <v/>
      </c>
      <c r="D19" s="21" t="str">
        <f aca="false">IF(Projects!E19="","",Projects!E19)</f>
        <v/>
      </c>
      <c r="E19" s="33" t="n">
        <f aca="false">IF(Projects!B19="",0,N(Projects!I19))</f>
        <v>0</v>
      </c>
      <c r="F19" s="21" t="n">
        <f aca="false">Phasing!G19</f>
        <v>0</v>
      </c>
      <c r="G19" s="48" t="b">
        <f aca="false">Phasing!D19=0</f>
        <v>1</v>
      </c>
      <c r="H19" s="38" t="n">
        <f aca="false">IF(OR($C19="",$D19="",$F19=0),0,IF(OR(H$5&lt;=Projects!$C$2,((YEAR(H$5)-YEAR($C19))*12+MONTH(H$5)-MONTH($C19)+1)&lt;1,((YEAR(H$5)-YEAR($C19))*12+MONTH(H$5)-MONTH($C19)+1)&gt;$D19),0,$E19*IF($G19,1,N(INDEX(Phasing!$I19:$AF19,((YEAR(H$5)-YEAR($C19))*12+MONTH(H$5)-MONTH($C19)+1))))/$F19))</f>
        <v>0</v>
      </c>
      <c r="I19" s="38" t="n">
        <f aca="false">IF(OR($C19="",$D19="",$F19=0),0,IF(OR(I$5&lt;=Projects!$C$2,((YEAR(I$5)-YEAR($C19))*12+MONTH(I$5)-MONTH($C19)+1)&lt;1,((YEAR(I$5)-YEAR($C19))*12+MONTH(I$5)-MONTH($C19)+1)&gt;$D19),0,$E19*IF($G19,1,N(INDEX(Phasing!$I19:$AF19,((YEAR(I$5)-YEAR($C19))*12+MONTH(I$5)-MONTH($C19)+1))))/$F19))</f>
        <v>0</v>
      </c>
      <c r="J19" s="38" t="n">
        <f aca="false">IF(OR($C19="",$D19="",$F19=0),0,IF(OR(J$5&lt;=Projects!$C$2,((YEAR(J$5)-YEAR($C19))*12+MONTH(J$5)-MONTH($C19)+1)&lt;1,((YEAR(J$5)-YEAR($C19))*12+MONTH(J$5)-MONTH($C19)+1)&gt;$D19),0,$E19*IF($G19,1,N(INDEX(Phasing!$I19:$AF19,((YEAR(J$5)-YEAR($C19))*12+MONTH(J$5)-MONTH($C19)+1))))/$F19))</f>
        <v>0</v>
      </c>
      <c r="K19" s="38" t="n">
        <f aca="false">IF(OR($C19="",$D19="",$F19=0),0,IF(OR(K$5&lt;=Projects!$C$2,((YEAR(K$5)-YEAR($C19))*12+MONTH(K$5)-MONTH($C19)+1)&lt;1,((YEAR(K$5)-YEAR($C19))*12+MONTH(K$5)-MONTH($C19)+1)&gt;$D19),0,$E19*IF($G19,1,N(INDEX(Phasing!$I19:$AF19,((YEAR(K$5)-YEAR($C19))*12+MONTH(K$5)-MONTH($C19)+1))))/$F19))</f>
        <v>0</v>
      </c>
      <c r="L19" s="38" t="n">
        <f aca="false">IF(OR($C19="",$D19="",$F19=0),0,IF(OR(L$5&lt;=Projects!$C$2,((YEAR(L$5)-YEAR($C19))*12+MONTH(L$5)-MONTH($C19)+1)&lt;1,((YEAR(L$5)-YEAR($C19))*12+MONTH(L$5)-MONTH($C19)+1)&gt;$D19),0,$E19*IF($G19,1,N(INDEX(Phasing!$I19:$AF19,((YEAR(L$5)-YEAR($C19))*12+MONTH(L$5)-MONTH($C19)+1))))/$F19))</f>
        <v>0</v>
      </c>
      <c r="M19" s="38" t="n">
        <f aca="false">IF(OR($C19="",$D19="",$F19=0),0,IF(OR(M$5&lt;=Projects!$C$2,((YEAR(M$5)-YEAR($C19))*12+MONTH(M$5)-MONTH($C19)+1)&lt;1,((YEAR(M$5)-YEAR($C19))*12+MONTH(M$5)-MONTH($C19)+1)&gt;$D19),0,$E19*IF($G19,1,N(INDEX(Phasing!$I19:$AF19,((YEAR(M$5)-YEAR($C19))*12+MONTH(M$5)-MONTH($C19)+1))))/$F19))</f>
        <v>0</v>
      </c>
      <c r="N19" s="38" t="n">
        <f aca="false">IF(OR($C19="",$D19="",$F19=0),0,IF(OR(N$5&lt;=Projects!$C$2,((YEAR(N$5)-YEAR($C19))*12+MONTH(N$5)-MONTH($C19)+1)&lt;1,((YEAR(N$5)-YEAR($C19))*12+MONTH(N$5)-MONTH($C19)+1)&gt;$D19),0,$E19*IF($G19,1,N(INDEX(Phasing!$I19:$AF19,((YEAR(N$5)-YEAR($C19))*12+MONTH(N$5)-MONTH($C19)+1))))/$F19))</f>
        <v>0</v>
      </c>
      <c r="O19" s="38" t="n">
        <f aca="false">IF(OR($C19="",$D19="",$F19=0),0,IF(OR(O$5&lt;=Projects!$C$2,((YEAR(O$5)-YEAR($C19))*12+MONTH(O$5)-MONTH($C19)+1)&lt;1,((YEAR(O$5)-YEAR($C19))*12+MONTH(O$5)-MONTH($C19)+1)&gt;$D19),0,$E19*IF($G19,1,N(INDEX(Phasing!$I19:$AF19,((YEAR(O$5)-YEAR($C19))*12+MONTH(O$5)-MONTH($C19)+1))))/$F19))</f>
        <v>0</v>
      </c>
      <c r="P19" s="38" t="n">
        <f aca="false">IF(OR($C19="",$D19="",$F19=0),0,IF(OR(P$5&lt;=Projects!$C$2,((YEAR(P$5)-YEAR($C19))*12+MONTH(P$5)-MONTH($C19)+1)&lt;1,((YEAR(P$5)-YEAR($C19))*12+MONTH(P$5)-MONTH($C19)+1)&gt;$D19),0,$E19*IF($G19,1,N(INDEX(Phasing!$I19:$AF19,((YEAR(P$5)-YEAR($C19))*12+MONTH(P$5)-MONTH($C19)+1))))/$F19))</f>
        <v>0</v>
      </c>
      <c r="Q19" s="38" t="n">
        <f aca="false">IF(OR($C19="",$D19="",$F19=0),0,IF(OR(Q$5&lt;=Projects!$C$2,((YEAR(Q$5)-YEAR($C19))*12+MONTH(Q$5)-MONTH($C19)+1)&lt;1,((YEAR(Q$5)-YEAR($C19))*12+MONTH(Q$5)-MONTH($C19)+1)&gt;$D19),0,$E19*IF($G19,1,N(INDEX(Phasing!$I19:$AF19,((YEAR(Q$5)-YEAR($C19))*12+MONTH(Q$5)-MONTH($C19)+1))))/$F19))</f>
        <v>0</v>
      </c>
      <c r="R19" s="38" t="n">
        <f aca="false">IF(OR($C19="",$D19="",$F19=0),0,IF(OR(R$5&lt;=Projects!$C$2,((YEAR(R$5)-YEAR($C19))*12+MONTH(R$5)-MONTH($C19)+1)&lt;1,((YEAR(R$5)-YEAR($C19))*12+MONTH(R$5)-MONTH($C19)+1)&gt;$D19),0,$E19*IF($G19,1,N(INDEX(Phasing!$I19:$AF19,((YEAR(R$5)-YEAR($C19))*12+MONTH(R$5)-MONTH($C19)+1))))/$F19))</f>
        <v>0</v>
      </c>
      <c r="S19" s="38" t="n">
        <f aca="false">IF(OR($C19="",$D19="",$F19=0),0,IF(OR(S$5&lt;=Projects!$C$2,((YEAR(S$5)-YEAR($C19))*12+MONTH(S$5)-MONTH($C19)+1)&lt;1,((YEAR(S$5)-YEAR($C19))*12+MONTH(S$5)-MONTH($C19)+1)&gt;$D19),0,$E19*IF($G19,1,N(INDEX(Phasing!$I19:$AF19,((YEAR(S$5)-YEAR($C19))*12+MONTH(S$5)-MONTH($C19)+1))))/$F19))</f>
        <v>0</v>
      </c>
      <c r="T19" s="38" t="n">
        <f aca="false">IF(OR($C19="",$D19="",$F19=0),0,IF(OR(T$5&lt;=Projects!$C$2,((YEAR(T$5)-YEAR($C19))*12+MONTH(T$5)-MONTH($C19)+1)&lt;1,((YEAR(T$5)-YEAR($C19))*12+MONTH(T$5)-MONTH($C19)+1)&gt;$D19),0,$E19*IF($G19,1,N(INDEX(Phasing!$I19:$AF19,((YEAR(T$5)-YEAR($C19))*12+MONTH(T$5)-MONTH($C19)+1))))/$F19))</f>
        <v>0</v>
      </c>
      <c r="U19" s="38" t="n">
        <f aca="false">IF(OR($C19="",$D19="",$F19=0),0,IF(OR(U$5&lt;=Projects!$C$2,((YEAR(U$5)-YEAR($C19))*12+MONTH(U$5)-MONTH($C19)+1)&lt;1,((YEAR(U$5)-YEAR($C19))*12+MONTH(U$5)-MONTH($C19)+1)&gt;$D19),0,$E19*IF($G19,1,N(INDEX(Phasing!$I19:$AF19,((YEAR(U$5)-YEAR($C19))*12+MONTH(U$5)-MONTH($C19)+1))))/$F19))</f>
        <v>0</v>
      </c>
      <c r="V19" s="38" t="n">
        <f aca="false">IF(OR($C19="",$D19="",$F19=0),0,IF(OR(V$5&lt;=Projects!$C$2,((YEAR(V$5)-YEAR($C19))*12+MONTH(V$5)-MONTH($C19)+1)&lt;1,((YEAR(V$5)-YEAR($C19))*12+MONTH(V$5)-MONTH($C19)+1)&gt;$D19),0,$E19*IF($G19,1,N(INDEX(Phasing!$I19:$AF19,((YEAR(V$5)-YEAR($C19))*12+MONTH(V$5)-MONTH($C19)+1))))/$F19))</f>
        <v>0</v>
      </c>
      <c r="W19" s="38" t="n">
        <f aca="false">IF(OR($C19="",$D19="",$F19=0),0,IF(OR(W$5&lt;=Projects!$C$2,((YEAR(W$5)-YEAR($C19))*12+MONTH(W$5)-MONTH($C19)+1)&lt;1,((YEAR(W$5)-YEAR($C19))*12+MONTH(W$5)-MONTH($C19)+1)&gt;$D19),0,$E19*IF($G19,1,N(INDEX(Phasing!$I19:$AF19,((YEAR(W$5)-YEAR($C19))*12+MONTH(W$5)-MONTH($C19)+1))))/$F19))</f>
        <v>0</v>
      </c>
      <c r="X19" s="38" t="n">
        <f aca="false">IF(OR($C19="",$D19="",$F19=0),0,IF(OR(X$5&lt;=Projects!$C$2,((YEAR(X$5)-YEAR($C19))*12+MONTH(X$5)-MONTH($C19)+1)&lt;1,((YEAR(X$5)-YEAR($C19))*12+MONTH(X$5)-MONTH($C19)+1)&gt;$D19),0,$E19*IF($G19,1,N(INDEX(Phasing!$I19:$AF19,((YEAR(X$5)-YEAR($C19))*12+MONTH(X$5)-MONTH($C19)+1))))/$F19))</f>
        <v>0</v>
      </c>
      <c r="Y19" s="38" t="n">
        <f aca="false">IF(OR($C19="",$D19="",$F19=0),0,IF(OR(Y$5&lt;=Projects!$C$2,((YEAR(Y$5)-YEAR($C19))*12+MONTH(Y$5)-MONTH($C19)+1)&lt;1,((YEAR(Y$5)-YEAR($C19))*12+MONTH(Y$5)-MONTH($C19)+1)&gt;$D19),0,$E19*IF($G19,1,N(INDEX(Phasing!$I19:$AF19,((YEAR(Y$5)-YEAR($C19))*12+MONTH(Y$5)-MONTH($C19)+1))))/$F19))</f>
        <v>0</v>
      </c>
      <c r="Z19" s="38" t="n">
        <f aca="false">IF(OR($C19="",$D19="",$F19=0),0,IF(OR(Z$5&lt;=Projects!$C$2,((YEAR(Z$5)-YEAR($C19))*12+MONTH(Z$5)-MONTH($C19)+1)&lt;1,((YEAR(Z$5)-YEAR($C19))*12+MONTH(Z$5)-MONTH($C19)+1)&gt;$D19),0,$E19*IF($G19,1,N(INDEX(Phasing!$I19:$AF19,((YEAR(Z$5)-YEAR($C19))*12+MONTH(Z$5)-MONTH($C19)+1))))/$F19))</f>
        <v>0</v>
      </c>
      <c r="AA19" s="38" t="n">
        <f aca="false">IF(OR($C19="",$D19="",$F19=0),0,IF(OR(AA$5&lt;=Projects!$C$2,((YEAR(AA$5)-YEAR($C19))*12+MONTH(AA$5)-MONTH($C19)+1)&lt;1,((YEAR(AA$5)-YEAR($C19))*12+MONTH(AA$5)-MONTH($C19)+1)&gt;$D19),0,$E19*IF($G19,1,N(INDEX(Phasing!$I19:$AF19,((YEAR(AA$5)-YEAR($C19))*12+MONTH(AA$5)-MONTH($C19)+1))))/$F19))</f>
        <v>0</v>
      </c>
      <c r="AB19" s="38" t="n">
        <f aca="false">IF(OR($C19="",$D19="",$F19=0),0,IF(OR(AB$5&lt;=Projects!$C$2,((YEAR(AB$5)-YEAR($C19))*12+MONTH(AB$5)-MONTH($C19)+1)&lt;1,((YEAR(AB$5)-YEAR($C19))*12+MONTH(AB$5)-MONTH($C19)+1)&gt;$D19),0,$E19*IF($G19,1,N(INDEX(Phasing!$I19:$AF19,((YEAR(AB$5)-YEAR($C19))*12+MONTH(AB$5)-MONTH($C19)+1))))/$F19))</f>
        <v>0</v>
      </c>
      <c r="AC19" s="38" t="n">
        <f aca="false">IF(OR($C19="",$D19="",$F19=0),0,IF(OR(AC$5&lt;=Projects!$C$2,((YEAR(AC$5)-YEAR($C19))*12+MONTH(AC$5)-MONTH($C19)+1)&lt;1,((YEAR(AC$5)-YEAR($C19))*12+MONTH(AC$5)-MONTH($C19)+1)&gt;$D19),0,$E19*IF($G19,1,N(INDEX(Phasing!$I19:$AF19,((YEAR(AC$5)-YEAR($C19))*12+MONTH(AC$5)-MONTH($C19)+1))))/$F19))</f>
        <v>0</v>
      </c>
      <c r="AD19" s="38" t="n">
        <f aca="false">IF(OR($C19="",$D19="",$F19=0),0,IF(OR(AD$5&lt;=Projects!$C$2,((YEAR(AD$5)-YEAR($C19))*12+MONTH(AD$5)-MONTH($C19)+1)&lt;1,((YEAR(AD$5)-YEAR($C19))*12+MONTH(AD$5)-MONTH($C19)+1)&gt;$D19),0,$E19*IF($G19,1,N(INDEX(Phasing!$I19:$AF19,((YEAR(AD$5)-YEAR($C19))*12+MONTH(AD$5)-MONTH($C19)+1))))/$F19))</f>
        <v>0</v>
      </c>
      <c r="AE19" s="38" t="n">
        <f aca="false">IF(OR($C19="",$D19="",$F19=0),0,IF(OR(AE$5&lt;=Projects!$C$2,((YEAR(AE$5)-YEAR($C19))*12+MONTH(AE$5)-MONTH($C19)+1)&lt;1,((YEAR(AE$5)-YEAR($C19))*12+MONTH(AE$5)-MONTH($C19)+1)&gt;$D19),0,$E19*IF($G19,1,N(INDEX(Phasing!$I19:$AF19,((YEAR(AE$5)-YEAR($C19))*12+MONTH(AE$5)-MONTH($C19)+1))))/$F19))</f>
        <v>0</v>
      </c>
      <c r="AF19" s="38" t="n">
        <f aca="false">IF(OR($C19="",$D19="",$F19=0),0,IF(OR(AF$5&lt;=Projects!$C$2,((YEAR(AF$5)-YEAR($C19))*12+MONTH(AF$5)-MONTH($C19)+1)&lt;1,((YEAR(AF$5)-YEAR($C19))*12+MONTH(AF$5)-MONTH($C19)+1)&gt;$D19),0,$E19*IF($G19,1,N(INDEX(Phasing!$I19:$AF19,((YEAR(AF$5)-YEAR($C19))*12+MONTH(AF$5)-MONTH($C19)+1))))/$F19))</f>
        <v>0</v>
      </c>
      <c r="AG19" s="38" t="n">
        <f aca="false">IF(OR($C19="",$D19="",$F19=0),0,IF(OR(AG$5&lt;=Projects!$C$2,((YEAR(AG$5)-YEAR($C19))*12+MONTH(AG$5)-MONTH($C19)+1)&lt;1,((YEAR(AG$5)-YEAR($C19))*12+MONTH(AG$5)-MONTH($C19)+1)&gt;$D19),0,$E19*IF($G19,1,N(INDEX(Phasing!$I19:$AF19,((YEAR(AG$5)-YEAR($C19))*12+MONTH(AG$5)-MONTH($C19)+1))))/$F19))</f>
        <v>0</v>
      </c>
      <c r="AH19" s="38" t="n">
        <f aca="false">IF(OR($C19="",$D19="",$F19=0),0,IF(OR(AH$5&lt;=Projects!$C$2,((YEAR(AH$5)-YEAR($C19))*12+MONTH(AH$5)-MONTH($C19)+1)&lt;1,((YEAR(AH$5)-YEAR($C19))*12+MONTH(AH$5)-MONTH($C19)+1)&gt;$D19),0,$E19*IF($G19,1,N(INDEX(Phasing!$I19:$AF19,((YEAR(AH$5)-YEAR($C19))*12+MONTH(AH$5)-MONTH($C19)+1))))/$F19))</f>
        <v>0</v>
      </c>
      <c r="AI19" s="38" t="n">
        <f aca="false">IF(OR($C19="",$D19="",$F19=0),0,IF(OR(AI$5&lt;=Projects!$C$2,((YEAR(AI$5)-YEAR($C19))*12+MONTH(AI$5)-MONTH($C19)+1)&lt;1,((YEAR(AI$5)-YEAR($C19))*12+MONTH(AI$5)-MONTH($C19)+1)&gt;$D19),0,$E19*IF($G19,1,N(INDEX(Phasing!$I19:$AF19,((YEAR(AI$5)-YEAR($C19))*12+MONTH(AI$5)-MONTH($C19)+1))))/$F19))</f>
        <v>0</v>
      </c>
      <c r="AJ19" s="38" t="n">
        <f aca="false">IF(OR($C19="",$D19="",$F19=0),0,IF(OR(AJ$5&lt;=Projects!$C$2,((YEAR(AJ$5)-YEAR($C19))*12+MONTH(AJ$5)-MONTH($C19)+1)&lt;1,((YEAR(AJ$5)-YEAR($C19))*12+MONTH(AJ$5)-MONTH($C19)+1)&gt;$D19),0,$E19*IF($G19,1,N(INDEX(Phasing!$I19:$AF19,((YEAR(AJ$5)-YEAR($C19))*12+MONTH(AJ$5)-MONTH($C19)+1))))/$F19))</f>
        <v>0</v>
      </c>
      <c r="AK19" s="38" t="n">
        <f aca="false">IF(OR($C19="",$D19="",$F19=0),0,IF(OR(AK$5&lt;=Projects!$C$2,((YEAR(AK$5)-YEAR($C19))*12+MONTH(AK$5)-MONTH($C19)+1)&lt;1,((YEAR(AK$5)-YEAR($C19))*12+MONTH(AK$5)-MONTH($C19)+1)&gt;$D19),0,$E19*IF($G19,1,N(INDEX(Phasing!$I19:$AF19,((YEAR(AK$5)-YEAR($C19))*12+MONTH(AK$5)-MONTH($C19)+1))))/$F19))</f>
        <v>0</v>
      </c>
      <c r="AL19" s="38" t="n">
        <f aca="false">IF(OR($C19="",$D19="",$F19=0),0,IF(OR(AL$5&lt;=Projects!$C$2,((YEAR(AL$5)-YEAR($C19))*12+MONTH(AL$5)-MONTH($C19)+1)&lt;1,((YEAR(AL$5)-YEAR($C19))*12+MONTH(AL$5)-MONTH($C19)+1)&gt;$D19),0,$E19*IF($G19,1,N(INDEX(Phasing!$I19:$AF19,((YEAR(AL$5)-YEAR($C19))*12+MONTH(AL$5)-MONTH($C19)+1))))/$F19))</f>
        <v>0</v>
      </c>
      <c r="AM19" s="38" t="n">
        <f aca="false">IF(OR($C19="",$D19="",$F19=0),0,IF(OR(AM$5&lt;=Projects!$C$2,((YEAR(AM$5)-YEAR($C19))*12+MONTH(AM$5)-MONTH($C19)+1)&lt;1,((YEAR(AM$5)-YEAR($C19))*12+MONTH(AM$5)-MONTH($C19)+1)&gt;$D19),0,$E19*IF($G19,1,N(INDEX(Phasing!$I19:$AF19,((YEAR(AM$5)-YEAR($C19))*12+MONTH(AM$5)-MONTH($C19)+1))))/$F19))</f>
        <v>0</v>
      </c>
      <c r="AN19" s="38" t="n">
        <f aca="false">IF(OR($C19="",$D19="",$F19=0),0,IF(OR(AN$5&lt;=Projects!$C$2,((YEAR(AN$5)-YEAR($C19))*12+MONTH(AN$5)-MONTH($C19)+1)&lt;1,((YEAR(AN$5)-YEAR($C19))*12+MONTH(AN$5)-MONTH($C19)+1)&gt;$D19),0,$E19*IF($G19,1,N(INDEX(Phasing!$I19:$AF19,((YEAR(AN$5)-YEAR($C19))*12+MONTH(AN$5)-MONTH($C19)+1))))/$F19))</f>
        <v>0</v>
      </c>
      <c r="AO19" s="38" t="n">
        <f aca="false">IF(OR($C19="",$D19="",$F19=0),0,IF(OR(AO$5&lt;=Projects!$C$2,((YEAR(AO$5)-YEAR($C19))*12+MONTH(AO$5)-MONTH($C19)+1)&lt;1,((YEAR(AO$5)-YEAR($C19))*12+MONTH(AO$5)-MONTH($C19)+1)&gt;$D19),0,$E19*IF($G19,1,N(INDEX(Phasing!$I19:$AF19,((YEAR(AO$5)-YEAR($C19))*12+MONTH(AO$5)-MONTH($C19)+1))))/$F19))</f>
        <v>0</v>
      </c>
      <c r="AP19" s="38" t="n">
        <f aca="false">IF(OR($C19="",$D19="",$F19=0),0,IF(OR(AP$5&lt;=Projects!$C$2,((YEAR(AP$5)-YEAR($C19))*12+MONTH(AP$5)-MONTH($C19)+1)&lt;1,((YEAR(AP$5)-YEAR($C19))*12+MONTH(AP$5)-MONTH($C19)+1)&gt;$D19),0,$E19*IF($G19,1,N(INDEX(Phasing!$I19:$AF19,((YEAR(AP$5)-YEAR($C19))*12+MONTH(AP$5)-MONTH($C19)+1))))/$F19))</f>
        <v>0</v>
      </c>
      <c r="AQ19" s="38" t="n">
        <f aca="false">IF(OR($C19="",$D19="",$F19=0),0,IF(OR(AQ$5&lt;=Projects!$C$2,((YEAR(AQ$5)-YEAR($C19))*12+MONTH(AQ$5)-MONTH($C19)+1)&lt;1,((YEAR(AQ$5)-YEAR($C19))*12+MONTH(AQ$5)-MONTH($C19)+1)&gt;$D19),0,$E19*IF($G19,1,N(INDEX(Phasing!$I19:$AF19,((YEAR(AQ$5)-YEAR($C19))*12+MONTH(AQ$5)-MONTH($C19)+1))))/$F19))</f>
        <v>0</v>
      </c>
    </row>
    <row r="20" customFormat="false" ht="15" hidden="false" customHeight="false" outlineLevel="0" collapsed="false">
      <c r="A20" s="11" t="n">
        <v>15</v>
      </c>
      <c r="B20" s="21" t="str">
        <f aca="false">IF(Projects!B20="","",Projects!B20)</f>
        <v/>
      </c>
      <c r="C20" s="31" t="str">
        <f aca="false">IF(Projects!D20="","",Projects!D20)</f>
        <v/>
      </c>
      <c r="D20" s="21" t="str">
        <f aca="false">IF(Projects!E20="","",Projects!E20)</f>
        <v/>
      </c>
      <c r="E20" s="33" t="n">
        <f aca="false">IF(Projects!B20="",0,N(Projects!I20))</f>
        <v>0</v>
      </c>
      <c r="F20" s="21" t="n">
        <f aca="false">Phasing!G20</f>
        <v>0</v>
      </c>
      <c r="G20" s="48" t="b">
        <f aca="false">Phasing!D20=0</f>
        <v>1</v>
      </c>
      <c r="H20" s="38" t="n">
        <f aca="false">IF(OR($C20="",$D20="",$F20=0),0,IF(OR(H$5&lt;=Projects!$C$2,((YEAR(H$5)-YEAR($C20))*12+MONTH(H$5)-MONTH($C20)+1)&lt;1,((YEAR(H$5)-YEAR($C20))*12+MONTH(H$5)-MONTH($C20)+1)&gt;$D20),0,$E20*IF($G20,1,N(INDEX(Phasing!$I20:$AF20,((YEAR(H$5)-YEAR($C20))*12+MONTH(H$5)-MONTH($C20)+1))))/$F20))</f>
        <v>0</v>
      </c>
      <c r="I20" s="38" t="n">
        <f aca="false">IF(OR($C20="",$D20="",$F20=0),0,IF(OR(I$5&lt;=Projects!$C$2,((YEAR(I$5)-YEAR($C20))*12+MONTH(I$5)-MONTH($C20)+1)&lt;1,((YEAR(I$5)-YEAR($C20))*12+MONTH(I$5)-MONTH($C20)+1)&gt;$D20),0,$E20*IF($G20,1,N(INDEX(Phasing!$I20:$AF20,((YEAR(I$5)-YEAR($C20))*12+MONTH(I$5)-MONTH($C20)+1))))/$F20))</f>
        <v>0</v>
      </c>
      <c r="J20" s="38" t="n">
        <f aca="false">IF(OR($C20="",$D20="",$F20=0),0,IF(OR(J$5&lt;=Projects!$C$2,((YEAR(J$5)-YEAR($C20))*12+MONTH(J$5)-MONTH($C20)+1)&lt;1,((YEAR(J$5)-YEAR($C20))*12+MONTH(J$5)-MONTH($C20)+1)&gt;$D20),0,$E20*IF($G20,1,N(INDEX(Phasing!$I20:$AF20,((YEAR(J$5)-YEAR($C20))*12+MONTH(J$5)-MONTH($C20)+1))))/$F20))</f>
        <v>0</v>
      </c>
      <c r="K20" s="38" t="n">
        <f aca="false">IF(OR($C20="",$D20="",$F20=0),0,IF(OR(K$5&lt;=Projects!$C$2,((YEAR(K$5)-YEAR($C20))*12+MONTH(K$5)-MONTH($C20)+1)&lt;1,((YEAR(K$5)-YEAR($C20))*12+MONTH(K$5)-MONTH($C20)+1)&gt;$D20),0,$E20*IF($G20,1,N(INDEX(Phasing!$I20:$AF20,((YEAR(K$5)-YEAR($C20))*12+MONTH(K$5)-MONTH($C20)+1))))/$F20))</f>
        <v>0</v>
      </c>
      <c r="L20" s="38" t="n">
        <f aca="false">IF(OR($C20="",$D20="",$F20=0),0,IF(OR(L$5&lt;=Projects!$C$2,((YEAR(L$5)-YEAR($C20))*12+MONTH(L$5)-MONTH($C20)+1)&lt;1,((YEAR(L$5)-YEAR($C20))*12+MONTH(L$5)-MONTH($C20)+1)&gt;$D20),0,$E20*IF($G20,1,N(INDEX(Phasing!$I20:$AF20,((YEAR(L$5)-YEAR($C20))*12+MONTH(L$5)-MONTH($C20)+1))))/$F20))</f>
        <v>0</v>
      </c>
      <c r="M20" s="38" t="n">
        <f aca="false">IF(OR($C20="",$D20="",$F20=0),0,IF(OR(M$5&lt;=Projects!$C$2,((YEAR(M$5)-YEAR($C20))*12+MONTH(M$5)-MONTH($C20)+1)&lt;1,((YEAR(M$5)-YEAR($C20))*12+MONTH(M$5)-MONTH($C20)+1)&gt;$D20),0,$E20*IF($G20,1,N(INDEX(Phasing!$I20:$AF20,((YEAR(M$5)-YEAR($C20))*12+MONTH(M$5)-MONTH($C20)+1))))/$F20))</f>
        <v>0</v>
      </c>
      <c r="N20" s="38" t="n">
        <f aca="false">IF(OR($C20="",$D20="",$F20=0),0,IF(OR(N$5&lt;=Projects!$C$2,((YEAR(N$5)-YEAR($C20))*12+MONTH(N$5)-MONTH($C20)+1)&lt;1,((YEAR(N$5)-YEAR($C20))*12+MONTH(N$5)-MONTH($C20)+1)&gt;$D20),0,$E20*IF($G20,1,N(INDEX(Phasing!$I20:$AF20,((YEAR(N$5)-YEAR($C20))*12+MONTH(N$5)-MONTH($C20)+1))))/$F20))</f>
        <v>0</v>
      </c>
      <c r="O20" s="38" t="n">
        <f aca="false">IF(OR($C20="",$D20="",$F20=0),0,IF(OR(O$5&lt;=Projects!$C$2,((YEAR(O$5)-YEAR($C20))*12+MONTH(O$5)-MONTH($C20)+1)&lt;1,((YEAR(O$5)-YEAR($C20))*12+MONTH(O$5)-MONTH($C20)+1)&gt;$D20),0,$E20*IF($G20,1,N(INDEX(Phasing!$I20:$AF20,((YEAR(O$5)-YEAR($C20))*12+MONTH(O$5)-MONTH($C20)+1))))/$F20))</f>
        <v>0</v>
      </c>
      <c r="P20" s="38" t="n">
        <f aca="false">IF(OR($C20="",$D20="",$F20=0),0,IF(OR(P$5&lt;=Projects!$C$2,((YEAR(P$5)-YEAR($C20))*12+MONTH(P$5)-MONTH($C20)+1)&lt;1,((YEAR(P$5)-YEAR($C20))*12+MONTH(P$5)-MONTH($C20)+1)&gt;$D20),0,$E20*IF($G20,1,N(INDEX(Phasing!$I20:$AF20,((YEAR(P$5)-YEAR($C20))*12+MONTH(P$5)-MONTH($C20)+1))))/$F20))</f>
        <v>0</v>
      </c>
      <c r="Q20" s="38" t="n">
        <f aca="false">IF(OR($C20="",$D20="",$F20=0),0,IF(OR(Q$5&lt;=Projects!$C$2,((YEAR(Q$5)-YEAR($C20))*12+MONTH(Q$5)-MONTH($C20)+1)&lt;1,((YEAR(Q$5)-YEAR($C20))*12+MONTH(Q$5)-MONTH($C20)+1)&gt;$D20),0,$E20*IF($G20,1,N(INDEX(Phasing!$I20:$AF20,((YEAR(Q$5)-YEAR($C20))*12+MONTH(Q$5)-MONTH($C20)+1))))/$F20))</f>
        <v>0</v>
      </c>
      <c r="R20" s="38" t="n">
        <f aca="false">IF(OR($C20="",$D20="",$F20=0),0,IF(OR(R$5&lt;=Projects!$C$2,((YEAR(R$5)-YEAR($C20))*12+MONTH(R$5)-MONTH($C20)+1)&lt;1,((YEAR(R$5)-YEAR($C20))*12+MONTH(R$5)-MONTH($C20)+1)&gt;$D20),0,$E20*IF($G20,1,N(INDEX(Phasing!$I20:$AF20,((YEAR(R$5)-YEAR($C20))*12+MONTH(R$5)-MONTH($C20)+1))))/$F20))</f>
        <v>0</v>
      </c>
      <c r="S20" s="38" t="n">
        <f aca="false">IF(OR($C20="",$D20="",$F20=0),0,IF(OR(S$5&lt;=Projects!$C$2,((YEAR(S$5)-YEAR($C20))*12+MONTH(S$5)-MONTH($C20)+1)&lt;1,((YEAR(S$5)-YEAR($C20))*12+MONTH(S$5)-MONTH($C20)+1)&gt;$D20),0,$E20*IF($G20,1,N(INDEX(Phasing!$I20:$AF20,((YEAR(S$5)-YEAR($C20))*12+MONTH(S$5)-MONTH($C20)+1))))/$F20))</f>
        <v>0</v>
      </c>
      <c r="T20" s="38" t="n">
        <f aca="false">IF(OR($C20="",$D20="",$F20=0),0,IF(OR(T$5&lt;=Projects!$C$2,((YEAR(T$5)-YEAR($C20))*12+MONTH(T$5)-MONTH($C20)+1)&lt;1,((YEAR(T$5)-YEAR($C20))*12+MONTH(T$5)-MONTH($C20)+1)&gt;$D20),0,$E20*IF($G20,1,N(INDEX(Phasing!$I20:$AF20,((YEAR(T$5)-YEAR($C20))*12+MONTH(T$5)-MONTH($C20)+1))))/$F20))</f>
        <v>0</v>
      </c>
      <c r="U20" s="38" t="n">
        <f aca="false">IF(OR($C20="",$D20="",$F20=0),0,IF(OR(U$5&lt;=Projects!$C$2,((YEAR(U$5)-YEAR($C20))*12+MONTH(U$5)-MONTH($C20)+1)&lt;1,((YEAR(U$5)-YEAR($C20))*12+MONTH(U$5)-MONTH($C20)+1)&gt;$D20),0,$E20*IF($G20,1,N(INDEX(Phasing!$I20:$AF20,((YEAR(U$5)-YEAR($C20))*12+MONTH(U$5)-MONTH($C20)+1))))/$F20))</f>
        <v>0</v>
      </c>
      <c r="V20" s="38" t="n">
        <f aca="false">IF(OR($C20="",$D20="",$F20=0),0,IF(OR(V$5&lt;=Projects!$C$2,((YEAR(V$5)-YEAR($C20))*12+MONTH(V$5)-MONTH($C20)+1)&lt;1,((YEAR(V$5)-YEAR($C20))*12+MONTH(V$5)-MONTH($C20)+1)&gt;$D20),0,$E20*IF($G20,1,N(INDEX(Phasing!$I20:$AF20,((YEAR(V$5)-YEAR($C20))*12+MONTH(V$5)-MONTH($C20)+1))))/$F20))</f>
        <v>0</v>
      </c>
      <c r="W20" s="38" t="n">
        <f aca="false">IF(OR($C20="",$D20="",$F20=0),0,IF(OR(W$5&lt;=Projects!$C$2,((YEAR(W$5)-YEAR($C20))*12+MONTH(W$5)-MONTH($C20)+1)&lt;1,((YEAR(W$5)-YEAR($C20))*12+MONTH(W$5)-MONTH($C20)+1)&gt;$D20),0,$E20*IF($G20,1,N(INDEX(Phasing!$I20:$AF20,((YEAR(W$5)-YEAR($C20))*12+MONTH(W$5)-MONTH($C20)+1))))/$F20))</f>
        <v>0</v>
      </c>
      <c r="X20" s="38" t="n">
        <f aca="false">IF(OR($C20="",$D20="",$F20=0),0,IF(OR(X$5&lt;=Projects!$C$2,((YEAR(X$5)-YEAR($C20))*12+MONTH(X$5)-MONTH($C20)+1)&lt;1,((YEAR(X$5)-YEAR($C20))*12+MONTH(X$5)-MONTH($C20)+1)&gt;$D20),0,$E20*IF($G20,1,N(INDEX(Phasing!$I20:$AF20,((YEAR(X$5)-YEAR($C20))*12+MONTH(X$5)-MONTH($C20)+1))))/$F20))</f>
        <v>0</v>
      </c>
      <c r="Y20" s="38" t="n">
        <f aca="false">IF(OR($C20="",$D20="",$F20=0),0,IF(OR(Y$5&lt;=Projects!$C$2,((YEAR(Y$5)-YEAR($C20))*12+MONTH(Y$5)-MONTH($C20)+1)&lt;1,((YEAR(Y$5)-YEAR($C20))*12+MONTH(Y$5)-MONTH($C20)+1)&gt;$D20),0,$E20*IF($G20,1,N(INDEX(Phasing!$I20:$AF20,((YEAR(Y$5)-YEAR($C20))*12+MONTH(Y$5)-MONTH($C20)+1))))/$F20))</f>
        <v>0</v>
      </c>
      <c r="Z20" s="38" t="n">
        <f aca="false">IF(OR($C20="",$D20="",$F20=0),0,IF(OR(Z$5&lt;=Projects!$C$2,((YEAR(Z$5)-YEAR($C20))*12+MONTH(Z$5)-MONTH($C20)+1)&lt;1,((YEAR(Z$5)-YEAR($C20))*12+MONTH(Z$5)-MONTH($C20)+1)&gt;$D20),0,$E20*IF($G20,1,N(INDEX(Phasing!$I20:$AF20,((YEAR(Z$5)-YEAR($C20))*12+MONTH(Z$5)-MONTH($C20)+1))))/$F20))</f>
        <v>0</v>
      </c>
      <c r="AA20" s="38" t="n">
        <f aca="false">IF(OR($C20="",$D20="",$F20=0),0,IF(OR(AA$5&lt;=Projects!$C$2,((YEAR(AA$5)-YEAR($C20))*12+MONTH(AA$5)-MONTH($C20)+1)&lt;1,((YEAR(AA$5)-YEAR($C20))*12+MONTH(AA$5)-MONTH($C20)+1)&gt;$D20),0,$E20*IF($G20,1,N(INDEX(Phasing!$I20:$AF20,((YEAR(AA$5)-YEAR($C20))*12+MONTH(AA$5)-MONTH($C20)+1))))/$F20))</f>
        <v>0</v>
      </c>
      <c r="AB20" s="38" t="n">
        <f aca="false">IF(OR($C20="",$D20="",$F20=0),0,IF(OR(AB$5&lt;=Projects!$C$2,((YEAR(AB$5)-YEAR($C20))*12+MONTH(AB$5)-MONTH($C20)+1)&lt;1,((YEAR(AB$5)-YEAR($C20))*12+MONTH(AB$5)-MONTH($C20)+1)&gt;$D20),0,$E20*IF($G20,1,N(INDEX(Phasing!$I20:$AF20,((YEAR(AB$5)-YEAR($C20))*12+MONTH(AB$5)-MONTH($C20)+1))))/$F20))</f>
        <v>0</v>
      </c>
      <c r="AC20" s="38" t="n">
        <f aca="false">IF(OR($C20="",$D20="",$F20=0),0,IF(OR(AC$5&lt;=Projects!$C$2,((YEAR(AC$5)-YEAR($C20))*12+MONTH(AC$5)-MONTH($C20)+1)&lt;1,((YEAR(AC$5)-YEAR($C20))*12+MONTH(AC$5)-MONTH($C20)+1)&gt;$D20),0,$E20*IF($G20,1,N(INDEX(Phasing!$I20:$AF20,((YEAR(AC$5)-YEAR($C20))*12+MONTH(AC$5)-MONTH($C20)+1))))/$F20))</f>
        <v>0</v>
      </c>
      <c r="AD20" s="38" t="n">
        <f aca="false">IF(OR($C20="",$D20="",$F20=0),0,IF(OR(AD$5&lt;=Projects!$C$2,((YEAR(AD$5)-YEAR($C20))*12+MONTH(AD$5)-MONTH($C20)+1)&lt;1,((YEAR(AD$5)-YEAR($C20))*12+MONTH(AD$5)-MONTH($C20)+1)&gt;$D20),0,$E20*IF($G20,1,N(INDEX(Phasing!$I20:$AF20,((YEAR(AD$5)-YEAR($C20))*12+MONTH(AD$5)-MONTH($C20)+1))))/$F20))</f>
        <v>0</v>
      </c>
      <c r="AE20" s="38" t="n">
        <f aca="false">IF(OR($C20="",$D20="",$F20=0),0,IF(OR(AE$5&lt;=Projects!$C$2,((YEAR(AE$5)-YEAR($C20))*12+MONTH(AE$5)-MONTH($C20)+1)&lt;1,((YEAR(AE$5)-YEAR($C20))*12+MONTH(AE$5)-MONTH($C20)+1)&gt;$D20),0,$E20*IF($G20,1,N(INDEX(Phasing!$I20:$AF20,((YEAR(AE$5)-YEAR($C20))*12+MONTH(AE$5)-MONTH($C20)+1))))/$F20))</f>
        <v>0</v>
      </c>
      <c r="AF20" s="38" t="n">
        <f aca="false">IF(OR($C20="",$D20="",$F20=0),0,IF(OR(AF$5&lt;=Projects!$C$2,((YEAR(AF$5)-YEAR($C20))*12+MONTH(AF$5)-MONTH($C20)+1)&lt;1,((YEAR(AF$5)-YEAR($C20))*12+MONTH(AF$5)-MONTH($C20)+1)&gt;$D20),0,$E20*IF($G20,1,N(INDEX(Phasing!$I20:$AF20,((YEAR(AF$5)-YEAR($C20))*12+MONTH(AF$5)-MONTH($C20)+1))))/$F20))</f>
        <v>0</v>
      </c>
      <c r="AG20" s="38" t="n">
        <f aca="false">IF(OR($C20="",$D20="",$F20=0),0,IF(OR(AG$5&lt;=Projects!$C$2,((YEAR(AG$5)-YEAR($C20))*12+MONTH(AG$5)-MONTH($C20)+1)&lt;1,((YEAR(AG$5)-YEAR($C20))*12+MONTH(AG$5)-MONTH($C20)+1)&gt;$D20),0,$E20*IF($G20,1,N(INDEX(Phasing!$I20:$AF20,((YEAR(AG$5)-YEAR($C20))*12+MONTH(AG$5)-MONTH($C20)+1))))/$F20))</f>
        <v>0</v>
      </c>
      <c r="AH20" s="38" t="n">
        <f aca="false">IF(OR($C20="",$D20="",$F20=0),0,IF(OR(AH$5&lt;=Projects!$C$2,((YEAR(AH$5)-YEAR($C20))*12+MONTH(AH$5)-MONTH($C20)+1)&lt;1,((YEAR(AH$5)-YEAR($C20))*12+MONTH(AH$5)-MONTH($C20)+1)&gt;$D20),0,$E20*IF($G20,1,N(INDEX(Phasing!$I20:$AF20,((YEAR(AH$5)-YEAR($C20))*12+MONTH(AH$5)-MONTH($C20)+1))))/$F20))</f>
        <v>0</v>
      </c>
      <c r="AI20" s="38" t="n">
        <f aca="false">IF(OR($C20="",$D20="",$F20=0),0,IF(OR(AI$5&lt;=Projects!$C$2,((YEAR(AI$5)-YEAR($C20))*12+MONTH(AI$5)-MONTH($C20)+1)&lt;1,((YEAR(AI$5)-YEAR($C20))*12+MONTH(AI$5)-MONTH($C20)+1)&gt;$D20),0,$E20*IF($G20,1,N(INDEX(Phasing!$I20:$AF20,((YEAR(AI$5)-YEAR($C20))*12+MONTH(AI$5)-MONTH($C20)+1))))/$F20))</f>
        <v>0</v>
      </c>
      <c r="AJ20" s="38" t="n">
        <f aca="false">IF(OR($C20="",$D20="",$F20=0),0,IF(OR(AJ$5&lt;=Projects!$C$2,((YEAR(AJ$5)-YEAR($C20))*12+MONTH(AJ$5)-MONTH($C20)+1)&lt;1,((YEAR(AJ$5)-YEAR($C20))*12+MONTH(AJ$5)-MONTH($C20)+1)&gt;$D20),0,$E20*IF($G20,1,N(INDEX(Phasing!$I20:$AF20,((YEAR(AJ$5)-YEAR($C20))*12+MONTH(AJ$5)-MONTH($C20)+1))))/$F20))</f>
        <v>0</v>
      </c>
      <c r="AK20" s="38" t="n">
        <f aca="false">IF(OR($C20="",$D20="",$F20=0),0,IF(OR(AK$5&lt;=Projects!$C$2,((YEAR(AK$5)-YEAR($C20))*12+MONTH(AK$5)-MONTH($C20)+1)&lt;1,((YEAR(AK$5)-YEAR($C20))*12+MONTH(AK$5)-MONTH($C20)+1)&gt;$D20),0,$E20*IF($G20,1,N(INDEX(Phasing!$I20:$AF20,((YEAR(AK$5)-YEAR($C20))*12+MONTH(AK$5)-MONTH($C20)+1))))/$F20))</f>
        <v>0</v>
      </c>
      <c r="AL20" s="38" t="n">
        <f aca="false">IF(OR($C20="",$D20="",$F20=0),0,IF(OR(AL$5&lt;=Projects!$C$2,((YEAR(AL$5)-YEAR($C20))*12+MONTH(AL$5)-MONTH($C20)+1)&lt;1,((YEAR(AL$5)-YEAR($C20))*12+MONTH(AL$5)-MONTH($C20)+1)&gt;$D20),0,$E20*IF($G20,1,N(INDEX(Phasing!$I20:$AF20,((YEAR(AL$5)-YEAR($C20))*12+MONTH(AL$5)-MONTH($C20)+1))))/$F20))</f>
        <v>0</v>
      </c>
      <c r="AM20" s="38" t="n">
        <f aca="false">IF(OR($C20="",$D20="",$F20=0),0,IF(OR(AM$5&lt;=Projects!$C$2,((YEAR(AM$5)-YEAR($C20))*12+MONTH(AM$5)-MONTH($C20)+1)&lt;1,((YEAR(AM$5)-YEAR($C20))*12+MONTH(AM$5)-MONTH($C20)+1)&gt;$D20),0,$E20*IF($G20,1,N(INDEX(Phasing!$I20:$AF20,((YEAR(AM$5)-YEAR($C20))*12+MONTH(AM$5)-MONTH($C20)+1))))/$F20))</f>
        <v>0</v>
      </c>
      <c r="AN20" s="38" t="n">
        <f aca="false">IF(OR($C20="",$D20="",$F20=0),0,IF(OR(AN$5&lt;=Projects!$C$2,((YEAR(AN$5)-YEAR($C20))*12+MONTH(AN$5)-MONTH($C20)+1)&lt;1,((YEAR(AN$5)-YEAR($C20))*12+MONTH(AN$5)-MONTH($C20)+1)&gt;$D20),0,$E20*IF($G20,1,N(INDEX(Phasing!$I20:$AF20,((YEAR(AN$5)-YEAR($C20))*12+MONTH(AN$5)-MONTH($C20)+1))))/$F20))</f>
        <v>0</v>
      </c>
      <c r="AO20" s="38" t="n">
        <f aca="false">IF(OR($C20="",$D20="",$F20=0),0,IF(OR(AO$5&lt;=Projects!$C$2,((YEAR(AO$5)-YEAR($C20))*12+MONTH(AO$5)-MONTH($C20)+1)&lt;1,((YEAR(AO$5)-YEAR($C20))*12+MONTH(AO$5)-MONTH($C20)+1)&gt;$D20),0,$E20*IF($G20,1,N(INDEX(Phasing!$I20:$AF20,((YEAR(AO$5)-YEAR($C20))*12+MONTH(AO$5)-MONTH($C20)+1))))/$F20))</f>
        <v>0</v>
      </c>
      <c r="AP20" s="38" t="n">
        <f aca="false">IF(OR($C20="",$D20="",$F20=0),0,IF(OR(AP$5&lt;=Projects!$C$2,((YEAR(AP$5)-YEAR($C20))*12+MONTH(AP$5)-MONTH($C20)+1)&lt;1,((YEAR(AP$5)-YEAR($C20))*12+MONTH(AP$5)-MONTH($C20)+1)&gt;$D20),0,$E20*IF($G20,1,N(INDEX(Phasing!$I20:$AF20,((YEAR(AP$5)-YEAR($C20))*12+MONTH(AP$5)-MONTH($C20)+1))))/$F20))</f>
        <v>0</v>
      </c>
      <c r="AQ20" s="38" t="n">
        <f aca="false">IF(OR($C20="",$D20="",$F20=0),0,IF(OR(AQ$5&lt;=Projects!$C$2,((YEAR(AQ$5)-YEAR($C20))*12+MONTH(AQ$5)-MONTH($C20)+1)&lt;1,((YEAR(AQ$5)-YEAR($C20))*12+MONTH(AQ$5)-MONTH($C20)+1)&gt;$D20),0,$E20*IF($G20,1,N(INDEX(Phasing!$I20:$AF20,((YEAR(AQ$5)-YEAR($C20))*12+MONTH(AQ$5)-MONTH($C20)+1))))/$F20))</f>
        <v>0</v>
      </c>
    </row>
    <row r="21" customFormat="false" ht="15" hidden="false" customHeight="false" outlineLevel="0" collapsed="false">
      <c r="A21" s="11" t="n">
        <v>16</v>
      </c>
      <c r="B21" s="21" t="str">
        <f aca="false">IF(Projects!B21="","",Projects!B21)</f>
        <v/>
      </c>
      <c r="C21" s="31" t="str">
        <f aca="false">IF(Projects!D21="","",Projects!D21)</f>
        <v/>
      </c>
      <c r="D21" s="21" t="str">
        <f aca="false">IF(Projects!E21="","",Projects!E21)</f>
        <v/>
      </c>
      <c r="E21" s="33" t="n">
        <f aca="false">IF(Projects!B21="",0,N(Projects!I21))</f>
        <v>0</v>
      </c>
      <c r="F21" s="21" t="n">
        <f aca="false">Phasing!G21</f>
        <v>0</v>
      </c>
      <c r="G21" s="48" t="b">
        <f aca="false">Phasing!D21=0</f>
        <v>1</v>
      </c>
      <c r="H21" s="38" t="n">
        <f aca="false">IF(OR($C21="",$D21="",$F21=0),0,IF(OR(H$5&lt;=Projects!$C$2,((YEAR(H$5)-YEAR($C21))*12+MONTH(H$5)-MONTH($C21)+1)&lt;1,((YEAR(H$5)-YEAR($C21))*12+MONTH(H$5)-MONTH($C21)+1)&gt;$D21),0,$E21*IF($G21,1,N(INDEX(Phasing!$I21:$AF21,((YEAR(H$5)-YEAR($C21))*12+MONTH(H$5)-MONTH($C21)+1))))/$F21))</f>
        <v>0</v>
      </c>
      <c r="I21" s="38" t="n">
        <f aca="false">IF(OR($C21="",$D21="",$F21=0),0,IF(OR(I$5&lt;=Projects!$C$2,((YEAR(I$5)-YEAR($C21))*12+MONTH(I$5)-MONTH($C21)+1)&lt;1,((YEAR(I$5)-YEAR($C21))*12+MONTH(I$5)-MONTH($C21)+1)&gt;$D21),0,$E21*IF($G21,1,N(INDEX(Phasing!$I21:$AF21,((YEAR(I$5)-YEAR($C21))*12+MONTH(I$5)-MONTH($C21)+1))))/$F21))</f>
        <v>0</v>
      </c>
      <c r="J21" s="38" t="n">
        <f aca="false">IF(OR($C21="",$D21="",$F21=0),0,IF(OR(J$5&lt;=Projects!$C$2,((YEAR(J$5)-YEAR($C21))*12+MONTH(J$5)-MONTH($C21)+1)&lt;1,((YEAR(J$5)-YEAR($C21))*12+MONTH(J$5)-MONTH($C21)+1)&gt;$D21),0,$E21*IF($G21,1,N(INDEX(Phasing!$I21:$AF21,((YEAR(J$5)-YEAR($C21))*12+MONTH(J$5)-MONTH($C21)+1))))/$F21))</f>
        <v>0</v>
      </c>
      <c r="K21" s="38" t="n">
        <f aca="false">IF(OR($C21="",$D21="",$F21=0),0,IF(OR(K$5&lt;=Projects!$C$2,((YEAR(K$5)-YEAR($C21))*12+MONTH(K$5)-MONTH($C21)+1)&lt;1,((YEAR(K$5)-YEAR($C21))*12+MONTH(K$5)-MONTH($C21)+1)&gt;$D21),0,$E21*IF($G21,1,N(INDEX(Phasing!$I21:$AF21,((YEAR(K$5)-YEAR($C21))*12+MONTH(K$5)-MONTH($C21)+1))))/$F21))</f>
        <v>0</v>
      </c>
      <c r="L21" s="38" t="n">
        <f aca="false">IF(OR($C21="",$D21="",$F21=0),0,IF(OR(L$5&lt;=Projects!$C$2,((YEAR(L$5)-YEAR($C21))*12+MONTH(L$5)-MONTH($C21)+1)&lt;1,((YEAR(L$5)-YEAR($C21))*12+MONTH(L$5)-MONTH($C21)+1)&gt;$D21),0,$E21*IF($G21,1,N(INDEX(Phasing!$I21:$AF21,((YEAR(L$5)-YEAR($C21))*12+MONTH(L$5)-MONTH($C21)+1))))/$F21))</f>
        <v>0</v>
      </c>
      <c r="M21" s="38" t="n">
        <f aca="false">IF(OR($C21="",$D21="",$F21=0),0,IF(OR(M$5&lt;=Projects!$C$2,((YEAR(M$5)-YEAR($C21))*12+MONTH(M$5)-MONTH($C21)+1)&lt;1,((YEAR(M$5)-YEAR($C21))*12+MONTH(M$5)-MONTH($C21)+1)&gt;$D21),0,$E21*IF($G21,1,N(INDEX(Phasing!$I21:$AF21,((YEAR(M$5)-YEAR($C21))*12+MONTH(M$5)-MONTH($C21)+1))))/$F21))</f>
        <v>0</v>
      </c>
      <c r="N21" s="38" t="n">
        <f aca="false">IF(OR($C21="",$D21="",$F21=0),0,IF(OR(N$5&lt;=Projects!$C$2,((YEAR(N$5)-YEAR($C21))*12+MONTH(N$5)-MONTH($C21)+1)&lt;1,((YEAR(N$5)-YEAR($C21))*12+MONTH(N$5)-MONTH($C21)+1)&gt;$D21),0,$E21*IF($G21,1,N(INDEX(Phasing!$I21:$AF21,((YEAR(N$5)-YEAR($C21))*12+MONTH(N$5)-MONTH($C21)+1))))/$F21))</f>
        <v>0</v>
      </c>
      <c r="O21" s="38" t="n">
        <f aca="false">IF(OR($C21="",$D21="",$F21=0),0,IF(OR(O$5&lt;=Projects!$C$2,((YEAR(O$5)-YEAR($C21))*12+MONTH(O$5)-MONTH($C21)+1)&lt;1,((YEAR(O$5)-YEAR($C21))*12+MONTH(O$5)-MONTH($C21)+1)&gt;$D21),0,$E21*IF($G21,1,N(INDEX(Phasing!$I21:$AF21,((YEAR(O$5)-YEAR($C21))*12+MONTH(O$5)-MONTH($C21)+1))))/$F21))</f>
        <v>0</v>
      </c>
      <c r="P21" s="38" t="n">
        <f aca="false">IF(OR($C21="",$D21="",$F21=0),0,IF(OR(P$5&lt;=Projects!$C$2,((YEAR(P$5)-YEAR($C21))*12+MONTH(P$5)-MONTH($C21)+1)&lt;1,((YEAR(P$5)-YEAR($C21))*12+MONTH(P$5)-MONTH($C21)+1)&gt;$D21),0,$E21*IF($G21,1,N(INDEX(Phasing!$I21:$AF21,((YEAR(P$5)-YEAR($C21))*12+MONTH(P$5)-MONTH($C21)+1))))/$F21))</f>
        <v>0</v>
      </c>
      <c r="Q21" s="38" t="n">
        <f aca="false">IF(OR($C21="",$D21="",$F21=0),0,IF(OR(Q$5&lt;=Projects!$C$2,((YEAR(Q$5)-YEAR($C21))*12+MONTH(Q$5)-MONTH($C21)+1)&lt;1,((YEAR(Q$5)-YEAR($C21))*12+MONTH(Q$5)-MONTH($C21)+1)&gt;$D21),0,$E21*IF($G21,1,N(INDEX(Phasing!$I21:$AF21,((YEAR(Q$5)-YEAR($C21))*12+MONTH(Q$5)-MONTH($C21)+1))))/$F21))</f>
        <v>0</v>
      </c>
      <c r="R21" s="38" t="n">
        <f aca="false">IF(OR($C21="",$D21="",$F21=0),0,IF(OR(R$5&lt;=Projects!$C$2,((YEAR(R$5)-YEAR($C21))*12+MONTH(R$5)-MONTH($C21)+1)&lt;1,((YEAR(R$5)-YEAR($C21))*12+MONTH(R$5)-MONTH($C21)+1)&gt;$D21),0,$E21*IF($G21,1,N(INDEX(Phasing!$I21:$AF21,((YEAR(R$5)-YEAR($C21))*12+MONTH(R$5)-MONTH($C21)+1))))/$F21))</f>
        <v>0</v>
      </c>
      <c r="S21" s="38" t="n">
        <f aca="false">IF(OR($C21="",$D21="",$F21=0),0,IF(OR(S$5&lt;=Projects!$C$2,((YEAR(S$5)-YEAR($C21))*12+MONTH(S$5)-MONTH($C21)+1)&lt;1,((YEAR(S$5)-YEAR($C21))*12+MONTH(S$5)-MONTH($C21)+1)&gt;$D21),0,$E21*IF($G21,1,N(INDEX(Phasing!$I21:$AF21,((YEAR(S$5)-YEAR($C21))*12+MONTH(S$5)-MONTH($C21)+1))))/$F21))</f>
        <v>0</v>
      </c>
      <c r="T21" s="38" t="n">
        <f aca="false">IF(OR($C21="",$D21="",$F21=0),0,IF(OR(T$5&lt;=Projects!$C$2,((YEAR(T$5)-YEAR($C21))*12+MONTH(T$5)-MONTH($C21)+1)&lt;1,((YEAR(T$5)-YEAR($C21))*12+MONTH(T$5)-MONTH($C21)+1)&gt;$D21),0,$E21*IF($G21,1,N(INDEX(Phasing!$I21:$AF21,((YEAR(T$5)-YEAR($C21))*12+MONTH(T$5)-MONTH($C21)+1))))/$F21))</f>
        <v>0</v>
      </c>
      <c r="U21" s="38" t="n">
        <f aca="false">IF(OR($C21="",$D21="",$F21=0),0,IF(OR(U$5&lt;=Projects!$C$2,((YEAR(U$5)-YEAR($C21))*12+MONTH(U$5)-MONTH($C21)+1)&lt;1,((YEAR(U$5)-YEAR($C21))*12+MONTH(U$5)-MONTH($C21)+1)&gt;$D21),0,$E21*IF($G21,1,N(INDEX(Phasing!$I21:$AF21,((YEAR(U$5)-YEAR($C21))*12+MONTH(U$5)-MONTH($C21)+1))))/$F21))</f>
        <v>0</v>
      </c>
      <c r="V21" s="38" t="n">
        <f aca="false">IF(OR($C21="",$D21="",$F21=0),0,IF(OR(V$5&lt;=Projects!$C$2,((YEAR(V$5)-YEAR($C21))*12+MONTH(V$5)-MONTH($C21)+1)&lt;1,((YEAR(V$5)-YEAR($C21))*12+MONTH(V$5)-MONTH($C21)+1)&gt;$D21),0,$E21*IF($G21,1,N(INDEX(Phasing!$I21:$AF21,((YEAR(V$5)-YEAR($C21))*12+MONTH(V$5)-MONTH($C21)+1))))/$F21))</f>
        <v>0</v>
      </c>
      <c r="W21" s="38" t="n">
        <f aca="false">IF(OR($C21="",$D21="",$F21=0),0,IF(OR(W$5&lt;=Projects!$C$2,((YEAR(W$5)-YEAR($C21))*12+MONTH(W$5)-MONTH($C21)+1)&lt;1,((YEAR(W$5)-YEAR($C21))*12+MONTH(W$5)-MONTH($C21)+1)&gt;$D21),0,$E21*IF($G21,1,N(INDEX(Phasing!$I21:$AF21,((YEAR(W$5)-YEAR($C21))*12+MONTH(W$5)-MONTH($C21)+1))))/$F21))</f>
        <v>0</v>
      </c>
      <c r="X21" s="38" t="n">
        <f aca="false">IF(OR($C21="",$D21="",$F21=0),0,IF(OR(X$5&lt;=Projects!$C$2,((YEAR(X$5)-YEAR($C21))*12+MONTH(X$5)-MONTH($C21)+1)&lt;1,((YEAR(X$5)-YEAR($C21))*12+MONTH(X$5)-MONTH($C21)+1)&gt;$D21),0,$E21*IF($G21,1,N(INDEX(Phasing!$I21:$AF21,((YEAR(X$5)-YEAR($C21))*12+MONTH(X$5)-MONTH($C21)+1))))/$F21))</f>
        <v>0</v>
      </c>
      <c r="Y21" s="38" t="n">
        <f aca="false">IF(OR($C21="",$D21="",$F21=0),0,IF(OR(Y$5&lt;=Projects!$C$2,((YEAR(Y$5)-YEAR($C21))*12+MONTH(Y$5)-MONTH($C21)+1)&lt;1,((YEAR(Y$5)-YEAR($C21))*12+MONTH(Y$5)-MONTH($C21)+1)&gt;$D21),0,$E21*IF($G21,1,N(INDEX(Phasing!$I21:$AF21,((YEAR(Y$5)-YEAR($C21))*12+MONTH(Y$5)-MONTH($C21)+1))))/$F21))</f>
        <v>0</v>
      </c>
      <c r="Z21" s="38" t="n">
        <f aca="false">IF(OR($C21="",$D21="",$F21=0),0,IF(OR(Z$5&lt;=Projects!$C$2,((YEAR(Z$5)-YEAR($C21))*12+MONTH(Z$5)-MONTH($C21)+1)&lt;1,((YEAR(Z$5)-YEAR($C21))*12+MONTH(Z$5)-MONTH($C21)+1)&gt;$D21),0,$E21*IF($G21,1,N(INDEX(Phasing!$I21:$AF21,((YEAR(Z$5)-YEAR($C21))*12+MONTH(Z$5)-MONTH($C21)+1))))/$F21))</f>
        <v>0</v>
      </c>
      <c r="AA21" s="38" t="n">
        <f aca="false">IF(OR($C21="",$D21="",$F21=0),0,IF(OR(AA$5&lt;=Projects!$C$2,((YEAR(AA$5)-YEAR($C21))*12+MONTH(AA$5)-MONTH($C21)+1)&lt;1,((YEAR(AA$5)-YEAR($C21))*12+MONTH(AA$5)-MONTH($C21)+1)&gt;$D21),0,$E21*IF($G21,1,N(INDEX(Phasing!$I21:$AF21,((YEAR(AA$5)-YEAR($C21))*12+MONTH(AA$5)-MONTH($C21)+1))))/$F21))</f>
        <v>0</v>
      </c>
      <c r="AB21" s="38" t="n">
        <f aca="false">IF(OR($C21="",$D21="",$F21=0),0,IF(OR(AB$5&lt;=Projects!$C$2,((YEAR(AB$5)-YEAR($C21))*12+MONTH(AB$5)-MONTH($C21)+1)&lt;1,((YEAR(AB$5)-YEAR($C21))*12+MONTH(AB$5)-MONTH($C21)+1)&gt;$D21),0,$E21*IF($G21,1,N(INDEX(Phasing!$I21:$AF21,((YEAR(AB$5)-YEAR($C21))*12+MONTH(AB$5)-MONTH($C21)+1))))/$F21))</f>
        <v>0</v>
      </c>
      <c r="AC21" s="38" t="n">
        <f aca="false">IF(OR($C21="",$D21="",$F21=0),0,IF(OR(AC$5&lt;=Projects!$C$2,((YEAR(AC$5)-YEAR($C21))*12+MONTH(AC$5)-MONTH($C21)+1)&lt;1,((YEAR(AC$5)-YEAR($C21))*12+MONTH(AC$5)-MONTH($C21)+1)&gt;$D21),0,$E21*IF($G21,1,N(INDEX(Phasing!$I21:$AF21,((YEAR(AC$5)-YEAR($C21))*12+MONTH(AC$5)-MONTH($C21)+1))))/$F21))</f>
        <v>0</v>
      </c>
      <c r="AD21" s="38" t="n">
        <f aca="false">IF(OR($C21="",$D21="",$F21=0),0,IF(OR(AD$5&lt;=Projects!$C$2,((YEAR(AD$5)-YEAR($C21))*12+MONTH(AD$5)-MONTH($C21)+1)&lt;1,((YEAR(AD$5)-YEAR($C21))*12+MONTH(AD$5)-MONTH($C21)+1)&gt;$D21),0,$E21*IF($G21,1,N(INDEX(Phasing!$I21:$AF21,((YEAR(AD$5)-YEAR($C21))*12+MONTH(AD$5)-MONTH($C21)+1))))/$F21))</f>
        <v>0</v>
      </c>
      <c r="AE21" s="38" t="n">
        <f aca="false">IF(OR($C21="",$D21="",$F21=0),0,IF(OR(AE$5&lt;=Projects!$C$2,((YEAR(AE$5)-YEAR($C21))*12+MONTH(AE$5)-MONTH($C21)+1)&lt;1,((YEAR(AE$5)-YEAR($C21))*12+MONTH(AE$5)-MONTH($C21)+1)&gt;$D21),0,$E21*IF($G21,1,N(INDEX(Phasing!$I21:$AF21,((YEAR(AE$5)-YEAR($C21))*12+MONTH(AE$5)-MONTH($C21)+1))))/$F21))</f>
        <v>0</v>
      </c>
      <c r="AF21" s="38" t="n">
        <f aca="false">IF(OR($C21="",$D21="",$F21=0),0,IF(OR(AF$5&lt;=Projects!$C$2,((YEAR(AF$5)-YEAR($C21))*12+MONTH(AF$5)-MONTH($C21)+1)&lt;1,((YEAR(AF$5)-YEAR($C21))*12+MONTH(AF$5)-MONTH($C21)+1)&gt;$D21),0,$E21*IF($G21,1,N(INDEX(Phasing!$I21:$AF21,((YEAR(AF$5)-YEAR($C21))*12+MONTH(AF$5)-MONTH($C21)+1))))/$F21))</f>
        <v>0</v>
      </c>
      <c r="AG21" s="38" t="n">
        <f aca="false">IF(OR($C21="",$D21="",$F21=0),0,IF(OR(AG$5&lt;=Projects!$C$2,((YEAR(AG$5)-YEAR($C21))*12+MONTH(AG$5)-MONTH($C21)+1)&lt;1,((YEAR(AG$5)-YEAR($C21))*12+MONTH(AG$5)-MONTH($C21)+1)&gt;$D21),0,$E21*IF($G21,1,N(INDEX(Phasing!$I21:$AF21,((YEAR(AG$5)-YEAR($C21))*12+MONTH(AG$5)-MONTH($C21)+1))))/$F21))</f>
        <v>0</v>
      </c>
      <c r="AH21" s="38" t="n">
        <f aca="false">IF(OR($C21="",$D21="",$F21=0),0,IF(OR(AH$5&lt;=Projects!$C$2,((YEAR(AH$5)-YEAR($C21))*12+MONTH(AH$5)-MONTH($C21)+1)&lt;1,((YEAR(AH$5)-YEAR($C21))*12+MONTH(AH$5)-MONTH($C21)+1)&gt;$D21),0,$E21*IF($G21,1,N(INDEX(Phasing!$I21:$AF21,((YEAR(AH$5)-YEAR($C21))*12+MONTH(AH$5)-MONTH($C21)+1))))/$F21))</f>
        <v>0</v>
      </c>
      <c r="AI21" s="38" t="n">
        <f aca="false">IF(OR($C21="",$D21="",$F21=0),0,IF(OR(AI$5&lt;=Projects!$C$2,((YEAR(AI$5)-YEAR($C21))*12+MONTH(AI$5)-MONTH($C21)+1)&lt;1,((YEAR(AI$5)-YEAR($C21))*12+MONTH(AI$5)-MONTH($C21)+1)&gt;$D21),0,$E21*IF($G21,1,N(INDEX(Phasing!$I21:$AF21,((YEAR(AI$5)-YEAR($C21))*12+MONTH(AI$5)-MONTH($C21)+1))))/$F21))</f>
        <v>0</v>
      </c>
      <c r="AJ21" s="38" t="n">
        <f aca="false">IF(OR($C21="",$D21="",$F21=0),0,IF(OR(AJ$5&lt;=Projects!$C$2,((YEAR(AJ$5)-YEAR($C21))*12+MONTH(AJ$5)-MONTH($C21)+1)&lt;1,((YEAR(AJ$5)-YEAR($C21))*12+MONTH(AJ$5)-MONTH($C21)+1)&gt;$D21),0,$E21*IF($G21,1,N(INDEX(Phasing!$I21:$AF21,((YEAR(AJ$5)-YEAR($C21))*12+MONTH(AJ$5)-MONTH($C21)+1))))/$F21))</f>
        <v>0</v>
      </c>
      <c r="AK21" s="38" t="n">
        <f aca="false">IF(OR($C21="",$D21="",$F21=0),0,IF(OR(AK$5&lt;=Projects!$C$2,((YEAR(AK$5)-YEAR($C21))*12+MONTH(AK$5)-MONTH($C21)+1)&lt;1,((YEAR(AK$5)-YEAR($C21))*12+MONTH(AK$5)-MONTH($C21)+1)&gt;$D21),0,$E21*IF($G21,1,N(INDEX(Phasing!$I21:$AF21,((YEAR(AK$5)-YEAR($C21))*12+MONTH(AK$5)-MONTH($C21)+1))))/$F21))</f>
        <v>0</v>
      </c>
      <c r="AL21" s="38" t="n">
        <f aca="false">IF(OR($C21="",$D21="",$F21=0),0,IF(OR(AL$5&lt;=Projects!$C$2,((YEAR(AL$5)-YEAR($C21))*12+MONTH(AL$5)-MONTH($C21)+1)&lt;1,((YEAR(AL$5)-YEAR($C21))*12+MONTH(AL$5)-MONTH($C21)+1)&gt;$D21),0,$E21*IF($G21,1,N(INDEX(Phasing!$I21:$AF21,((YEAR(AL$5)-YEAR($C21))*12+MONTH(AL$5)-MONTH($C21)+1))))/$F21))</f>
        <v>0</v>
      </c>
      <c r="AM21" s="38" t="n">
        <f aca="false">IF(OR($C21="",$D21="",$F21=0),0,IF(OR(AM$5&lt;=Projects!$C$2,((YEAR(AM$5)-YEAR($C21))*12+MONTH(AM$5)-MONTH($C21)+1)&lt;1,((YEAR(AM$5)-YEAR($C21))*12+MONTH(AM$5)-MONTH($C21)+1)&gt;$D21),0,$E21*IF($G21,1,N(INDEX(Phasing!$I21:$AF21,((YEAR(AM$5)-YEAR($C21))*12+MONTH(AM$5)-MONTH($C21)+1))))/$F21))</f>
        <v>0</v>
      </c>
      <c r="AN21" s="38" t="n">
        <f aca="false">IF(OR($C21="",$D21="",$F21=0),0,IF(OR(AN$5&lt;=Projects!$C$2,((YEAR(AN$5)-YEAR($C21))*12+MONTH(AN$5)-MONTH($C21)+1)&lt;1,((YEAR(AN$5)-YEAR($C21))*12+MONTH(AN$5)-MONTH($C21)+1)&gt;$D21),0,$E21*IF($G21,1,N(INDEX(Phasing!$I21:$AF21,((YEAR(AN$5)-YEAR($C21))*12+MONTH(AN$5)-MONTH($C21)+1))))/$F21))</f>
        <v>0</v>
      </c>
      <c r="AO21" s="38" t="n">
        <f aca="false">IF(OR($C21="",$D21="",$F21=0),0,IF(OR(AO$5&lt;=Projects!$C$2,((YEAR(AO$5)-YEAR($C21))*12+MONTH(AO$5)-MONTH($C21)+1)&lt;1,((YEAR(AO$5)-YEAR($C21))*12+MONTH(AO$5)-MONTH($C21)+1)&gt;$D21),0,$E21*IF($G21,1,N(INDEX(Phasing!$I21:$AF21,((YEAR(AO$5)-YEAR($C21))*12+MONTH(AO$5)-MONTH($C21)+1))))/$F21))</f>
        <v>0</v>
      </c>
      <c r="AP21" s="38" t="n">
        <f aca="false">IF(OR($C21="",$D21="",$F21=0),0,IF(OR(AP$5&lt;=Projects!$C$2,((YEAR(AP$5)-YEAR($C21))*12+MONTH(AP$5)-MONTH($C21)+1)&lt;1,((YEAR(AP$5)-YEAR($C21))*12+MONTH(AP$5)-MONTH($C21)+1)&gt;$D21),0,$E21*IF($G21,1,N(INDEX(Phasing!$I21:$AF21,((YEAR(AP$5)-YEAR($C21))*12+MONTH(AP$5)-MONTH($C21)+1))))/$F21))</f>
        <v>0</v>
      </c>
      <c r="AQ21" s="38" t="n">
        <f aca="false">IF(OR($C21="",$D21="",$F21=0),0,IF(OR(AQ$5&lt;=Projects!$C$2,((YEAR(AQ$5)-YEAR($C21))*12+MONTH(AQ$5)-MONTH($C21)+1)&lt;1,((YEAR(AQ$5)-YEAR($C21))*12+MONTH(AQ$5)-MONTH($C21)+1)&gt;$D21),0,$E21*IF($G21,1,N(INDEX(Phasing!$I21:$AF21,((YEAR(AQ$5)-YEAR($C21))*12+MONTH(AQ$5)-MONTH($C21)+1))))/$F21))</f>
        <v>0</v>
      </c>
    </row>
    <row r="22" customFormat="false" ht="15" hidden="false" customHeight="false" outlineLevel="0" collapsed="false">
      <c r="A22" s="11" t="n">
        <v>17</v>
      </c>
      <c r="B22" s="21" t="str">
        <f aca="false">IF(Projects!B22="","",Projects!B22)</f>
        <v/>
      </c>
      <c r="C22" s="31" t="str">
        <f aca="false">IF(Projects!D22="","",Projects!D22)</f>
        <v/>
      </c>
      <c r="D22" s="21" t="str">
        <f aca="false">IF(Projects!E22="","",Projects!E22)</f>
        <v/>
      </c>
      <c r="E22" s="33" t="n">
        <f aca="false">IF(Projects!B22="",0,N(Projects!I22))</f>
        <v>0</v>
      </c>
      <c r="F22" s="21" t="n">
        <f aca="false">Phasing!G22</f>
        <v>0</v>
      </c>
      <c r="G22" s="48" t="b">
        <f aca="false">Phasing!D22=0</f>
        <v>1</v>
      </c>
      <c r="H22" s="38" t="n">
        <f aca="false">IF(OR($C22="",$D22="",$F22=0),0,IF(OR(H$5&lt;=Projects!$C$2,((YEAR(H$5)-YEAR($C22))*12+MONTH(H$5)-MONTH($C22)+1)&lt;1,((YEAR(H$5)-YEAR($C22))*12+MONTH(H$5)-MONTH($C22)+1)&gt;$D22),0,$E22*IF($G22,1,N(INDEX(Phasing!$I22:$AF22,((YEAR(H$5)-YEAR($C22))*12+MONTH(H$5)-MONTH($C22)+1))))/$F22))</f>
        <v>0</v>
      </c>
      <c r="I22" s="38" t="n">
        <f aca="false">IF(OR($C22="",$D22="",$F22=0),0,IF(OR(I$5&lt;=Projects!$C$2,((YEAR(I$5)-YEAR($C22))*12+MONTH(I$5)-MONTH($C22)+1)&lt;1,((YEAR(I$5)-YEAR($C22))*12+MONTH(I$5)-MONTH($C22)+1)&gt;$D22),0,$E22*IF($G22,1,N(INDEX(Phasing!$I22:$AF22,((YEAR(I$5)-YEAR($C22))*12+MONTH(I$5)-MONTH($C22)+1))))/$F22))</f>
        <v>0</v>
      </c>
      <c r="J22" s="38" t="n">
        <f aca="false">IF(OR($C22="",$D22="",$F22=0),0,IF(OR(J$5&lt;=Projects!$C$2,((YEAR(J$5)-YEAR($C22))*12+MONTH(J$5)-MONTH($C22)+1)&lt;1,((YEAR(J$5)-YEAR($C22))*12+MONTH(J$5)-MONTH($C22)+1)&gt;$D22),0,$E22*IF($G22,1,N(INDEX(Phasing!$I22:$AF22,((YEAR(J$5)-YEAR($C22))*12+MONTH(J$5)-MONTH($C22)+1))))/$F22))</f>
        <v>0</v>
      </c>
      <c r="K22" s="38" t="n">
        <f aca="false">IF(OR($C22="",$D22="",$F22=0),0,IF(OR(K$5&lt;=Projects!$C$2,((YEAR(K$5)-YEAR($C22))*12+MONTH(K$5)-MONTH($C22)+1)&lt;1,((YEAR(K$5)-YEAR($C22))*12+MONTH(K$5)-MONTH($C22)+1)&gt;$D22),0,$E22*IF($G22,1,N(INDEX(Phasing!$I22:$AF22,((YEAR(K$5)-YEAR($C22))*12+MONTH(K$5)-MONTH($C22)+1))))/$F22))</f>
        <v>0</v>
      </c>
      <c r="L22" s="38" t="n">
        <f aca="false">IF(OR($C22="",$D22="",$F22=0),0,IF(OR(L$5&lt;=Projects!$C$2,((YEAR(L$5)-YEAR($C22))*12+MONTH(L$5)-MONTH($C22)+1)&lt;1,((YEAR(L$5)-YEAR($C22))*12+MONTH(L$5)-MONTH($C22)+1)&gt;$D22),0,$E22*IF($G22,1,N(INDEX(Phasing!$I22:$AF22,((YEAR(L$5)-YEAR($C22))*12+MONTH(L$5)-MONTH($C22)+1))))/$F22))</f>
        <v>0</v>
      </c>
      <c r="M22" s="38" t="n">
        <f aca="false">IF(OR($C22="",$D22="",$F22=0),0,IF(OR(M$5&lt;=Projects!$C$2,((YEAR(M$5)-YEAR($C22))*12+MONTH(M$5)-MONTH($C22)+1)&lt;1,((YEAR(M$5)-YEAR($C22))*12+MONTH(M$5)-MONTH($C22)+1)&gt;$D22),0,$E22*IF($G22,1,N(INDEX(Phasing!$I22:$AF22,((YEAR(M$5)-YEAR($C22))*12+MONTH(M$5)-MONTH($C22)+1))))/$F22))</f>
        <v>0</v>
      </c>
      <c r="N22" s="38" t="n">
        <f aca="false">IF(OR($C22="",$D22="",$F22=0),0,IF(OR(N$5&lt;=Projects!$C$2,((YEAR(N$5)-YEAR($C22))*12+MONTH(N$5)-MONTH($C22)+1)&lt;1,((YEAR(N$5)-YEAR($C22))*12+MONTH(N$5)-MONTH($C22)+1)&gt;$D22),0,$E22*IF($G22,1,N(INDEX(Phasing!$I22:$AF22,((YEAR(N$5)-YEAR($C22))*12+MONTH(N$5)-MONTH($C22)+1))))/$F22))</f>
        <v>0</v>
      </c>
      <c r="O22" s="38" t="n">
        <f aca="false">IF(OR($C22="",$D22="",$F22=0),0,IF(OR(O$5&lt;=Projects!$C$2,((YEAR(O$5)-YEAR($C22))*12+MONTH(O$5)-MONTH($C22)+1)&lt;1,((YEAR(O$5)-YEAR($C22))*12+MONTH(O$5)-MONTH($C22)+1)&gt;$D22),0,$E22*IF($G22,1,N(INDEX(Phasing!$I22:$AF22,((YEAR(O$5)-YEAR($C22))*12+MONTH(O$5)-MONTH($C22)+1))))/$F22))</f>
        <v>0</v>
      </c>
      <c r="P22" s="38" t="n">
        <f aca="false">IF(OR($C22="",$D22="",$F22=0),0,IF(OR(P$5&lt;=Projects!$C$2,((YEAR(P$5)-YEAR($C22))*12+MONTH(P$5)-MONTH($C22)+1)&lt;1,((YEAR(P$5)-YEAR($C22))*12+MONTH(P$5)-MONTH($C22)+1)&gt;$D22),0,$E22*IF($G22,1,N(INDEX(Phasing!$I22:$AF22,((YEAR(P$5)-YEAR($C22))*12+MONTH(P$5)-MONTH($C22)+1))))/$F22))</f>
        <v>0</v>
      </c>
      <c r="Q22" s="38" t="n">
        <f aca="false">IF(OR($C22="",$D22="",$F22=0),0,IF(OR(Q$5&lt;=Projects!$C$2,((YEAR(Q$5)-YEAR($C22))*12+MONTH(Q$5)-MONTH($C22)+1)&lt;1,((YEAR(Q$5)-YEAR($C22))*12+MONTH(Q$5)-MONTH($C22)+1)&gt;$D22),0,$E22*IF($G22,1,N(INDEX(Phasing!$I22:$AF22,((YEAR(Q$5)-YEAR($C22))*12+MONTH(Q$5)-MONTH($C22)+1))))/$F22))</f>
        <v>0</v>
      </c>
      <c r="R22" s="38" t="n">
        <f aca="false">IF(OR($C22="",$D22="",$F22=0),0,IF(OR(R$5&lt;=Projects!$C$2,((YEAR(R$5)-YEAR($C22))*12+MONTH(R$5)-MONTH($C22)+1)&lt;1,((YEAR(R$5)-YEAR($C22))*12+MONTH(R$5)-MONTH($C22)+1)&gt;$D22),0,$E22*IF($G22,1,N(INDEX(Phasing!$I22:$AF22,((YEAR(R$5)-YEAR($C22))*12+MONTH(R$5)-MONTH($C22)+1))))/$F22))</f>
        <v>0</v>
      </c>
      <c r="S22" s="38" t="n">
        <f aca="false">IF(OR($C22="",$D22="",$F22=0),0,IF(OR(S$5&lt;=Projects!$C$2,((YEAR(S$5)-YEAR($C22))*12+MONTH(S$5)-MONTH($C22)+1)&lt;1,((YEAR(S$5)-YEAR($C22))*12+MONTH(S$5)-MONTH($C22)+1)&gt;$D22),0,$E22*IF($G22,1,N(INDEX(Phasing!$I22:$AF22,((YEAR(S$5)-YEAR($C22))*12+MONTH(S$5)-MONTH($C22)+1))))/$F22))</f>
        <v>0</v>
      </c>
      <c r="T22" s="38" t="n">
        <f aca="false">IF(OR($C22="",$D22="",$F22=0),0,IF(OR(T$5&lt;=Projects!$C$2,((YEAR(T$5)-YEAR($C22))*12+MONTH(T$5)-MONTH($C22)+1)&lt;1,((YEAR(T$5)-YEAR($C22))*12+MONTH(T$5)-MONTH($C22)+1)&gt;$D22),0,$E22*IF($G22,1,N(INDEX(Phasing!$I22:$AF22,((YEAR(T$5)-YEAR($C22))*12+MONTH(T$5)-MONTH($C22)+1))))/$F22))</f>
        <v>0</v>
      </c>
      <c r="U22" s="38" t="n">
        <f aca="false">IF(OR($C22="",$D22="",$F22=0),0,IF(OR(U$5&lt;=Projects!$C$2,((YEAR(U$5)-YEAR($C22))*12+MONTH(U$5)-MONTH($C22)+1)&lt;1,((YEAR(U$5)-YEAR($C22))*12+MONTH(U$5)-MONTH($C22)+1)&gt;$D22),0,$E22*IF($G22,1,N(INDEX(Phasing!$I22:$AF22,((YEAR(U$5)-YEAR($C22))*12+MONTH(U$5)-MONTH($C22)+1))))/$F22))</f>
        <v>0</v>
      </c>
      <c r="V22" s="38" t="n">
        <f aca="false">IF(OR($C22="",$D22="",$F22=0),0,IF(OR(V$5&lt;=Projects!$C$2,((YEAR(V$5)-YEAR($C22))*12+MONTH(V$5)-MONTH($C22)+1)&lt;1,((YEAR(V$5)-YEAR($C22))*12+MONTH(V$5)-MONTH($C22)+1)&gt;$D22),0,$E22*IF($G22,1,N(INDEX(Phasing!$I22:$AF22,((YEAR(V$5)-YEAR($C22))*12+MONTH(V$5)-MONTH($C22)+1))))/$F22))</f>
        <v>0</v>
      </c>
      <c r="W22" s="38" t="n">
        <f aca="false">IF(OR($C22="",$D22="",$F22=0),0,IF(OR(W$5&lt;=Projects!$C$2,((YEAR(W$5)-YEAR($C22))*12+MONTH(W$5)-MONTH($C22)+1)&lt;1,((YEAR(W$5)-YEAR($C22))*12+MONTH(W$5)-MONTH($C22)+1)&gt;$D22),0,$E22*IF($G22,1,N(INDEX(Phasing!$I22:$AF22,((YEAR(W$5)-YEAR($C22))*12+MONTH(W$5)-MONTH($C22)+1))))/$F22))</f>
        <v>0</v>
      </c>
      <c r="X22" s="38" t="n">
        <f aca="false">IF(OR($C22="",$D22="",$F22=0),0,IF(OR(X$5&lt;=Projects!$C$2,((YEAR(X$5)-YEAR($C22))*12+MONTH(X$5)-MONTH($C22)+1)&lt;1,((YEAR(X$5)-YEAR($C22))*12+MONTH(X$5)-MONTH($C22)+1)&gt;$D22),0,$E22*IF($G22,1,N(INDEX(Phasing!$I22:$AF22,((YEAR(X$5)-YEAR($C22))*12+MONTH(X$5)-MONTH($C22)+1))))/$F22))</f>
        <v>0</v>
      </c>
      <c r="Y22" s="38" t="n">
        <f aca="false">IF(OR($C22="",$D22="",$F22=0),0,IF(OR(Y$5&lt;=Projects!$C$2,((YEAR(Y$5)-YEAR($C22))*12+MONTH(Y$5)-MONTH($C22)+1)&lt;1,((YEAR(Y$5)-YEAR($C22))*12+MONTH(Y$5)-MONTH($C22)+1)&gt;$D22),0,$E22*IF($G22,1,N(INDEX(Phasing!$I22:$AF22,((YEAR(Y$5)-YEAR($C22))*12+MONTH(Y$5)-MONTH($C22)+1))))/$F22))</f>
        <v>0</v>
      </c>
      <c r="Z22" s="38" t="n">
        <f aca="false">IF(OR($C22="",$D22="",$F22=0),0,IF(OR(Z$5&lt;=Projects!$C$2,((YEAR(Z$5)-YEAR($C22))*12+MONTH(Z$5)-MONTH($C22)+1)&lt;1,((YEAR(Z$5)-YEAR($C22))*12+MONTH(Z$5)-MONTH($C22)+1)&gt;$D22),0,$E22*IF($G22,1,N(INDEX(Phasing!$I22:$AF22,((YEAR(Z$5)-YEAR($C22))*12+MONTH(Z$5)-MONTH($C22)+1))))/$F22))</f>
        <v>0</v>
      </c>
      <c r="AA22" s="38" t="n">
        <f aca="false">IF(OR($C22="",$D22="",$F22=0),0,IF(OR(AA$5&lt;=Projects!$C$2,((YEAR(AA$5)-YEAR($C22))*12+MONTH(AA$5)-MONTH($C22)+1)&lt;1,((YEAR(AA$5)-YEAR($C22))*12+MONTH(AA$5)-MONTH($C22)+1)&gt;$D22),0,$E22*IF($G22,1,N(INDEX(Phasing!$I22:$AF22,((YEAR(AA$5)-YEAR($C22))*12+MONTH(AA$5)-MONTH($C22)+1))))/$F22))</f>
        <v>0</v>
      </c>
      <c r="AB22" s="38" t="n">
        <f aca="false">IF(OR($C22="",$D22="",$F22=0),0,IF(OR(AB$5&lt;=Projects!$C$2,((YEAR(AB$5)-YEAR($C22))*12+MONTH(AB$5)-MONTH($C22)+1)&lt;1,((YEAR(AB$5)-YEAR($C22))*12+MONTH(AB$5)-MONTH($C22)+1)&gt;$D22),0,$E22*IF($G22,1,N(INDEX(Phasing!$I22:$AF22,((YEAR(AB$5)-YEAR($C22))*12+MONTH(AB$5)-MONTH($C22)+1))))/$F22))</f>
        <v>0</v>
      </c>
      <c r="AC22" s="38" t="n">
        <f aca="false">IF(OR($C22="",$D22="",$F22=0),0,IF(OR(AC$5&lt;=Projects!$C$2,((YEAR(AC$5)-YEAR($C22))*12+MONTH(AC$5)-MONTH($C22)+1)&lt;1,((YEAR(AC$5)-YEAR($C22))*12+MONTH(AC$5)-MONTH($C22)+1)&gt;$D22),0,$E22*IF($G22,1,N(INDEX(Phasing!$I22:$AF22,((YEAR(AC$5)-YEAR($C22))*12+MONTH(AC$5)-MONTH($C22)+1))))/$F22))</f>
        <v>0</v>
      </c>
      <c r="AD22" s="38" t="n">
        <f aca="false">IF(OR($C22="",$D22="",$F22=0),0,IF(OR(AD$5&lt;=Projects!$C$2,((YEAR(AD$5)-YEAR($C22))*12+MONTH(AD$5)-MONTH($C22)+1)&lt;1,((YEAR(AD$5)-YEAR($C22))*12+MONTH(AD$5)-MONTH($C22)+1)&gt;$D22),0,$E22*IF($G22,1,N(INDEX(Phasing!$I22:$AF22,((YEAR(AD$5)-YEAR($C22))*12+MONTH(AD$5)-MONTH($C22)+1))))/$F22))</f>
        <v>0</v>
      </c>
      <c r="AE22" s="38" t="n">
        <f aca="false">IF(OR($C22="",$D22="",$F22=0),0,IF(OR(AE$5&lt;=Projects!$C$2,((YEAR(AE$5)-YEAR($C22))*12+MONTH(AE$5)-MONTH($C22)+1)&lt;1,((YEAR(AE$5)-YEAR($C22))*12+MONTH(AE$5)-MONTH($C22)+1)&gt;$D22),0,$E22*IF($G22,1,N(INDEX(Phasing!$I22:$AF22,((YEAR(AE$5)-YEAR($C22))*12+MONTH(AE$5)-MONTH($C22)+1))))/$F22))</f>
        <v>0</v>
      </c>
      <c r="AF22" s="38" t="n">
        <f aca="false">IF(OR($C22="",$D22="",$F22=0),0,IF(OR(AF$5&lt;=Projects!$C$2,((YEAR(AF$5)-YEAR($C22))*12+MONTH(AF$5)-MONTH($C22)+1)&lt;1,((YEAR(AF$5)-YEAR($C22))*12+MONTH(AF$5)-MONTH($C22)+1)&gt;$D22),0,$E22*IF($G22,1,N(INDEX(Phasing!$I22:$AF22,((YEAR(AF$5)-YEAR($C22))*12+MONTH(AF$5)-MONTH($C22)+1))))/$F22))</f>
        <v>0</v>
      </c>
      <c r="AG22" s="38" t="n">
        <f aca="false">IF(OR($C22="",$D22="",$F22=0),0,IF(OR(AG$5&lt;=Projects!$C$2,((YEAR(AG$5)-YEAR($C22))*12+MONTH(AG$5)-MONTH($C22)+1)&lt;1,((YEAR(AG$5)-YEAR($C22))*12+MONTH(AG$5)-MONTH($C22)+1)&gt;$D22),0,$E22*IF($G22,1,N(INDEX(Phasing!$I22:$AF22,((YEAR(AG$5)-YEAR($C22))*12+MONTH(AG$5)-MONTH($C22)+1))))/$F22))</f>
        <v>0</v>
      </c>
      <c r="AH22" s="38" t="n">
        <f aca="false">IF(OR($C22="",$D22="",$F22=0),0,IF(OR(AH$5&lt;=Projects!$C$2,((YEAR(AH$5)-YEAR($C22))*12+MONTH(AH$5)-MONTH($C22)+1)&lt;1,((YEAR(AH$5)-YEAR($C22))*12+MONTH(AH$5)-MONTH($C22)+1)&gt;$D22),0,$E22*IF($G22,1,N(INDEX(Phasing!$I22:$AF22,((YEAR(AH$5)-YEAR($C22))*12+MONTH(AH$5)-MONTH($C22)+1))))/$F22))</f>
        <v>0</v>
      </c>
      <c r="AI22" s="38" t="n">
        <f aca="false">IF(OR($C22="",$D22="",$F22=0),0,IF(OR(AI$5&lt;=Projects!$C$2,((YEAR(AI$5)-YEAR($C22))*12+MONTH(AI$5)-MONTH($C22)+1)&lt;1,((YEAR(AI$5)-YEAR($C22))*12+MONTH(AI$5)-MONTH($C22)+1)&gt;$D22),0,$E22*IF($G22,1,N(INDEX(Phasing!$I22:$AF22,((YEAR(AI$5)-YEAR($C22))*12+MONTH(AI$5)-MONTH($C22)+1))))/$F22))</f>
        <v>0</v>
      </c>
      <c r="AJ22" s="38" t="n">
        <f aca="false">IF(OR($C22="",$D22="",$F22=0),0,IF(OR(AJ$5&lt;=Projects!$C$2,((YEAR(AJ$5)-YEAR($C22))*12+MONTH(AJ$5)-MONTH($C22)+1)&lt;1,((YEAR(AJ$5)-YEAR($C22))*12+MONTH(AJ$5)-MONTH($C22)+1)&gt;$D22),0,$E22*IF($G22,1,N(INDEX(Phasing!$I22:$AF22,((YEAR(AJ$5)-YEAR($C22))*12+MONTH(AJ$5)-MONTH($C22)+1))))/$F22))</f>
        <v>0</v>
      </c>
      <c r="AK22" s="38" t="n">
        <f aca="false">IF(OR($C22="",$D22="",$F22=0),0,IF(OR(AK$5&lt;=Projects!$C$2,((YEAR(AK$5)-YEAR($C22))*12+MONTH(AK$5)-MONTH($C22)+1)&lt;1,((YEAR(AK$5)-YEAR($C22))*12+MONTH(AK$5)-MONTH($C22)+1)&gt;$D22),0,$E22*IF($G22,1,N(INDEX(Phasing!$I22:$AF22,((YEAR(AK$5)-YEAR($C22))*12+MONTH(AK$5)-MONTH($C22)+1))))/$F22))</f>
        <v>0</v>
      </c>
      <c r="AL22" s="38" t="n">
        <f aca="false">IF(OR($C22="",$D22="",$F22=0),0,IF(OR(AL$5&lt;=Projects!$C$2,((YEAR(AL$5)-YEAR($C22))*12+MONTH(AL$5)-MONTH($C22)+1)&lt;1,((YEAR(AL$5)-YEAR($C22))*12+MONTH(AL$5)-MONTH($C22)+1)&gt;$D22),0,$E22*IF($G22,1,N(INDEX(Phasing!$I22:$AF22,((YEAR(AL$5)-YEAR($C22))*12+MONTH(AL$5)-MONTH($C22)+1))))/$F22))</f>
        <v>0</v>
      </c>
      <c r="AM22" s="38" t="n">
        <f aca="false">IF(OR($C22="",$D22="",$F22=0),0,IF(OR(AM$5&lt;=Projects!$C$2,((YEAR(AM$5)-YEAR($C22))*12+MONTH(AM$5)-MONTH($C22)+1)&lt;1,((YEAR(AM$5)-YEAR($C22))*12+MONTH(AM$5)-MONTH($C22)+1)&gt;$D22),0,$E22*IF($G22,1,N(INDEX(Phasing!$I22:$AF22,((YEAR(AM$5)-YEAR($C22))*12+MONTH(AM$5)-MONTH($C22)+1))))/$F22))</f>
        <v>0</v>
      </c>
      <c r="AN22" s="38" t="n">
        <f aca="false">IF(OR($C22="",$D22="",$F22=0),0,IF(OR(AN$5&lt;=Projects!$C$2,((YEAR(AN$5)-YEAR($C22))*12+MONTH(AN$5)-MONTH($C22)+1)&lt;1,((YEAR(AN$5)-YEAR($C22))*12+MONTH(AN$5)-MONTH($C22)+1)&gt;$D22),0,$E22*IF($G22,1,N(INDEX(Phasing!$I22:$AF22,((YEAR(AN$5)-YEAR($C22))*12+MONTH(AN$5)-MONTH($C22)+1))))/$F22))</f>
        <v>0</v>
      </c>
      <c r="AO22" s="38" t="n">
        <f aca="false">IF(OR($C22="",$D22="",$F22=0),0,IF(OR(AO$5&lt;=Projects!$C$2,((YEAR(AO$5)-YEAR($C22))*12+MONTH(AO$5)-MONTH($C22)+1)&lt;1,((YEAR(AO$5)-YEAR($C22))*12+MONTH(AO$5)-MONTH($C22)+1)&gt;$D22),0,$E22*IF($G22,1,N(INDEX(Phasing!$I22:$AF22,((YEAR(AO$5)-YEAR($C22))*12+MONTH(AO$5)-MONTH($C22)+1))))/$F22))</f>
        <v>0</v>
      </c>
      <c r="AP22" s="38" t="n">
        <f aca="false">IF(OR($C22="",$D22="",$F22=0),0,IF(OR(AP$5&lt;=Projects!$C$2,((YEAR(AP$5)-YEAR($C22))*12+MONTH(AP$5)-MONTH($C22)+1)&lt;1,((YEAR(AP$5)-YEAR($C22))*12+MONTH(AP$5)-MONTH($C22)+1)&gt;$D22),0,$E22*IF($G22,1,N(INDEX(Phasing!$I22:$AF22,((YEAR(AP$5)-YEAR($C22))*12+MONTH(AP$5)-MONTH($C22)+1))))/$F22))</f>
        <v>0</v>
      </c>
      <c r="AQ22" s="38" t="n">
        <f aca="false">IF(OR($C22="",$D22="",$F22=0),0,IF(OR(AQ$5&lt;=Projects!$C$2,((YEAR(AQ$5)-YEAR($C22))*12+MONTH(AQ$5)-MONTH($C22)+1)&lt;1,((YEAR(AQ$5)-YEAR($C22))*12+MONTH(AQ$5)-MONTH($C22)+1)&gt;$D22),0,$E22*IF($G22,1,N(INDEX(Phasing!$I22:$AF22,((YEAR(AQ$5)-YEAR($C22))*12+MONTH(AQ$5)-MONTH($C22)+1))))/$F22))</f>
        <v>0</v>
      </c>
    </row>
    <row r="23" customFormat="false" ht="15" hidden="false" customHeight="false" outlineLevel="0" collapsed="false">
      <c r="A23" s="11" t="n">
        <v>18</v>
      </c>
      <c r="B23" s="21" t="str">
        <f aca="false">IF(Projects!B23="","",Projects!B23)</f>
        <v/>
      </c>
      <c r="C23" s="31" t="str">
        <f aca="false">IF(Projects!D23="","",Projects!D23)</f>
        <v/>
      </c>
      <c r="D23" s="21" t="str">
        <f aca="false">IF(Projects!E23="","",Projects!E23)</f>
        <v/>
      </c>
      <c r="E23" s="33" t="n">
        <f aca="false">IF(Projects!B23="",0,N(Projects!I23))</f>
        <v>0</v>
      </c>
      <c r="F23" s="21" t="n">
        <f aca="false">Phasing!G23</f>
        <v>0</v>
      </c>
      <c r="G23" s="48" t="b">
        <f aca="false">Phasing!D23=0</f>
        <v>1</v>
      </c>
      <c r="H23" s="38" t="n">
        <f aca="false">IF(OR($C23="",$D23="",$F23=0),0,IF(OR(H$5&lt;=Projects!$C$2,((YEAR(H$5)-YEAR($C23))*12+MONTH(H$5)-MONTH($C23)+1)&lt;1,((YEAR(H$5)-YEAR($C23))*12+MONTH(H$5)-MONTH($C23)+1)&gt;$D23),0,$E23*IF($G23,1,N(INDEX(Phasing!$I23:$AF23,((YEAR(H$5)-YEAR($C23))*12+MONTH(H$5)-MONTH($C23)+1))))/$F23))</f>
        <v>0</v>
      </c>
      <c r="I23" s="38" t="n">
        <f aca="false">IF(OR($C23="",$D23="",$F23=0),0,IF(OR(I$5&lt;=Projects!$C$2,((YEAR(I$5)-YEAR($C23))*12+MONTH(I$5)-MONTH($C23)+1)&lt;1,((YEAR(I$5)-YEAR($C23))*12+MONTH(I$5)-MONTH($C23)+1)&gt;$D23),0,$E23*IF($G23,1,N(INDEX(Phasing!$I23:$AF23,((YEAR(I$5)-YEAR($C23))*12+MONTH(I$5)-MONTH($C23)+1))))/$F23))</f>
        <v>0</v>
      </c>
      <c r="J23" s="38" t="n">
        <f aca="false">IF(OR($C23="",$D23="",$F23=0),0,IF(OR(J$5&lt;=Projects!$C$2,((YEAR(J$5)-YEAR($C23))*12+MONTH(J$5)-MONTH($C23)+1)&lt;1,((YEAR(J$5)-YEAR($C23))*12+MONTH(J$5)-MONTH($C23)+1)&gt;$D23),0,$E23*IF($G23,1,N(INDEX(Phasing!$I23:$AF23,((YEAR(J$5)-YEAR($C23))*12+MONTH(J$5)-MONTH($C23)+1))))/$F23))</f>
        <v>0</v>
      </c>
      <c r="K23" s="38" t="n">
        <f aca="false">IF(OR($C23="",$D23="",$F23=0),0,IF(OR(K$5&lt;=Projects!$C$2,((YEAR(K$5)-YEAR($C23))*12+MONTH(K$5)-MONTH($C23)+1)&lt;1,((YEAR(K$5)-YEAR($C23))*12+MONTH(K$5)-MONTH($C23)+1)&gt;$D23),0,$E23*IF($G23,1,N(INDEX(Phasing!$I23:$AF23,((YEAR(K$5)-YEAR($C23))*12+MONTH(K$5)-MONTH($C23)+1))))/$F23))</f>
        <v>0</v>
      </c>
      <c r="L23" s="38" t="n">
        <f aca="false">IF(OR($C23="",$D23="",$F23=0),0,IF(OR(L$5&lt;=Projects!$C$2,((YEAR(L$5)-YEAR($C23))*12+MONTH(L$5)-MONTH($C23)+1)&lt;1,((YEAR(L$5)-YEAR($C23))*12+MONTH(L$5)-MONTH($C23)+1)&gt;$D23),0,$E23*IF($G23,1,N(INDEX(Phasing!$I23:$AF23,((YEAR(L$5)-YEAR($C23))*12+MONTH(L$5)-MONTH($C23)+1))))/$F23))</f>
        <v>0</v>
      </c>
      <c r="M23" s="38" t="n">
        <f aca="false">IF(OR($C23="",$D23="",$F23=0),0,IF(OR(M$5&lt;=Projects!$C$2,((YEAR(M$5)-YEAR($C23))*12+MONTH(M$5)-MONTH($C23)+1)&lt;1,((YEAR(M$5)-YEAR($C23))*12+MONTH(M$5)-MONTH($C23)+1)&gt;$D23),0,$E23*IF($G23,1,N(INDEX(Phasing!$I23:$AF23,((YEAR(M$5)-YEAR($C23))*12+MONTH(M$5)-MONTH($C23)+1))))/$F23))</f>
        <v>0</v>
      </c>
      <c r="N23" s="38" t="n">
        <f aca="false">IF(OR($C23="",$D23="",$F23=0),0,IF(OR(N$5&lt;=Projects!$C$2,((YEAR(N$5)-YEAR($C23))*12+MONTH(N$5)-MONTH($C23)+1)&lt;1,((YEAR(N$5)-YEAR($C23))*12+MONTH(N$5)-MONTH($C23)+1)&gt;$D23),0,$E23*IF($G23,1,N(INDEX(Phasing!$I23:$AF23,((YEAR(N$5)-YEAR($C23))*12+MONTH(N$5)-MONTH($C23)+1))))/$F23))</f>
        <v>0</v>
      </c>
      <c r="O23" s="38" t="n">
        <f aca="false">IF(OR($C23="",$D23="",$F23=0),0,IF(OR(O$5&lt;=Projects!$C$2,((YEAR(O$5)-YEAR($C23))*12+MONTH(O$5)-MONTH($C23)+1)&lt;1,((YEAR(O$5)-YEAR($C23))*12+MONTH(O$5)-MONTH($C23)+1)&gt;$D23),0,$E23*IF($G23,1,N(INDEX(Phasing!$I23:$AF23,((YEAR(O$5)-YEAR($C23))*12+MONTH(O$5)-MONTH($C23)+1))))/$F23))</f>
        <v>0</v>
      </c>
      <c r="P23" s="38" t="n">
        <f aca="false">IF(OR($C23="",$D23="",$F23=0),0,IF(OR(P$5&lt;=Projects!$C$2,((YEAR(P$5)-YEAR($C23))*12+MONTH(P$5)-MONTH($C23)+1)&lt;1,((YEAR(P$5)-YEAR($C23))*12+MONTH(P$5)-MONTH($C23)+1)&gt;$D23),0,$E23*IF($G23,1,N(INDEX(Phasing!$I23:$AF23,((YEAR(P$5)-YEAR($C23))*12+MONTH(P$5)-MONTH($C23)+1))))/$F23))</f>
        <v>0</v>
      </c>
      <c r="Q23" s="38" t="n">
        <f aca="false">IF(OR($C23="",$D23="",$F23=0),0,IF(OR(Q$5&lt;=Projects!$C$2,((YEAR(Q$5)-YEAR($C23))*12+MONTH(Q$5)-MONTH($C23)+1)&lt;1,((YEAR(Q$5)-YEAR($C23))*12+MONTH(Q$5)-MONTH($C23)+1)&gt;$D23),0,$E23*IF($G23,1,N(INDEX(Phasing!$I23:$AF23,((YEAR(Q$5)-YEAR($C23))*12+MONTH(Q$5)-MONTH($C23)+1))))/$F23))</f>
        <v>0</v>
      </c>
      <c r="R23" s="38" t="n">
        <f aca="false">IF(OR($C23="",$D23="",$F23=0),0,IF(OR(R$5&lt;=Projects!$C$2,((YEAR(R$5)-YEAR($C23))*12+MONTH(R$5)-MONTH($C23)+1)&lt;1,((YEAR(R$5)-YEAR($C23))*12+MONTH(R$5)-MONTH($C23)+1)&gt;$D23),0,$E23*IF($G23,1,N(INDEX(Phasing!$I23:$AF23,((YEAR(R$5)-YEAR($C23))*12+MONTH(R$5)-MONTH($C23)+1))))/$F23))</f>
        <v>0</v>
      </c>
      <c r="S23" s="38" t="n">
        <f aca="false">IF(OR($C23="",$D23="",$F23=0),0,IF(OR(S$5&lt;=Projects!$C$2,((YEAR(S$5)-YEAR($C23))*12+MONTH(S$5)-MONTH($C23)+1)&lt;1,((YEAR(S$5)-YEAR($C23))*12+MONTH(S$5)-MONTH($C23)+1)&gt;$D23),0,$E23*IF($G23,1,N(INDEX(Phasing!$I23:$AF23,((YEAR(S$5)-YEAR($C23))*12+MONTH(S$5)-MONTH($C23)+1))))/$F23))</f>
        <v>0</v>
      </c>
      <c r="T23" s="38" t="n">
        <f aca="false">IF(OR($C23="",$D23="",$F23=0),0,IF(OR(T$5&lt;=Projects!$C$2,((YEAR(T$5)-YEAR($C23))*12+MONTH(T$5)-MONTH($C23)+1)&lt;1,((YEAR(T$5)-YEAR($C23))*12+MONTH(T$5)-MONTH($C23)+1)&gt;$D23),0,$E23*IF($G23,1,N(INDEX(Phasing!$I23:$AF23,((YEAR(T$5)-YEAR($C23))*12+MONTH(T$5)-MONTH($C23)+1))))/$F23))</f>
        <v>0</v>
      </c>
      <c r="U23" s="38" t="n">
        <f aca="false">IF(OR($C23="",$D23="",$F23=0),0,IF(OR(U$5&lt;=Projects!$C$2,((YEAR(U$5)-YEAR($C23))*12+MONTH(U$5)-MONTH($C23)+1)&lt;1,((YEAR(U$5)-YEAR($C23))*12+MONTH(U$5)-MONTH($C23)+1)&gt;$D23),0,$E23*IF($G23,1,N(INDEX(Phasing!$I23:$AF23,((YEAR(U$5)-YEAR($C23))*12+MONTH(U$5)-MONTH($C23)+1))))/$F23))</f>
        <v>0</v>
      </c>
      <c r="V23" s="38" t="n">
        <f aca="false">IF(OR($C23="",$D23="",$F23=0),0,IF(OR(V$5&lt;=Projects!$C$2,((YEAR(V$5)-YEAR($C23))*12+MONTH(V$5)-MONTH($C23)+1)&lt;1,((YEAR(V$5)-YEAR($C23))*12+MONTH(V$5)-MONTH($C23)+1)&gt;$D23),0,$E23*IF($G23,1,N(INDEX(Phasing!$I23:$AF23,((YEAR(V$5)-YEAR($C23))*12+MONTH(V$5)-MONTH($C23)+1))))/$F23))</f>
        <v>0</v>
      </c>
      <c r="W23" s="38" t="n">
        <f aca="false">IF(OR($C23="",$D23="",$F23=0),0,IF(OR(W$5&lt;=Projects!$C$2,((YEAR(W$5)-YEAR($C23))*12+MONTH(W$5)-MONTH($C23)+1)&lt;1,((YEAR(W$5)-YEAR($C23))*12+MONTH(W$5)-MONTH($C23)+1)&gt;$D23),0,$E23*IF($G23,1,N(INDEX(Phasing!$I23:$AF23,((YEAR(W$5)-YEAR($C23))*12+MONTH(W$5)-MONTH($C23)+1))))/$F23))</f>
        <v>0</v>
      </c>
      <c r="X23" s="38" t="n">
        <f aca="false">IF(OR($C23="",$D23="",$F23=0),0,IF(OR(X$5&lt;=Projects!$C$2,((YEAR(X$5)-YEAR($C23))*12+MONTH(X$5)-MONTH($C23)+1)&lt;1,((YEAR(X$5)-YEAR($C23))*12+MONTH(X$5)-MONTH($C23)+1)&gt;$D23),0,$E23*IF($G23,1,N(INDEX(Phasing!$I23:$AF23,((YEAR(X$5)-YEAR($C23))*12+MONTH(X$5)-MONTH($C23)+1))))/$F23))</f>
        <v>0</v>
      </c>
      <c r="Y23" s="38" t="n">
        <f aca="false">IF(OR($C23="",$D23="",$F23=0),0,IF(OR(Y$5&lt;=Projects!$C$2,((YEAR(Y$5)-YEAR($C23))*12+MONTH(Y$5)-MONTH($C23)+1)&lt;1,((YEAR(Y$5)-YEAR($C23))*12+MONTH(Y$5)-MONTH($C23)+1)&gt;$D23),0,$E23*IF($G23,1,N(INDEX(Phasing!$I23:$AF23,((YEAR(Y$5)-YEAR($C23))*12+MONTH(Y$5)-MONTH($C23)+1))))/$F23))</f>
        <v>0</v>
      </c>
      <c r="Z23" s="38" t="n">
        <f aca="false">IF(OR($C23="",$D23="",$F23=0),0,IF(OR(Z$5&lt;=Projects!$C$2,((YEAR(Z$5)-YEAR($C23))*12+MONTH(Z$5)-MONTH($C23)+1)&lt;1,((YEAR(Z$5)-YEAR($C23))*12+MONTH(Z$5)-MONTH($C23)+1)&gt;$D23),0,$E23*IF($G23,1,N(INDEX(Phasing!$I23:$AF23,((YEAR(Z$5)-YEAR($C23))*12+MONTH(Z$5)-MONTH($C23)+1))))/$F23))</f>
        <v>0</v>
      </c>
      <c r="AA23" s="38" t="n">
        <f aca="false">IF(OR($C23="",$D23="",$F23=0),0,IF(OR(AA$5&lt;=Projects!$C$2,((YEAR(AA$5)-YEAR($C23))*12+MONTH(AA$5)-MONTH($C23)+1)&lt;1,((YEAR(AA$5)-YEAR($C23))*12+MONTH(AA$5)-MONTH($C23)+1)&gt;$D23),0,$E23*IF($G23,1,N(INDEX(Phasing!$I23:$AF23,((YEAR(AA$5)-YEAR($C23))*12+MONTH(AA$5)-MONTH($C23)+1))))/$F23))</f>
        <v>0</v>
      </c>
      <c r="AB23" s="38" t="n">
        <f aca="false">IF(OR($C23="",$D23="",$F23=0),0,IF(OR(AB$5&lt;=Projects!$C$2,((YEAR(AB$5)-YEAR($C23))*12+MONTH(AB$5)-MONTH($C23)+1)&lt;1,((YEAR(AB$5)-YEAR($C23))*12+MONTH(AB$5)-MONTH($C23)+1)&gt;$D23),0,$E23*IF($G23,1,N(INDEX(Phasing!$I23:$AF23,((YEAR(AB$5)-YEAR($C23))*12+MONTH(AB$5)-MONTH($C23)+1))))/$F23))</f>
        <v>0</v>
      </c>
      <c r="AC23" s="38" t="n">
        <f aca="false">IF(OR($C23="",$D23="",$F23=0),0,IF(OR(AC$5&lt;=Projects!$C$2,((YEAR(AC$5)-YEAR($C23))*12+MONTH(AC$5)-MONTH($C23)+1)&lt;1,((YEAR(AC$5)-YEAR($C23))*12+MONTH(AC$5)-MONTH($C23)+1)&gt;$D23),0,$E23*IF($G23,1,N(INDEX(Phasing!$I23:$AF23,((YEAR(AC$5)-YEAR($C23))*12+MONTH(AC$5)-MONTH($C23)+1))))/$F23))</f>
        <v>0</v>
      </c>
      <c r="AD23" s="38" t="n">
        <f aca="false">IF(OR($C23="",$D23="",$F23=0),0,IF(OR(AD$5&lt;=Projects!$C$2,((YEAR(AD$5)-YEAR($C23))*12+MONTH(AD$5)-MONTH($C23)+1)&lt;1,((YEAR(AD$5)-YEAR($C23))*12+MONTH(AD$5)-MONTH($C23)+1)&gt;$D23),0,$E23*IF($G23,1,N(INDEX(Phasing!$I23:$AF23,((YEAR(AD$5)-YEAR($C23))*12+MONTH(AD$5)-MONTH($C23)+1))))/$F23))</f>
        <v>0</v>
      </c>
      <c r="AE23" s="38" t="n">
        <f aca="false">IF(OR($C23="",$D23="",$F23=0),0,IF(OR(AE$5&lt;=Projects!$C$2,((YEAR(AE$5)-YEAR($C23))*12+MONTH(AE$5)-MONTH($C23)+1)&lt;1,((YEAR(AE$5)-YEAR($C23))*12+MONTH(AE$5)-MONTH($C23)+1)&gt;$D23),0,$E23*IF($G23,1,N(INDEX(Phasing!$I23:$AF23,((YEAR(AE$5)-YEAR($C23))*12+MONTH(AE$5)-MONTH($C23)+1))))/$F23))</f>
        <v>0</v>
      </c>
      <c r="AF23" s="38" t="n">
        <f aca="false">IF(OR($C23="",$D23="",$F23=0),0,IF(OR(AF$5&lt;=Projects!$C$2,((YEAR(AF$5)-YEAR($C23))*12+MONTH(AF$5)-MONTH($C23)+1)&lt;1,((YEAR(AF$5)-YEAR($C23))*12+MONTH(AF$5)-MONTH($C23)+1)&gt;$D23),0,$E23*IF($G23,1,N(INDEX(Phasing!$I23:$AF23,((YEAR(AF$5)-YEAR($C23))*12+MONTH(AF$5)-MONTH($C23)+1))))/$F23))</f>
        <v>0</v>
      </c>
      <c r="AG23" s="38" t="n">
        <f aca="false">IF(OR($C23="",$D23="",$F23=0),0,IF(OR(AG$5&lt;=Projects!$C$2,((YEAR(AG$5)-YEAR($C23))*12+MONTH(AG$5)-MONTH($C23)+1)&lt;1,((YEAR(AG$5)-YEAR($C23))*12+MONTH(AG$5)-MONTH($C23)+1)&gt;$D23),0,$E23*IF($G23,1,N(INDEX(Phasing!$I23:$AF23,((YEAR(AG$5)-YEAR($C23))*12+MONTH(AG$5)-MONTH($C23)+1))))/$F23))</f>
        <v>0</v>
      </c>
      <c r="AH23" s="38" t="n">
        <f aca="false">IF(OR($C23="",$D23="",$F23=0),0,IF(OR(AH$5&lt;=Projects!$C$2,((YEAR(AH$5)-YEAR($C23))*12+MONTH(AH$5)-MONTH($C23)+1)&lt;1,((YEAR(AH$5)-YEAR($C23))*12+MONTH(AH$5)-MONTH($C23)+1)&gt;$D23),0,$E23*IF($G23,1,N(INDEX(Phasing!$I23:$AF23,((YEAR(AH$5)-YEAR($C23))*12+MONTH(AH$5)-MONTH($C23)+1))))/$F23))</f>
        <v>0</v>
      </c>
      <c r="AI23" s="38" t="n">
        <f aca="false">IF(OR($C23="",$D23="",$F23=0),0,IF(OR(AI$5&lt;=Projects!$C$2,((YEAR(AI$5)-YEAR($C23))*12+MONTH(AI$5)-MONTH($C23)+1)&lt;1,((YEAR(AI$5)-YEAR($C23))*12+MONTH(AI$5)-MONTH($C23)+1)&gt;$D23),0,$E23*IF($G23,1,N(INDEX(Phasing!$I23:$AF23,((YEAR(AI$5)-YEAR($C23))*12+MONTH(AI$5)-MONTH($C23)+1))))/$F23))</f>
        <v>0</v>
      </c>
      <c r="AJ23" s="38" t="n">
        <f aca="false">IF(OR($C23="",$D23="",$F23=0),0,IF(OR(AJ$5&lt;=Projects!$C$2,((YEAR(AJ$5)-YEAR($C23))*12+MONTH(AJ$5)-MONTH($C23)+1)&lt;1,((YEAR(AJ$5)-YEAR($C23))*12+MONTH(AJ$5)-MONTH($C23)+1)&gt;$D23),0,$E23*IF($G23,1,N(INDEX(Phasing!$I23:$AF23,((YEAR(AJ$5)-YEAR($C23))*12+MONTH(AJ$5)-MONTH($C23)+1))))/$F23))</f>
        <v>0</v>
      </c>
      <c r="AK23" s="38" t="n">
        <f aca="false">IF(OR($C23="",$D23="",$F23=0),0,IF(OR(AK$5&lt;=Projects!$C$2,((YEAR(AK$5)-YEAR($C23))*12+MONTH(AK$5)-MONTH($C23)+1)&lt;1,((YEAR(AK$5)-YEAR($C23))*12+MONTH(AK$5)-MONTH($C23)+1)&gt;$D23),0,$E23*IF($G23,1,N(INDEX(Phasing!$I23:$AF23,((YEAR(AK$5)-YEAR($C23))*12+MONTH(AK$5)-MONTH($C23)+1))))/$F23))</f>
        <v>0</v>
      </c>
      <c r="AL23" s="38" t="n">
        <f aca="false">IF(OR($C23="",$D23="",$F23=0),0,IF(OR(AL$5&lt;=Projects!$C$2,((YEAR(AL$5)-YEAR($C23))*12+MONTH(AL$5)-MONTH($C23)+1)&lt;1,((YEAR(AL$5)-YEAR($C23))*12+MONTH(AL$5)-MONTH($C23)+1)&gt;$D23),0,$E23*IF($G23,1,N(INDEX(Phasing!$I23:$AF23,((YEAR(AL$5)-YEAR($C23))*12+MONTH(AL$5)-MONTH($C23)+1))))/$F23))</f>
        <v>0</v>
      </c>
      <c r="AM23" s="38" t="n">
        <f aca="false">IF(OR($C23="",$D23="",$F23=0),0,IF(OR(AM$5&lt;=Projects!$C$2,((YEAR(AM$5)-YEAR($C23))*12+MONTH(AM$5)-MONTH($C23)+1)&lt;1,((YEAR(AM$5)-YEAR($C23))*12+MONTH(AM$5)-MONTH($C23)+1)&gt;$D23),0,$E23*IF($G23,1,N(INDEX(Phasing!$I23:$AF23,((YEAR(AM$5)-YEAR($C23))*12+MONTH(AM$5)-MONTH($C23)+1))))/$F23))</f>
        <v>0</v>
      </c>
      <c r="AN23" s="38" t="n">
        <f aca="false">IF(OR($C23="",$D23="",$F23=0),0,IF(OR(AN$5&lt;=Projects!$C$2,((YEAR(AN$5)-YEAR($C23))*12+MONTH(AN$5)-MONTH($C23)+1)&lt;1,((YEAR(AN$5)-YEAR($C23))*12+MONTH(AN$5)-MONTH($C23)+1)&gt;$D23),0,$E23*IF($G23,1,N(INDEX(Phasing!$I23:$AF23,((YEAR(AN$5)-YEAR($C23))*12+MONTH(AN$5)-MONTH($C23)+1))))/$F23))</f>
        <v>0</v>
      </c>
      <c r="AO23" s="38" t="n">
        <f aca="false">IF(OR($C23="",$D23="",$F23=0),0,IF(OR(AO$5&lt;=Projects!$C$2,((YEAR(AO$5)-YEAR($C23))*12+MONTH(AO$5)-MONTH($C23)+1)&lt;1,((YEAR(AO$5)-YEAR($C23))*12+MONTH(AO$5)-MONTH($C23)+1)&gt;$D23),0,$E23*IF($G23,1,N(INDEX(Phasing!$I23:$AF23,((YEAR(AO$5)-YEAR($C23))*12+MONTH(AO$5)-MONTH($C23)+1))))/$F23))</f>
        <v>0</v>
      </c>
      <c r="AP23" s="38" t="n">
        <f aca="false">IF(OR($C23="",$D23="",$F23=0),0,IF(OR(AP$5&lt;=Projects!$C$2,((YEAR(AP$5)-YEAR($C23))*12+MONTH(AP$5)-MONTH($C23)+1)&lt;1,((YEAR(AP$5)-YEAR($C23))*12+MONTH(AP$5)-MONTH($C23)+1)&gt;$D23),0,$E23*IF($G23,1,N(INDEX(Phasing!$I23:$AF23,((YEAR(AP$5)-YEAR($C23))*12+MONTH(AP$5)-MONTH($C23)+1))))/$F23))</f>
        <v>0</v>
      </c>
      <c r="AQ23" s="38" t="n">
        <f aca="false">IF(OR($C23="",$D23="",$F23=0),0,IF(OR(AQ$5&lt;=Projects!$C$2,((YEAR(AQ$5)-YEAR($C23))*12+MONTH(AQ$5)-MONTH($C23)+1)&lt;1,((YEAR(AQ$5)-YEAR($C23))*12+MONTH(AQ$5)-MONTH($C23)+1)&gt;$D23),0,$E23*IF($G23,1,N(INDEX(Phasing!$I23:$AF23,((YEAR(AQ$5)-YEAR($C23))*12+MONTH(AQ$5)-MONTH($C23)+1))))/$F23))</f>
        <v>0</v>
      </c>
    </row>
    <row r="24" customFormat="false" ht="15" hidden="false" customHeight="false" outlineLevel="0" collapsed="false">
      <c r="A24" s="11" t="n">
        <v>19</v>
      </c>
      <c r="B24" s="21" t="str">
        <f aca="false">IF(Projects!B24="","",Projects!B24)</f>
        <v/>
      </c>
      <c r="C24" s="31" t="str">
        <f aca="false">IF(Projects!D24="","",Projects!D24)</f>
        <v/>
      </c>
      <c r="D24" s="21" t="str">
        <f aca="false">IF(Projects!E24="","",Projects!E24)</f>
        <v/>
      </c>
      <c r="E24" s="33" t="n">
        <f aca="false">IF(Projects!B24="",0,N(Projects!I24))</f>
        <v>0</v>
      </c>
      <c r="F24" s="21" t="n">
        <f aca="false">Phasing!G24</f>
        <v>0</v>
      </c>
      <c r="G24" s="48" t="b">
        <f aca="false">Phasing!D24=0</f>
        <v>1</v>
      </c>
      <c r="H24" s="38" t="n">
        <f aca="false">IF(OR($C24="",$D24="",$F24=0),0,IF(OR(H$5&lt;=Projects!$C$2,((YEAR(H$5)-YEAR($C24))*12+MONTH(H$5)-MONTH($C24)+1)&lt;1,((YEAR(H$5)-YEAR($C24))*12+MONTH(H$5)-MONTH($C24)+1)&gt;$D24),0,$E24*IF($G24,1,N(INDEX(Phasing!$I24:$AF24,((YEAR(H$5)-YEAR($C24))*12+MONTH(H$5)-MONTH($C24)+1))))/$F24))</f>
        <v>0</v>
      </c>
      <c r="I24" s="38" t="n">
        <f aca="false">IF(OR($C24="",$D24="",$F24=0),0,IF(OR(I$5&lt;=Projects!$C$2,((YEAR(I$5)-YEAR($C24))*12+MONTH(I$5)-MONTH($C24)+1)&lt;1,((YEAR(I$5)-YEAR($C24))*12+MONTH(I$5)-MONTH($C24)+1)&gt;$D24),0,$E24*IF($G24,1,N(INDEX(Phasing!$I24:$AF24,((YEAR(I$5)-YEAR($C24))*12+MONTH(I$5)-MONTH($C24)+1))))/$F24))</f>
        <v>0</v>
      </c>
      <c r="J24" s="38" t="n">
        <f aca="false">IF(OR($C24="",$D24="",$F24=0),0,IF(OR(J$5&lt;=Projects!$C$2,((YEAR(J$5)-YEAR($C24))*12+MONTH(J$5)-MONTH($C24)+1)&lt;1,((YEAR(J$5)-YEAR($C24))*12+MONTH(J$5)-MONTH($C24)+1)&gt;$D24),0,$E24*IF($G24,1,N(INDEX(Phasing!$I24:$AF24,((YEAR(J$5)-YEAR($C24))*12+MONTH(J$5)-MONTH($C24)+1))))/$F24))</f>
        <v>0</v>
      </c>
      <c r="K24" s="38" t="n">
        <f aca="false">IF(OR($C24="",$D24="",$F24=0),0,IF(OR(K$5&lt;=Projects!$C$2,((YEAR(K$5)-YEAR($C24))*12+MONTH(K$5)-MONTH($C24)+1)&lt;1,((YEAR(K$5)-YEAR($C24))*12+MONTH(K$5)-MONTH($C24)+1)&gt;$D24),0,$E24*IF($G24,1,N(INDEX(Phasing!$I24:$AF24,((YEAR(K$5)-YEAR($C24))*12+MONTH(K$5)-MONTH($C24)+1))))/$F24))</f>
        <v>0</v>
      </c>
      <c r="L24" s="38" t="n">
        <f aca="false">IF(OR($C24="",$D24="",$F24=0),0,IF(OR(L$5&lt;=Projects!$C$2,((YEAR(L$5)-YEAR($C24))*12+MONTH(L$5)-MONTH($C24)+1)&lt;1,((YEAR(L$5)-YEAR($C24))*12+MONTH(L$5)-MONTH($C24)+1)&gt;$D24),0,$E24*IF($G24,1,N(INDEX(Phasing!$I24:$AF24,((YEAR(L$5)-YEAR($C24))*12+MONTH(L$5)-MONTH($C24)+1))))/$F24))</f>
        <v>0</v>
      </c>
      <c r="M24" s="38" t="n">
        <f aca="false">IF(OR($C24="",$D24="",$F24=0),0,IF(OR(M$5&lt;=Projects!$C$2,((YEAR(M$5)-YEAR($C24))*12+MONTH(M$5)-MONTH($C24)+1)&lt;1,((YEAR(M$5)-YEAR($C24))*12+MONTH(M$5)-MONTH($C24)+1)&gt;$D24),0,$E24*IF($G24,1,N(INDEX(Phasing!$I24:$AF24,((YEAR(M$5)-YEAR($C24))*12+MONTH(M$5)-MONTH($C24)+1))))/$F24))</f>
        <v>0</v>
      </c>
      <c r="N24" s="38" t="n">
        <f aca="false">IF(OR($C24="",$D24="",$F24=0),0,IF(OR(N$5&lt;=Projects!$C$2,((YEAR(N$5)-YEAR($C24))*12+MONTH(N$5)-MONTH($C24)+1)&lt;1,((YEAR(N$5)-YEAR($C24))*12+MONTH(N$5)-MONTH($C24)+1)&gt;$D24),0,$E24*IF($G24,1,N(INDEX(Phasing!$I24:$AF24,((YEAR(N$5)-YEAR($C24))*12+MONTH(N$5)-MONTH($C24)+1))))/$F24))</f>
        <v>0</v>
      </c>
      <c r="O24" s="38" t="n">
        <f aca="false">IF(OR($C24="",$D24="",$F24=0),0,IF(OR(O$5&lt;=Projects!$C$2,((YEAR(O$5)-YEAR($C24))*12+MONTH(O$5)-MONTH($C24)+1)&lt;1,((YEAR(O$5)-YEAR($C24))*12+MONTH(O$5)-MONTH($C24)+1)&gt;$D24),0,$E24*IF($G24,1,N(INDEX(Phasing!$I24:$AF24,((YEAR(O$5)-YEAR($C24))*12+MONTH(O$5)-MONTH($C24)+1))))/$F24))</f>
        <v>0</v>
      </c>
      <c r="P24" s="38" t="n">
        <f aca="false">IF(OR($C24="",$D24="",$F24=0),0,IF(OR(P$5&lt;=Projects!$C$2,((YEAR(P$5)-YEAR($C24))*12+MONTH(P$5)-MONTH($C24)+1)&lt;1,((YEAR(P$5)-YEAR($C24))*12+MONTH(P$5)-MONTH($C24)+1)&gt;$D24),0,$E24*IF($G24,1,N(INDEX(Phasing!$I24:$AF24,((YEAR(P$5)-YEAR($C24))*12+MONTH(P$5)-MONTH($C24)+1))))/$F24))</f>
        <v>0</v>
      </c>
      <c r="Q24" s="38" t="n">
        <f aca="false">IF(OR($C24="",$D24="",$F24=0),0,IF(OR(Q$5&lt;=Projects!$C$2,((YEAR(Q$5)-YEAR($C24))*12+MONTH(Q$5)-MONTH($C24)+1)&lt;1,((YEAR(Q$5)-YEAR($C24))*12+MONTH(Q$5)-MONTH($C24)+1)&gt;$D24),0,$E24*IF($G24,1,N(INDEX(Phasing!$I24:$AF24,((YEAR(Q$5)-YEAR($C24))*12+MONTH(Q$5)-MONTH($C24)+1))))/$F24))</f>
        <v>0</v>
      </c>
      <c r="R24" s="38" t="n">
        <f aca="false">IF(OR($C24="",$D24="",$F24=0),0,IF(OR(R$5&lt;=Projects!$C$2,((YEAR(R$5)-YEAR($C24))*12+MONTH(R$5)-MONTH($C24)+1)&lt;1,((YEAR(R$5)-YEAR($C24))*12+MONTH(R$5)-MONTH($C24)+1)&gt;$D24),0,$E24*IF($G24,1,N(INDEX(Phasing!$I24:$AF24,((YEAR(R$5)-YEAR($C24))*12+MONTH(R$5)-MONTH($C24)+1))))/$F24))</f>
        <v>0</v>
      </c>
      <c r="S24" s="38" t="n">
        <f aca="false">IF(OR($C24="",$D24="",$F24=0),0,IF(OR(S$5&lt;=Projects!$C$2,((YEAR(S$5)-YEAR($C24))*12+MONTH(S$5)-MONTH($C24)+1)&lt;1,((YEAR(S$5)-YEAR($C24))*12+MONTH(S$5)-MONTH($C24)+1)&gt;$D24),0,$E24*IF($G24,1,N(INDEX(Phasing!$I24:$AF24,((YEAR(S$5)-YEAR($C24))*12+MONTH(S$5)-MONTH($C24)+1))))/$F24))</f>
        <v>0</v>
      </c>
      <c r="T24" s="38" t="n">
        <f aca="false">IF(OR($C24="",$D24="",$F24=0),0,IF(OR(T$5&lt;=Projects!$C$2,((YEAR(T$5)-YEAR($C24))*12+MONTH(T$5)-MONTH($C24)+1)&lt;1,((YEAR(T$5)-YEAR($C24))*12+MONTH(T$5)-MONTH($C24)+1)&gt;$D24),0,$E24*IF($G24,1,N(INDEX(Phasing!$I24:$AF24,((YEAR(T$5)-YEAR($C24))*12+MONTH(T$5)-MONTH($C24)+1))))/$F24))</f>
        <v>0</v>
      </c>
      <c r="U24" s="38" t="n">
        <f aca="false">IF(OR($C24="",$D24="",$F24=0),0,IF(OR(U$5&lt;=Projects!$C$2,((YEAR(U$5)-YEAR($C24))*12+MONTH(U$5)-MONTH($C24)+1)&lt;1,((YEAR(U$5)-YEAR($C24))*12+MONTH(U$5)-MONTH($C24)+1)&gt;$D24),0,$E24*IF($G24,1,N(INDEX(Phasing!$I24:$AF24,((YEAR(U$5)-YEAR($C24))*12+MONTH(U$5)-MONTH($C24)+1))))/$F24))</f>
        <v>0</v>
      </c>
      <c r="V24" s="38" t="n">
        <f aca="false">IF(OR($C24="",$D24="",$F24=0),0,IF(OR(V$5&lt;=Projects!$C$2,((YEAR(V$5)-YEAR($C24))*12+MONTH(V$5)-MONTH($C24)+1)&lt;1,((YEAR(V$5)-YEAR($C24))*12+MONTH(V$5)-MONTH($C24)+1)&gt;$D24),0,$E24*IF($G24,1,N(INDEX(Phasing!$I24:$AF24,((YEAR(V$5)-YEAR($C24))*12+MONTH(V$5)-MONTH($C24)+1))))/$F24))</f>
        <v>0</v>
      </c>
      <c r="W24" s="38" t="n">
        <f aca="false">IF(OR($C24="",$D24="",$F24=0),0,IF(OR(W$5&lt;=Projects!$C$2,((YEAR(W$5)-YEAR($C24))*12+MONTH(W$5)-MONTH($C24)+1)&lt;1,((YEAR(W$5)-YEAR($C24))*12+MONTH(W$5)-MONTH($C24)+1)&gt;$D24),0,$E24*IF($G24,1,N(INDEX(Phasing!$I24:$AF24,((YEAR(W$5)-YEAR($C24))*12+MONTH(W$5)-MONTH($C24)+1))))/$F24))</f>
        <v>0</v>
      </c>
      <c r="X24" s="38" t="n">
        <f aca="false">IF(OR($C24="",$D24="",$F24=0),0,IF(OR(X$5&lt;=Projects!$C$2,((YEAR(X$5)-YEAR($C24))*12+MONTH(X$5)-MONTH($C24)+1)&lt;1,((YEAR(X$5)-YEAR($C24))*12+MONTH(X$5)-MONTH($C24)+1)&gt;$D24),0,$E24*IF($G24,1,N(INDEX(Phasing!$I24:$AF24,((YEAR(X$5)-YEAR($C24))*12+MONTH(X$5)-MONTH($C24)+1))))/$F24))</f>
        <v>0</v>
      </c>
      <c r="Y24" s="38" t="n">
        <f aca="false">IF(OR($C24="",$D24="",$F24=0),0,IF(OR(Y$5&lt;=Projects!$C$2,((YEAR(Y$5)-YEAR($C24))*12+MONTH(Y$5)-MONTH($C24)+1)&lt;1,((YEAR(Y$5)-YEAR($C24))*12+MONTH(Y$5)-MONTH($C24)+1)&gt;$D24),0,$E24*IF($G24,1,N(INDEX(Phasing!$I24:$AF24,((YEAR(Y$5)-YEAR($C24))*12+MONTH(Y$5)-MONTH($C24)+1))))/$F24))</f>
        <v>0</v>
      </c>
      <c r="Z24" s="38" t="n">
        <f aca="false">IF(OR($C24="",$D24="",$F24=0),0,IF(OR(Z$5&lt;=Projects!$C$2,((YEAR(Z$5)-YEAR($C24))*12+MONTH(Z$5)-MONTH($C24)+1)&lt;1,((YEAR(Z$5)-YEAR($C24))*12+MONTH(Z$5)-MONTH($C24)+1)&gt;$D24),0,$E24*IF($G24,1,N(INDEX(Phasing!$I24:$AF24,((YEAR(Z$5)-YEAR($C24))*12+MONTH(Z$5)-MONTH($C24)+1))))/$F24))</f>
        <v>0</v>
      </c>
      <c r="AA24" s="38" t="n">
        <f aca="false">IF(OR($C24="",$D24="",$F24=0),0,IF(OR(AA$5&lt;=Projects!$C$2,((YEAR(AA$5)-YEAR($C24))*12+MONTH(AA$5)-MONTH($C24)+1)&lt;1,((YEAR(AA$5)-YEAR($C24))*12+MONTH(AA$5)-MONTH($C24)+1)&gt;$D24),0,$E24*IF($G24,1,N(INDEX(Phasing!$I24:$AF24,((YEAR(AA$5)-YEAR($C24))*12+MONTH(AA$5)-MONTH($C24)+1))))/$F24))</f>
        <v>0</v>
      </c>
      <c r="AB24" s="38" t="n">
        <f aca="false">IF(OR($C24="",$D24="",$F24=0),0,IF(OR(AB$5&lt;=Projects!$C$2,((YEAR(AB$5)-YEAR($C24))*12+MONTH(AB$5)-MONTH($C24)+1)&lt;1,((YEAR(AB$5)-YEAR($C24))*12+MONTH(AB$5)-MONTH($C24)+1)&gt;$D24),0,$E24*IF($G24,1,N(INDEX(Phasing!$I24:$AF24,((YEAR(AB$5)-YEAR($C24))*12+MONTH(AB$5)-MONTH($C24)+1))))/$F24))</f>
        <v>0</v>
      </c>
      <c r="AC24" s="38" t="n">
        <f aca="false">IF(OR($C24="",$D24="",$F24=0),0,IF(OR(AC$5&lt;=Projects!$C$2,((YEAR(AC$5)-YEAR($C24))*12+MONTH(AC$5)-MONTH($C24)+1)&lt;1,((YEAR(AC$5)-YEAR($C24))*12+MONTH(AC$5)-MONTH($C24)+1)&gt;$D24),0,$E24*IF($G24,1,N(INDEX(Phasing!$I24:$AF24,((YEAR(AC$5)-YEAR($C24))*12+MONTH(AC$5)-MONTH($C24)+1))))/$F24))</f>
        <v>0</v>
      </c>
      <c r="AD24" s="38" t="n">
        <f aca="false">IF(OR($C24="",$D24="",$F24=0),0,IF(OR(AD$5&lt;=Projects!$C$2,((YEAR(AD$5)-YEAR($C24))*12+MONTH(AD$5)-MONTH($C24)+1)&lt;1,((YEAR(AD$5)-YEAR($C24))*12+MONTH(AD$5)-MONTH($C24)+1)&gt;$D24),0,$E24*IF($G24,1,N(INDEX(Phasing!$I24:$AF24,((YEAR(AD$5)-YEAR($C24))*12+MONTH(AD$5)-MONTH($C24)+1))))/$F24))</f>
        <v>0</v>
      </c>
      <c r="AE24" s="38" t="n">
        <f aca="false">IF(OR($C24="",$D24="",$F24=0),0,IF(OR(AE$5&lt;=Projects!$C$2,((YEAR(AE$5)-YEAR($C24))*12+MONTH(AE$5)-MONTH($C24)+1)&lt;1,((YEAR(AE$5)-YEAR($C24))*12+MONTH(AE$5)-MONTH($C24)+1)&gt;$D24),0,$E24*IF($G24,1,N(INDEX(Phasing!$I24:$AF24,((YEAR(AE$5)-YEAR($C24))*12+MONTH(AE$5)-MONTH($C24)+1))))/$F24))</f>
        <v>0</v>
      </c>
      <c r="AF24" s="38" t="n">
        <f aca="false">IF(OR($C24="",$D24="",$F24=0),0,IF(OR(AF$5&lt;=Projects!$C$2,((YEAR(AF$5)-YEAR($C24))*12+MONTH(AF$5)-MONTH($C24)+1)&lt;1,((YEAR(AF$5)-YEAR($C24))*12+MONTH(AF$5)-MONTH($C24)+1)&gt;$D24),0,$E24*IF($G24,1,N(INDEX(Phasing!$I24:$AF24,((YEAR(AF$5)-YEAR($C24))*12+MONTH(AF$5)-MONTH($C24)+1))))/$F24))</f>
        <v>0</v>
      </c>
      <c r="AG24" s="38" t="n">
        <f aca="false">IF(OR($C24="",$D24="",$F24=0),0,IF(OR(AG$5&lt;=Projects!$C$2,((YEAR(AG$5)-YEAR($C24))*12+MONTH(AG$5)-MONTH($C24)+1)&lt;1,((YEAR(AG$5)-YEAR($C24))*12+MONTH(AG$5)-MONTH($C24)+1)&gt;$D24),0,$E24*IF($G24,1,N(INDEX(Phasing!$I24:$AF24,((YEAR(AG$5)-YEAR($C24))*12+MONTH(AG$5)-MONTH($C24)+1))))/$F24))</f>
        <v>0</v>
      </c>
      <c r="AH24" s="38" t="n">
        <f aca="false">IF(OR($C24="",$D24="",$F24=0),0,IF(OR(AH$5&lt;=Projects!$C$2,((YEAR(AH$5)-YEAR($C24))*12+MONTH(AH$5)-MONTH($C24)+1)&lt;1,((YEAR(AH$5)-YEAR($C24))*12+MONTH(AH$5)-MONTH($C24)+1)&gt;$D24),0,$E24*IF($G24,1,N(INDEX(Phasing!$I24:$AF24,((YEAR(AH$5)-YEAR($C24))*12+MONTH(AH$5)-MONTH($C24)+1))))/$F24))</f>
        <v>0</v>
      </c>
      <c r="AI24" s="38" t="n">
        <f aca="false">IF(OR($C24="",$D24="",$F24=0),0,IF(OR(AI$5&lt;=Projects!$C$2,((YEAR(AI$5)-YEAR($C24))*12+MONTH(AI$5)-MONTH($C24)+1)&lt;1,((YEAR(AI$5)-YEAR($C24))*12+MONTH(AI$5)-MONTH($C24)+1)&gt;$D24),0,$E24*IF($G24,1,N(INDEX(Phasing!$I24:$AF24,((YEAR(AI$5)-YEAR($C24))*12+MONTH(AI$5)-MONTH($C24)+1))))/$F24))</f>
        <v>0</v>
      </c>
      <c r="AJ24" s="38" t="n">
        <f aca="false">IF(OR($C24="",$D24="",$F24=0),0,IF(OR(AJ$5&lt;=Projects!$C$2,((YEAR(AJ$5)-YEAR($C24))*12+MONTH(AJ$5)-MONTH($C24)+1)&lt;1,((YEAR(AJ$5)-YEAR($C24))*12+MONTH(AJ$5)-MONTH($C24)+1)&gt;$D24),0,$E24*IF($G24,1,N(INDEX(Phasing!$I24:$AF24,((YEAR(AJ$5)-YEAR($C24))*12+MONTH(AJ$5)-MONTH($C24)+1))))/$F24))</f>
        <v>0</v>
      </c>
      <c r="AK24" s="38" t="n">
        <f aca="false">IF(OR($C24="",$D24="",$F24=0),0,IF(OR(AK$5&lt;=Projects!$C$2,((YEAR(AK$5)-YEAR($C24))*12+MONTH(AK$5)-MONTH($C24)+1)&lt;1,((YEAR(AK$5)-YEAR($C24))*12+MONTH(AK$5)-MONTH($C24)+1)&gt;$D24),0,$E24*IF($G24,1,N(INDEX(Phasing!$I24:$AF24,((YEAR(AK$5)-YEAR($C24))*12+MONTH(AK$5)-MONTH($C24)+1))))/$F24))</f>
        <v>0</v>
      </c>
      <c r="AL24" s="38" t="n">
        <f aca="false">IF(OR($C24="",$D24="",$F24=0),0,IF(OR(AL$5&lt;=Projects!$C$2,((YEAR(AL$5)-YEAR($C24))*12+MONTH(AL$5)-MONTH($C24)+1)&lt;1,((YEAR(AL$5)-YEAR($C24))*12+MONTH(AL$5)-MONTH($C24)+1)&gt;$D24),0,$E24*IF($G24,1,N(INDEX(Phasing!$I24:$AF24,((YEAR(AL$5)-YEAR($C24))*12+MONTH(AL$5)-MONTH($C24)+1))))/$F24))</f>
        <v>0</v>
      </c>
      <c r="AM24" s="38" t="n">
        <f aca="false">IF(OR($C24="",$D24="",$F24=0),0,IF(OR(AM$5&lt;=Projects!$C$2,((YEAR(AM$5)-YEAR($C24))*12+MONTH(AM$5)-MONTH($C24)+1)&lt;1,((YEAR(AM$5)-YEAR($C24))*12+MONTH(AM$5)-MONTH($C24)+1)&gt;$D24),0,$E24*IF($G24,1,N(INDEX(Phasing!$I24:$AF24,((YEAR(AM$5)-YEAR($C24))*12+MONTH(AM$5)-MONTH($C24)+1))))/$F24))</f>
        <v>0</v>
      </c>
      <c r="AN24" s="38" t="n">
        <f aca="false">IF(OR($C24="",$D24="",$F24=0),0,IF(OR(AN$5&lt;=Projects!$C$2,((YEAR(AN$5)-YEAR($C24))*12+MONTH(AN$5)-MONTH($C24)+1)&lt;1,((YEAR(AN$5)-YEAR($C24))*12+MONTH(AN$5)-MONTH($C24)+1)&gt;$D24),0,$E24*IF($G24,1,N(INDEX(Phasing!$I24:$AF24,((YEAR(AN$5)-YEAR($C24))*12+MONTH(AN$5)-MONTH($C24)+1))))/$F24))</f>
        <v>0</v>
      </c>
      <c r="AO24" s="38" t="n">
        <f aca="false">IF(OR($C24="",$D24="",$F24=0),0,IF(OR(AO$5&lt;=Projects!$C$2,((YEAR(AO$5)-YEAR($C24))*12+MONTH(AO$5)-MONTH($C24)+1)&lt;1,((YEAR(AO$5)-YEAR($C24))*12+MONTH(AO$5)-MONTH($C24)+1)&gt;$D24),0,$E24*IF($G24,1,N(INDEX(Phasing!$I24:$AF24,((YEAR(AO$5)-YEAR($C24))*12+MONTH(AO$5)-MONTH($C24)+1))))/$F24))</f>
        <v>0</v>
      </c>
      <c r="AP24" s="38" t="n">
        <f aca="false">IF(OR($C24="",$D24="",$F24=0),0,IF(OR(AP$5&lt;=Projects!$C$2,((YEAR(AP$5)-YEAR($C24))*12+MONTH(AP$5)-MONTH($C24)+1)&lt;1,((YEAR(AP$5)-YEAR($C24))*12+MONTH(AP$5)-MONTH($C24)+1)&gt;$D24),0,$E24*IF($G24,1,N(INDEX(Phasing!$I24:$AF24,((YEAR(AP$5)-YEAR($C24))*12+MONTH(AP$5)-MONTH($C24)+1))))/$F24))</f>
        <v>0</v>
      </c>
      <c r="AQ24" s="38" t="n">
        <f aca="false">IF(OR($C24="",$D24="",$F24=0),0,IF(OR(AQ$5&lt;=Projects!$C$2,((YEAR(AQ$5)-YEAR($C24))*12+MONTH(AQ$5)-MONTH($C24)+1)&lt;1,((YEAR(AQ$5)-YEAR($C24))*12+MONTH(AQ$5)-MONTH($C24)+1)&gt;$D24),0,$E24*IF($G24,1,N(INDEX(Phasing!$I24:$AF24,((YEAR(AQ$5)-YEAR($C24))*12+MONTH(AQ$5)-MONTH($C24)+1))))/$F24))</f>
        <v>0</v>
      </c>
    </row>
    <row r="25" customFormat="false" ht="15" hidden="false" customHeight="false" outlineLevel="0" collapsed="false">
      <c r="A25" s="11" t="n">
        <v>20</v>
      </c>
      <c r="B25" s="21" t="str">
        <f aca="false">IF(Projects!B25="","",Projects!B25)</f>
        <v/>
      </c>
      <c r="C25" s="31" t="str">
        <f aca="false">IF(Projects!D25="","",Projects!D25)</f>
        <v/>
      </c>
      <c r="D25" s="21" t="str">
        <f aca="false">IF(Projects!E25="","",Projects!E25)</f>
        <v/>
      </c>
      <c r="E25" s="33" t="n">
        <f aca="false">IF(Projects!B25="",0,N(Projects!I25))</f>
        <v>0</v>
      </c>
      <c r="F25" s="21" t="n">
        <f aca="false">Phasing!G25</f>
        <v>0</v>
      </c>
      <c r="G25" s="48" t="b">
        <f aca="false">Phasing!D25=0</f>
        <v>1</v>
      </c>
      <c r="H25" s="38" t="n">
        <f aca="false">IF(OR($C25="",$D25="",$F25=0),0,IF(OR(H$5&lt;=Projects!$C$2,((YEAR(H$5)-YEAR($C25))*12+MONTH(H$5)-MONTH($C25)+1)&lt;1,((YEAR(H$5)-YEAR($C25))*12+MONTH(H$5)-MONTH($C25)+1)&gt;$D25),0,$E25*IF($G25,1,N(INDEX(Phasing!$I25:$AF25,((YEAR(H$5)-YEAR($C25))*12+MONTH(H$5)-MONTH($C25)+1))))/$F25))</f>
        <v>0</v>
      </c>
      <c r="I25" s="38" t="n">
        <f aca="false">IF(OR($C25="",$D25="",$F25=0),0,IF(OR(I$5&lt;=Projects!$C$2,((YEAR(I$5)-YEAR($C25))*12+MONTH(I$5)-MONTH($C25)+1)&lt;1,((YEAR(I$5)-YEAR($C25))*12+MONTH(I$5)-MONTH($C25)+1)&gt;$D25),0,$E25*IF($G25,1,N(INDEX(Phasing!$I25:$AF25,((YEAR(I$5)-YEAR($C25))*12+MONTH(I$5)-MONTH($C25)+1))))/$F25))</f>
        <v>0</v>
      </c>
      <c r="J25" s="38" t="n">
        <f aca="false">IF(OR($C25="",$D25="",$F25=0),0,IF(OR(J$5&lt;=Projects!$C$2,((YEAR(J$5)-YEAR($C25))*12+MONTH(J$5)-MONTH($C25)+1)&lt;1,((YEAR(J$5)-YEAR($C25))*12+MONTH(J$5)-MONTH($C25)+1)&gt;$D25),0,$E25*IF($G25,1,N(INDEX(Phasing!$I25:$AF25,((YEAR(J$5)-YEAR($C25))*12+MONTH(J$5)-MONTH($C25)+1))))/$F25))</f>
        <v>0</v>
      </c>
      <c r="K25" s="38" t="n">
        <f aca="false">IF(OR($C25="",$D25="",$F25=0),0,IF(OR(K$5&lt;=Projects!$C$2,((YEAR(K$5)-YEAR($C25))*12+MONTH(K$5)-MONTH($C25)+1)&lt;1,((YEAR(K$5)-YEAR($C25))*12+MONTH(K$5)-MONTH($C25)+1)&gt;$D25),0,$E25*IF($G25,1,N(INDEX(Phasing!$I25:$AF25,((YEAR(K$5)-YEAR($C25))*12+MONTH(K$5)-MONTH($C25)+1))))/$F25))</f>
        <v>0</v>
      </c>
      <c r="L25" s="38" t="n">
        <f aca="false">IF(OR($C25="",$D25="",$F25=0),0,IF(OR(L$5&lt;=Projects!$C$2,((YEAR(L$5)-YEAR($C25))*12+MONTH(L$5)-MONTH($C25)+1)&lt;1,((YEAR(L$5)-YEAR($C25))*12+MONTH(L$5)-MONTH($C25)+1)&gt;$D25),0,$E25*IF($G25,1,N(INDEX(Phasing!$I25:$AF25,((YEAR(L$5)-YEAR($C25))*12+MONTH(L$5)-MONTH($C25)+1))))/$F25))</f>
        <v>0</v>
      </c>
      <c r="M25" s="38" t="n">
        <f aca="false">IF(OR($C25="",$D25="",$F25=0),0,IF(OR(M$5&lt;=Projects!$C$2,((YEAR(M$5)-YEAR($C25))*12+MONTH(M$5)-MONTH($C25)+1)&lt;1,((YEAR(M$5)-YEAR($C25))*12+MONTH(M$5)-MONTH($C25)+1)&gt;$D25),0,$E25*IF($G25,1,N(INDEX(Phasing!$I25:$AF25,((YEAR(M$5)-YEAR($C25))*12+MONTH(M$5)-MONTH($C25)+1))))/$F25))</f>
        <v>0</v>
      </c>
      <c r="N25" s="38" t="n">
        <f aca="false">IF(OR($C25="",$D25="",$F25=0),0,IF(OR(N$5&lt;=Projects!$C$2,((YEAR(N$5)-YEAR($C25))*12+MONTH(N$5)-MONTH($C25)+1)&lt;1,((YEAR(N$5)-YEAR($C25))*12+MONTH(N$5)-MONTH($C25)+1)&gt;$D25),0,$E25*IF($G25,1,N(INDEX(Phasing!$I25:$AF25,((YEAR(N$5)-YEAR($C25))*12+MONTH(N$5)-MONTH($C25)+1))))/$F25))</f>
        <v>0</v>
      </c>
      <c r="O25" s="38" t="n">
        <f aca="false">IF(OR($C25="",$D25="",$F25=0),0,IF(OR(O$5&lt;=Projects!$C$2,((YEAR(O$5)-YEAR($C25))*12+MONTH(O$5)-MONTH($C25)+1)&lt;1,((YEAR(O$5)-YEAR($C25))*12+MONTH(O$5)-MONTH($C25)+1)&gt;$D25),0,$E25*IF($G25,1,N(INDEX(Phasing!$I25:$AF25,((YEAR(O$5)-YEAR($C25))*12+MONTH(O$5)-MONTH($C25)+1))))/$F25))</f>
        <v>0</v>
      </c>
      <c r="P25" s="38" t="n">
        <f aca="false">IF(OR($C25="",$D25="",$F25=0),0,IF(OR(P$5&lt;=Projects!$C$2,((YEAR(P$5)-YEAR($C25))*12+MONTH(P$5)-MONTH($C25)+1)&lt;1,((YEAR(P$5)-YEAR($C25))*12+MONTH(P$5)-MONTH($C25)+1)&gt;$D25),0,$E25*IF($G25,1,N(INDEX(Phasing!$I25:$AF25,((YEAR(P$5)-YEAR($C25))*12+MONTH(P$5)-MONTH($C25)+1))))/$F25))</f>
        <v>0</v>
      </c>
      <c r="Q25" s="38" t="n">
        <f aca="false">IF(OR($C25="",$D25="",$F25=0),0,IF(OR(Q$5&lt;=Projects!$C$2,((YEAR(Q$5)-YEAR($C25))*12+MONTH(Q$5)-MONTH($C25)+1)&lt;1,((YEAR(Q$5)-YEAR($C25))*12+MONTH(Q$5)-MONTH($C25)+1)&gt;$D25),0,$E25*IF($G25,1,N(INDEX(Phasing!$I25:$AF25,((YEAR(Q$5)-YEAR($C25))*12+MONTH(Q$5)-MONTH($C25)+1))))/$F25))</f>
        <v>0</v>
      </c>
      <c r="R25" s="38" t="n">
        <f aca="false">IF(OR($C25="",$D25="",$F25=0),0,IF(OR(R$5&lt;=Projects!$C$2,((YEAR(R$5)-YEAR($C25))*12+MONTH(R$5)-MONTH($C25)+1)&lt;1,((YEAR(R$5)-YEAR($C25))*12+MONTH(R$5)-MONTH($C25)+1)&gt;$D25),0,$E25*IF($G25,1,N(INDEX(Phasing!$I25:$AF25,((YEAR(R$5)-YEAR($C25))*12+MONTH(R$5)-MONTH($C25)+1))))/$F25))</f>
        <v>0</v>
      </c>
      <c r="S25" s="38" t="n">
        <f aca="false">IF(OR($C25="",$D25="",$F25=0),0,IF(OR(S$5&lt;=Projects!$C$2,((YEAR(S$5)-YEAR($C25))*12+MONTH(S$5)-MONTH($C25)+1)&lt;1,((YEAR(S$5)-YEAR($C25))*12+MONTH(S$5)-MONTH($C25)+1)&gt;$D25),0,$E25*IF($G25,1,N(INDEX(Phasing!$I25:$AF25,((YEAR(S$5)-YEAR($C25))*12+MONTH(S$5)-MONTH($C25)+1))))/$F25))</f>
        <v>0</v>
      </c>
      <c r="T25" s="38" t="n">
        <f aca="false">IF(OR($C25="",$D25="",$F25=0),0,IF(OR(T$5&lt;=Projects!$C$2,((YEAR(T$5)-YEAR($C25))*12+MONTH(T$5)-MONTH($C25)+1)&lt;1,((YEAR(T$5)-YEAR($C25))*12+MONTH(T$5)-MONTH($C25)+1)&gt;$D25),0,$E25*IF($G25,1,N(INDEX(Phasing!$I25:$AF25,((YEAR(T$5)-YEAR($C25))*12+MONTH(T$5)-MONTH($C25)+1))))/$F25))</f>
        <v>0</v>
      </c>
      <c r="U25" s="38" t="n">
        <f aca="false">IF(OR($C25="",$D25="",$F25=0),0,IF(OR(U$5&lt;=Projects!$C$2,((YEAR(U$5)-YEAR($C25))*12+MONTH(U$5)-MONTH($C25)+1)&lt;1,((YEAR(U$5)-YEAR($C25))*12+MONTH(U$5)-MONTH($C25)+1)&gt;$D25),0,$E25*IF($G25,1,N(INDEX(Phasing!$I25:$AF25,((YEAR(U$5)-YEAR($C25))*12+MONTH(U$5)-MONTH($C25)+1))))/$F25))</f>
        <v>0</v>
      </c>
      <c r="V25" s="38" t="n">
        <f aca="false">IF(OR($C25="",$D25="",$F25=0),0,IF(OR(V$5&lt;=Projects!$C$2,((YEAR(V$5)-YEAR($C25))*12+MONTH(V$5)-MONTH($C25)+1)&lt;1,((YEAR(V$5)-YEAR($C25))*12+MONTH(V$5)-MONTH($C25)+1)&gt;$D25),0,$E25*IF($G25,1,N(INDEX(Phasing!$I25:$AF25,((YEAR(V$5)-YEAR($C25))*12+MONTH(V$5)-MONTH($C25)+1))))/$F25))</f>
        <v>0</v>
      </c>
      <c r="W25" s="38" t="n">
        <f aca="false">IF(OR($C25="",$D25="",$F25=0),0,IF(OR(W$5&lt;=Projects!$C$2,((YEAR(W$5)-YEAR($C25))*12+MONTH(W$5)-MONTH($C25)+1)&lt;1,((YEAR(W$5)-YEAR($C25))*12+MONTH(W$5)-MONTH($C25)+1)&gt;$D25),0,$E25*IF($G25,1,N(INDEX(Phasing!$I25:$AF25,((YEAR(W$5)-YEAR($C25))*12+MONTH(W$5)-MONTH($C25)+1))))/$F25))</f>
        <v>0</v>
      </c>
      <c r="X25" s="38" t="n">
        <f aca="false">IF(OR($C25="",$D25="",$F25=0),0,IF(OR(X$5&lt;=Projects!$C$2,((YEAR(X$5)-YEAR($C25))*12+MONTH(X$5)-MONTH($C25)+1)&lt;1,((YEAR(X$5)-YEAR($C25))*12+MONTH(X$5)-MONTH($C25)+1)&gt;$D25),0,$E25*IF($G25,1,N(INDEX(Phasing!$I25:$AF25,((YEAR(X$5)-YEAR($C25))*12+MONTH(X$5)-MONTH($C25)+1))))/$F25))</f>
        <v>0</v>
      </c>
      <c r="Y25" s="38" t="n">
        <f aca="false">IF(OR($C25="",$D25="",$F25=0),0,IF(OR(Y$5&lt;=Projects!$C$2,((YEAR(Y$5)-YEAR($C25))*12+MONTH(Y$5)-MONTH($C25)+1)&lt;1,((YEAR(Y$5)-YEAR($C25))*12+MONTH(Y$5)-MONTH($C25)+1)&gt;$D25),0,$E25*IF($G25,1,N(INDEX(Phasing!$I25:$AF25,((YEAR(Y$5)-YEAR($C25))*12+MONTH(Y$5)-MONTH($C25)+1))))/$F25))</f>
        <v>0</v>
      </c>
      <c r="Z25" s="38" t="n">
        <f aca="false">IF(OR($C25="",$D25="",$F25=0),0,IF(OR(Z$5&lt;=Projects!$C$2,((YEAR(Z$5)-YEAR($C25))*12+MONTH(Z$5)-MONTH($C25)+1)&lt;1,((YEAR(Z$5)-YEAR($C25))*12+MONTH(Z$5)-MONTH($C25)+1)&gt;$D25),0,$E25*IF($G25,1,N(INDEX(Phasing!$I25:$AF25,((YEAR(Z$5)-YEAR($C25))*12+MONTH(Z$5)-MONTH($C25)+1))))/$F25))</f>
        <v>0</v>
      </c>
      <c r="AA25" s="38" t="n">
        <f aca="false">IF(OR($C25="",$D25="",$F25=0),0,IF(OR(AA$5&lt;=Projects!$C$2,((YEAR(AA$5)-YEAR($C25))*12+MONTH(AA$5)-MONTH($C25)+1)&lt;1,((YEAR(AA$5)-YEAR($C25))*12+MONTH(AA$5)-MONTH($C25)+1)&gt;$D25),0,$E25*IF($G25,1,N(INDEX(Phasing!$I25:$AF25,((YEAR(AA$5)-YEAR($C25))*12+MONTH(AA$5)-MONTH($C25)+1))))/$F25))</f>
        <v>0</v>
      </c>
      <c r="AB25" s="38" t="n">
        <f aca="false">IF(OR($C25="",$D25="",$F25=0),0,IF(OR(AB$5&lt;=Projects!$C$2,((YEAR(AB$5)-YEAR($C25))*12+MONTH(AB$5)-MONTH($C25)+1)&lt;1,((YEAR(AB$5)-YEAR($C25))*12+MONTH(AB$5)-MONTH($C25)+1)&gt;$D25),0,$E25*IF($G25,1,N(INDEX(Phasing!$I25:$AF25,((YEAR(AB$5)-YEAR($C25))*12+MONTH(AB$5)-MONTH($C25)+1))))/$F25))</f>
        <v>0</v>
      </c>
      <c r="AC25" s="38" t="n">
        <f aca="false">IF(OR($C25="",$D25="",$F25=0),0,IF(OR(AC$5&lt;=Projects!$C$2,((YEAR(AC$5)-YEAR($C25))*12+MONTH(AC$5)-MONTH($C25)+1)&lt;1,((YEAR(AC$5)-YEAR($C25))*12+MONTH(AC$5)-MONTH($C25)+1)&gt;$D25),0,$E25*IF($G25,1,N(INDEX(Phasing!$I25:$AF25,((YEAR(AC$5)-YEAR($C25))*12+MONTH(AC$5)-MONTH($C25)+1))))/$F25))</f>
        <v>0</v>
      </c>
      <c r="AD25" s="38" t="n">
        <f aca="false">IF(OR($C25="",$D25="",$F25=0),0,IF(OR(AD$5&lt;=Projects!$C$2,((YEAR(AD$5)-YEAR($C25))*12+MONTH(AD$5)-MONTH($C25)+1)&lt;1,((YEAR(AD$5)-YEAR($C25))*12+MONTH(AD$5)-MONTH($C25)+1)&gt;$D25),0,$E25*IF($G25,1,N(INDEX(Phasing!$I25:$AF25,((YEAR(AD$5)-YEAR($C25))*12+MONTH(AD$5)-MONTH($C25)+1))))/$F25))</f>
        <v>0</v>
      </c>
      <c r="AE25" s="38" t="n">
        <f aca="false">IF(OR($C25="",$D25="",$F25=0),0,IF(OR(AE$5&lt;=Projects!$C$2,((YEAR(AE$5)-YEAR($C25))*12+MONTH(AE$5)-MONTH($C25)+1)&lt;1,((YEAR(AE$5)-YEAR($C25))*12+MONTH(AE$5)-MONTH($C25)+1)&gt;$D25),0,$E25*IF($G25,1,N(INDEX(Phasing!$I25:$AF25,((YEAR(AE$5)-YEAR($C25))*12+MONTH(AE$5)-MONTH($C25)+1))))/$F25))</f>
        <v>0</v>
      </c>
      <c r="AF25" s="38" t="n">
        <f aca="false">IF(OR($C25="",$D25="",$F25=0),0,IF(OR(AF$5&lt;=Projects!$C$2,((YEAR(AF$5)-YEAR($C25))*12+MONTH(AF$5)-MONTH($C25)+1)&lt;1,((YEAR(AF$5)-YEAR($C25))*12+MONTH(AF$5)-MONTH($C25)+1)&gt;$D25),0,$E25*IF($G25,1,N(INDEX(Phasing!$I25:$AF25,((YEAR(AF$5)-YEAR($C25))*12+MONTH(AF$5)-MONTH($C25)+1))))/$F25))</f>
        <v>0</v>
      </c>
      <c r="AG25" s="38" t="n">
        <f aca="false">IF(OR($C25="",$D25="",$F25=0),0,IF(OR(AG$5&lt;=Projects!$C$2,((YEAR(AG$5)-YEAR($C25))*12+MONTH(AG$5)-MONTH($C25)+1)&lt;1,((YEAR(AG$5)-YEAR($C25))*12+MONTH(AG$5)-MONTH($C25)+1)&gt;$D25),0,$E25*IF($G25,1,N(INDEX(Phasing!$I25:$AF25,((YEAR(AG$5)-YEAR($C25))*12+MONTH(AG$5)-MONTH($C25)+1))))/$F25))</f>
        <v>0</v>
      </c>
      <c r="AH25" s="38" t="n">
        <f aca="false">IF(OR($C25="",$D25="",$F25=0),0,IF(OR(AH$5&lt;=Projects!$C$2,((YEAR(AH$5)-YEAR($C25))*12+MONTH(AH$5)-MONTH($C25)+1)&lt;1,((YEAR(AH$5)-YEAR($C25))*12+MONTH(AH$5)-MONTH($C25)+1)&gt;$D25),0,$E25*IF($G25,1,N(INDEX(Phasing!$I25:$AF25,((YEAR(AH$5)-YEAR($C25))*12+MONTH(AH$5)-MONTH($C25)+1))))/$F25))</f>
        <v>0</v>
      </c>
      <c r="AI25" s="38" t="n">
        <f aca="false">IF(OR($C25="",$D25="",$F25=0),0,IF(OR(AI$5&lt;=Projects!$C$2,((YEAR(AI$5)-YEAR($C25))*12+MONTH(AI$5)-MONTH($C25)+1)&lt;1,((YEAR(AI$5)-YEAR($C25))*12+MONTH(AI$5)-MONTH($C25)+1)&gt;$D25),0,$E25*IF($G25,1,N(INDEX(Phasing!$I25:$AF25,((YEAR(AI$5)-YEAR($C25))*12+MONTH(AI$5)-MONTH($C25)+1))))/$F25))</f>
        <v>0</v>
      </c>
      <c r="AJ25" s="38" t="n">
        <f aca="false">IF(OR($C25="",$D25="",$F25=0),0,IF(OR(AJ$5&lt;=Projects!$C$2,((YEAR(AJ$5)-YEAR($C25))*12+MONTH(AJ$5)-MONTH($C25)+1)&lt;1,((YEAR(AJ$5)-YEAR($C25))*12+MONTH(AJ$5)-MONTH($C25)+1)&gt;$D25),0,$E25*IF($G25,1,N(INDEX(Phasing!$I25:$AF25,((YEAR(AJ$5)-YEAR($C25))*12+MONTH(AJ$5)-MONTH($C25)+1))))/$F25))</f>
        <v>0</v>
      </c>
      <c r="AK25" s="38" t="n">
        <f aca="false">IF(OR($C25="",$D25="",$F25=0),0,IF(OR(AK$5&lt;=Projects!$C$2,((YEAR(AK$5)-YEAR($C25))*12+MONTH(AK$5)-MONTH($C25)+1)&lt;1,((YEAR(AK$5)-YEAR($C25))*12+MONTH(AK$5)-MONTH($C25)+1)&gt;$D25),0,$E25*IF($G25,1,N(INDEX(Phasing!$I25:$AF25,((YEAR(AK$5)-YEAR($C25))*12+MONTH(AK$5)-MONTH($C25)+1))))/$F25))</f>
        <v>0</v>
      </c>
      <c r="AL25" s="38" t="n">
        <f aca="false">IF(OR($C25="",$D25="",$F25=0),0,IF(OR(AL$5&lt;=Projects!$C$2,((YEAR(AL$5)-YEAR($C25))*12+MONTH(AL$5)-MONTH($C25)+1)&lt;1,((YEAR(AL$5)-YEAR($C25))*12+MONTH(AL$5)-MONTH($C25)+1)&gt;$D25),0,$E25*IF($G25,1,N(INDEX(Phasing!$I25:$AF25,((YEAR(AL$5)-YEAR($C25))*12+MONTH(AL$5)-MONTH($C25)+1))))/$F25))</f>
        <v>0</v>
      </c>
      <c r="AM25" s="38" t="n">
        <f aca="false">IF(OR($C25="",$D25="",$F25=0),0,IF(OR(AM$5&lt;=Projects!$C$2,((YEAR(AM$5)-YEAR($C25))*12+MONTH(AM$5)-MONTH($C25)+1)&lt;1,((YEAR(AM$5)-YEAR($C25))*12+MONTH(AM$5)-MONTH($C25)+1)&gt;$D25),0,$E25*IF($G25,1,N(INDEX(Phasing!$I25:$AF25,((YEAR(AM$5)-YEAR($C25))*12+MONTH(AM$5)-MONTH($C25)+1))))/$F25))</f>
        <v>0</v>
      </c>
      <c r="AN25" s="38" t="n">
        <f aca="false">IF(OR($C25="",$D25="",$F25=0),0,IF(OR(AN$5&lt;=Projects!$C$2,((YEAR(AN$5)-YEAR($C25))*12+MONTH(AN$5)-MONTH($C25)+1)&lt;1,((YEAR(AN$5)-YEAR($C25))*12+MONTH(AN$5)-MONTH($C25)+1)&gt;$D25),0,$E25*IF($G25,1,N(INDEX(Phasing!$I25:$AF25,((YEAR(AN$5)-YEAR($C25))*12+MONTH(AN$5)-MONTH($C25)+1))))/$F25))</f>
        <v>0</v>
      </c>
      <c r="AO25" s="38" t="n">
        <f aca="false">IF(OR($C25="",$D25="",$F25=0),0,IF(OR(AO$5&lt;=Projects!$C$2,((YEAR(AO$5)-YEAR($C25))*12+MONTH(AO$5)-MONTH($C25)+1)&lt;1,((YEAR(AO$5)-YEAR($C25))*12+MONTH(AO$5)-MONTH($C25)+1)&gt;$D25),0,$E25*IF($G25,1,N(INDEX(Phasing!$I25:$AF25,((YEAR(AO$5)-YEAR($C25))*12+MONTH(AO$5)-MONTH($C25)+1))))/$F25))</f>
        <v>0</v>
      </c>
      <c r="AP25" s="38" t="n">
        <f aca="false">IF(OR($C25="",$D25="",$F25=0),0,IF(OR(AP$5&lt;=Projects!$C$2,((YEAR(AP$5)-YEAR($C25))*12+MONTH(AP$5)-MONTH($C25)+1)&lt;1,((YEAR(AP$5)-YEAR($C25))*12+MONTH(AP$5)-MONTH($C25)+1)&gt;$D25),0,$E25*IF($G25,1,N(INDEX(Phasing!$I25:$AF25,((YEAR(AP$5)-YEAR($C25))*12+MONTH(AP$5)-MONTH($C25)+1))))/$F25))</f>
        <v>0</v>
      </c>
      <c r="AQ25" s="38" t="n">
        <f aca="false">IF(OR($C25="",$D25="",$F25=0),0,IF(OR(AQ$5&lt;=Projects!$C$2,((YEAR(AQ$5)-YEAR($C25))*12+MONTH(AQ$5)-MONTH($C25)+1)&lt;1,((YEAR(AQ$5)-YEAR($C25))*12+MONTH(AQ$5)-MONTH($C25)+1)&gt;$D25),0,$E25*IF($G25,1,N(INDEX(Phasing!$I25:$AF25,((YEAR(AQ$5)-YEAR($C25))*12+MONTH(AQ$5)-MONTH($C25)+1))))/$F25))</f>
        <v>0</v>
      </c>
    </row>
    <row r="26" customFormat="false" ht="15" hidden="false" customHeight="false" outlineLevel="0" collapsed="false">
      <c r="A26" s="11" t="n">
        <v>21</v>
      </c>
      <c r="B26" s="21" t="str">
        <f aca="false">IF(Projects!B26="","",Projects!B26)</f>
        <v/>
      </c>
      <c r="C26" s="31" t="str">
        <f aca="false">IF(Projects!D26="","",Projects!D26)</f>
        <v/>
      </c>
      <c r="D26" s="21" t="str">
        <f aca="false">IF(Projects!E26="","",Projects!E26)</f>
        <v/>
      </c>
      <c r="E26" s="33" t="n">
        <f aca="false">IF(Projects!B26="",0,N(Projects!I26))</f>
        <v>0</v>
      </c>
      <c r="F26" s="21" t="n">
        <f aca="false">Phasing!G26</f>
        <v>0</v>
      </c>
      <c r="G26" s="48" t="b">
        <f aca="false">Phasing!D26=0</f>
        <v>1</v>
      </c>
      <c r="H26" s="38" t="n">
        <f aca="false">IF(OR($C26="",$D26="",$F26=0),0,IF(OR(H$5&lt;=Projects!$C$2,((YEAR(H$5)-YEAR($C26))*12+MONTH(H$5)-MONTH($C26)+1)&lt;1,((YEAR(H$5)-YEAR($C26))*12+MONTH(H$5)-MONTH($C26)+1)&gt;$D26),0,$E26*IF($G26,1,N(INDEX(Phasing!$I26:$AF26,((YEAR(H$5)-YEAR($C26))*12+MONTH(H$5)-MONTH($C26)+1))))/$F26))</f>
        <v>0</v>
      </c>
      <c r="I26" s="38" t="n">
        <f aca="false">IF(OR($C26="",$D26="",$F26=0),0,IF(OR(I$5&lt;=Projects!$C$2,((YEAR(I$5)-YEAR($C26))*12+MONTH(I$5)-MONTH($C26)+1)&lt;1,((YEAR(I$5)-YEAR($C26))*12+MONTH(I$5)-MONTH($C26)+1)&gt;$D26),0,$E26*IF($G26,1,N(INDEX(Phasing!$I26:$AF26,((YEAR(I$5)-YEAR($C26))*12+MONTH(I$5)-MONTH($C26)+1))))/$F26))</f>
        <v>0</v>
      </c>
      <c r="J26" s="38" t="n">
        <f aca="false">IF(OR($C26="",$D26="",$F26=0),0,IF(OR(J$5&lt;=Projects!$C$2,((YEAR(J$5)-YEAR($C26))*12+MONTH(J$5)-MONTH($C26)+1)&lt;1,((YEAR(J$5)-YEAR($C26))*12+MONTH(J$5)-MONTH($C26)+1)&gt;$D26),0,$E26*IF($G26,1,N(INDEX(Phasing!$I26:$AF26,((YEAR(J$5)-YEAR($C26))*12+MONTH(J$5)-MONTH($C26)+1))))/$F26))</f>
        <v>0</v>
      </c>
      <c r="K26" s="38" t="n">
        <f aca="false">IF(OR($C26="",$D26="",$F26=0),0,IF(OR(K$5&lt;=Projects!$C$2,((YEAR(K$5)-YEAR($C26))*12+MONTH(K$5)-MONTH($C26)+1)&lt;1,((YEAR(K$5)-YEAR($C26))*12+MONTH(K$5)-MONTH($C26)+1)&gt;$D26),0,$E26*IF($G26,1,N(INDEX(Phasing!$I26:$AF26,((YEAR(K$5)-YEAR($C26))*12+MONTH(K$5)-MONTH($C26)+1))))/$F26))</f>
        <v>0</v>
      </c>
      <c r="L26" s="38" t="n">
        <f aca="false">IF(OR($C26="",$D26="",$F26=0),0,IF(OR(L$5&lt;=Projects!$C$2,((YEAR(L$5)-YEAR($C26))*12+MONTH(L$5)-MONTH($C26)+1)&lt;1,((YEAR(L$5)-YEAR($C26))*12+MONTH(L$5)-MONTH($C26)+1)&gt;$D26),0,$E26*IF($G26,1,N(INDEX(Phasing!$I26:$AF26,((YEAR(L$5)-YEAR($C26))*12+MONTH(L$5)-MONTH($C26)+1))))/$F26))</f>
        <v>0</v>
      </c>
      <c r="M26" s="38" t="n">
        <f aca="false">IF(OR($C26="",$D26="",$F26=0),0,IF(OR(M$5&lt;=Projects!$C$2,((YEAR(M$5)-YEAR($C26))*12+MONTH(M$5)-MONTH($C26)+1)&lt;1,((YEAR(M$5)-YEAR($C26))*12+MONTH(M$5)-MONTH($C26)+1)&gt;$D26),0,$E26*IF($G26,1,N(INDEX(Phasing!$I26:$AF26,((YEAR(M$5)-YEAR($C26))*12+MONTH(M$5)-MONTH($C26)+1))))/$F26))</f>
        <v>0</v>
      </c>
      <c r="N26" s="38" t="n">
        <f aca="false">IF(OR($C26="",$D26="",$F26=0),0,IF(OR(N$5&lt;=Projects!$C$2,((YEAR(N$5)-YEAR($C26))*12+MONTH(N$5)-MONTH($C26)+1)&lt;1,((YEAR(N$5)-YEAR($C26))*12+MONTH(N$5)-MONTH($C26)+1)&gt;$D26),0,$E26*IF($G26,1,N(INDEX(Phasing!$I26:$AF26,((YEAR(N$5)-YEAR($C26))*12+MONTH(N$5)-MONTH($C26)+1))))/$F26))</f>
        <v>0</v>
      </c>
      <c r="O26" s="38" t="n">
        <f aca="false">IF(OR($C26="",$D26="",$F26=0),0,IF(OR(O$5&lt;=Projects!$C$2,((YEAR(O$5)-YEAR($C26))*12+MONTH(O$5)-MONTH($C26)+1)&lt;1,((YEAR(O$5)-YEAR($C26))*12+MONTH(O$5)-MONTH($C26)+1)&gt;$D26),0,$E26*IF($G26,1,N(INDEX(Phasing!$I26:$AF26,((YEAR(O$5)-YEAR($C26))*12+MONTH(O$5)-MONTH($C26)+1))))/$F26))</f>
        <v>0</v>
      </c>
      <c r="P26" s="38" t="n">
        <f aca="false">IF(OR($C26="",$D26="",$F26=0),0,IF(OR(P$5&lt;=Projects!$C$2,((YEAR(P$5)-YEAR($C26))*12+MONTH(P$5)-MONTH($C26)+1)&lt;1,((YEAR(P$5)-YEAR($C26))*12+MONTH(P$5)-MONTH($C26)+1)&gt;$D26),0,$E26*IF($G26,1,N(INDEX(Phasing!$I26:$AF26,((YEAR(P$5)-YEAR($C26))*12+MONTH(P$5)-MONTH($C26)+1))))/$F26))</f>
        <v>0</v>
      </c>
      <c r="Q26" s="38" t="n">
        <f aca="false">IF(OR($C26="",$D26="",$F26=0),0,IF(OR(Q$5&lt;=Projects!$C$2,((YEAR(Q$5)-YEAR($C26))*12+MONTH(Q$5)-MONTH($C26)+1)&lt;1,((YEAR(Q$5)-YEAR($C26))*12+MONTH(Q$5)-MONTH($C26)+1)&gt;$D26),0,$E26*IF($G26,1,N(INDEX(Phasing!$I26:$AF26,((YEAR(Q$5)-YEAR($C26))*12+MONTH(Q$5)-MONTH($C26)+1))))/$F26))</f>
        <v>0</v>
      </c>
      <c r="R26" s="38" t="n">
        <f aca="false">IF(OR($C26="",$D26="",$F26=0),0,IF(OR(R$5&lt;=Projects!$C$2,((YEAR(R$5)-YEAR($C26))*12+MONTH(R$5)-MONTH($C26)+1)&lt;1,((YEAR(R$5)-YEAR($C26))*12+MONTH(R$5)-MONTH($C26)+1)&gt;$D26),0,$E26*IF($G26,1,N(INDEX(Phasing!$I26:$AF26,((YEAR(R$5)-YEAR($C26))*12+MONTH(R$5)-MONTH($C26)+1))))/$F26))</f>
        <v>0</v>
      </c>
      <c r="S26" s="38" t="n">
        <f aca="false">IF(OR($C26="",$D26="",$F26=0),0,IF(OR(S$5&lt;=Projects!$C$2,((YEAR(S$5)-YEAR($C26))*12+MONTH(S$5)-MONTH($C26)+1)&lt;1,((YEAR(S$5)-YEAR($C26))*12+MONTH(S$5)-MONTH($C26)+1)&gt;$D26),0,$E26*IF($G26,1,N(INDEX(Phasing!$I26:$AF26,((YEAR(S$5)-YEAR($C26))*12+MONTH(S$5)-MONTH($C26)+1))))/$F26))</f>
        <v>0</v>
      </c>
      <c r="T26" s="38" t="n">
        <f aca="false">IF(OR($C26="",$D26="",$F26=0),0,IF(OR(T$5&lt;=Projects!$C$2,((YEAR(T$5)-YEAR($C26))*12+MONTH(T$5)-MONTH($C26)+1)&lt;1,((YEAR(T$5)-YEAR($C26))*12+MONTH(T$5)-MONTH($C26)+1)&gt;$D26),0,$E26*IF($G26,1,N(INDEX(Phasing!$I26:$AF26,((YEAR(T$5)-YEAR($C26))*12+MONTH(T$5)-MONTH($C26)+1))))/$F26))</f>
        <v>0</v>
      </c>
      <c r="U26" s="38" t="n">
        <f aca="false">IF(OR($C26="",$D26="",$F26=0),0,IF(OR(U$5&lt;=Projects!$C$2,((YEAR(U$5)-YEAR($C26))*12+MONTH(U$5)-MONTH($C26)+1)&lt;1,((YEAR(U$5)-YEAR($C26))*12+MONTH(U$5)-MONTH($C26)+1)&gt;$D26),0,$E26*IF($G26,1,N(INDEX(Phasing!$I26:$AF26,((YEAR(U$5)-YEAR($C26))*12+MONTH(U$5)-MONTH($C26)+1))))/$F26))</f>
        <v>0</v>
      </c>
      <c r="V26" s="38" t="n">
        <f aca="false">IF(OR($C26="",$D26="",$F26=0),0,IF(OR(V$5&lt;=Projects!$C$2,((YEAR(V$5)-YEAR($C26))*12+MONTH(V$5)-MONTH($C26)+1)&lt;1,((YEAR(V$5)-YEAR($C26))*12+MONTH(V$5)-MONTH($C26)+1)&gt;$D26),0,$E26*IF($G26,1,N(INDEX(Phasing!$I26:$AF26,((YEAR(V$5)-YEAR($C26))*12+MONTH(V$5)-MONTH($C26)+1))))/$F26))</f>
        <v>0</v>
      </c>
      <c r="W26" s="38" t="n">
        <f aca="false">IF(OR($C26="",$D26="",$F26=0),0,IF(OR(W$5&lt;=Projects!$C$2,((YEAR(W$5)-YEAR($C26))*12+MONTH(W$5)-MONTH($C26)+1)&lt;1,((YEAR(W$5)-YEAR($C26))*12+MONTH(W$5)-MONTH($C26)+1)&gt;$D26),0,$E26*IF($G26,1,N(INDEX(Phasing!$I26:$AF26,((YEAR(W$5)-YEAR($C26))*12+MONTH(W$5)-MONTH($C26)+1))))/$F26))</f>
        <v>0</v>
      </c>
      <c r="X26" s="38" t="n">
        <f aca="false">IF(OR($C26="",$D26="",$F26=0),0,IF(OR(X$5&lt;=Projects!$C$2,((YEAR(X$5)-YEAR($C26))*12+MONTH(X$5)-MONTH($C26)+1)&lt;1,((YEAR(X$5)-YEAR($C26))*12+MONTH(X$5)-MONTH($C26)+1)&gt;$D26),0,$E26*IF($G26,1,N(INDEX(Phasing!$I26:$AF26,((YEAR(X$5)-YEAR($C26))*12+MONTH(X$5)-MONTH($C26)+1))))/$F26))</f>
        <v>0</v>
      </c>
      <c r="Y26" s="38" t="n">
        <f aca="false">IF(OR($C26="",$D26="",$F26=0),0,IF(OR(Y$5&lt;=Projects!$C$2,((YEAR(Y$5)-YEAR($C26))*12+MONTH(Y$5)-MONTH($C26)+1)&lt;1,((YEAR(Y$5)-YEAR($C26))*12+MONTH(Y$5)-MONTH($C26)+1)&gt;$D26),0,$E26*IF($G26,1,N(INDEX(Phasing!$I26:$AF26,((YEAR(Y$5)-YEAR($C26))*12+MONTH(Y$5)-MONTH($C26)+1))))/$F26))</f>
        <v>0</v>
      </c>
      <c r="Z26" s="38" t="n">
        <f aca="false">IF(OR($C26="",$D26="",$F26=0),0,IF(OR(Z$5&lt;=Projects!$C$2,((YEAR(Z$5)-YEAR($C26))*12+MONTH(Z$5)-MONTH($C26)+1)&lt;1,((YEAR(Z$5)-YEAR($C26))*12+MONTH(Z$5)-MONTH($C26)+1)&gt;$D26),0,$E26*IF($G26,1,N(INDEX(Phasing!$I26:$AF26,((YEAR(Z$5)-YEAR($C26))*12+MONTH(Z$5)-MONTH($C26)+1))))/$F26))</f>
        <v>0</v>
      </c>
      <c r="AA26" s="38" t="n">
        <f aca="false">IF(OR($C26="",$D26="",$F26=0),0,IF(OR(AA$5&lt;=Projects!$C$2,((YEAR(AA$5)-YEAR($C26))*12+MONTH(AA$5)-MONTH($C26)+1)&lt;1,((YEAR(AA$5)-YEAR($C26))*12+MONTH(AA$5)-MONTH($C26)+1)&gt;$D26),0,$E26*IF($G26,1,N(INDEX(Phasing!$I26:$AF26,((YEAR(AA$5)-YEAR($C26))*12+MONTH(AA$5)-MONTH($C26)+1))))/$F26))</f>
        <v>0</v>
      </c>
      <c r="AB26" s="38" t="n">
        <f aca="false">IF(OR($C26="",$D26="",$F26=0),0,IF(OR(AB$5&lt;=Projects!$C$2,((YEAR(AB$5)-YEAR($C26))*12+MONTH(AB$5)-MONTH($C26)+1)&lt;1,((YEAR(AB$5)-YEAR($C26))*12+MONTH(AB$5)-MONTH($C26)+1)&gt;$D26),0,$E26*IF($G26,1,N(INDEX(Phasing!$I26:$AF26,((YEAR(AB$5)-YEAR($C26))*12+MONTH(AB$5)-MONTH($C26)+1))))/$F26))</f>
        <v>0</v>
      </c>
      <c r="AC26" s="38" t="n">
        <f aca="false">IF(OR($C26="",$D26="",$F26=0),0,IF(OR(AC$5&lt;=Projects!$C$2,((YEAR(AC$5)-YEAR($C26))*12+MONTH(AC$5)-MONTH($C26)+1)&lt;1,((YEAR(AC$5)-YEAR($C26))*12+MONTH(AC$5)-MONTH($C26)+1)&gt;$D26),0,$E26*IF($G26,1,N(INDEX(Phasing!$I26:$AF26,((YEAR(AC$5)-YEAR($C26))*12+MONTH(AC$5)-MONTH($C26)+1))))/$F26))</f>
        <v>0</v>
      </c>
      <c r="AD26" s="38" t="n">
        <f aca="false">IF(OR($C26="",$D26="",$F26=0),0,IF(OR(AD$5&lt;=Projects!$C$2,((YEAR(AD$5)-YEAR($C26))*12+MONTH(AD$5)-MONTH($C26)+1)&lt;1,((YEAR(AD$5)-YEAR($C26))*12+MONTH(AD$5)-MONTH($C26)+1)&gt;$D26),0,$E26*IF($G26,1,N(INDEX(Phasing!$I26:$AF26,((YEAR(AD$5)-YEAR($C26))*12+MONTH(AD$5)-MONTH($C26)+1))))/$F26))</f>
        <v>0</v>
      </c>
      <c r="AE26" s="38" t="n">
        <f aca="false">IF(OR($C26="",$D26="",$F26=0),0,IF(OR(AE$5&lt;=Projects!$C$2,((YEAR(AE$5)-YEAR($C26))*12+MONTH(AE$5)-MONTH($C26)+1)&lt;1,((YEAR(AE$5)-YEAR($C26))*12+MONTH(AE$5)-MONTH($C26)+1)&gt;$D26),0,$E26*IF($G26,1,N(INDEX(Phasing!$I26:$AF26,((YEAR(AE$5)-YEAR($C26))*12+MONTH(AE$5)-MONTH($C26)+1))))/$F26))</f>
        <v>0</v>
      </c>
      <c r="AF26" s="38" t="n">
        <f aca="false">IF(OR($C26="",$D26="",$F26=0),0,IF(OR(AF$5&lt;=Projects!$C$2,((YEAR(AF$5)-YEAR($C26))*12+MONTH(AF$5)-MONTH($C26)+1)&lt;1,((YEAR(AF$5)-YEAR($C26))*12+MONTH(AF$5)-MONTH($C26)+1)&gt;$D26),0,$E26*IF($G26,1,N(INDEX(Phasing!$I26:$AF26,((YEAR(AF$5)-YEAR($C26))*12+MONTH(AF$5)-MONTH($C26)+1))))/$F26))</f>
        <v>0</v>
      </c>
      <c r="AG26" s="38" t="n">
        <f aca="false">IF(OR($C26="",$D26="",$F26=0),0,IF(OR(AG$5&lt;=Projects!$C$2,((YEAR(AG$5)-YEAR($C26))*12+MONTH(AG$5)-MONTH($C26)+1)&lt;1,((YEAR(AG$5)-YEAR($C26))*12+MONTH(AG$5)-MONTH($C26)+1)&gt;$D26),0,$E26*IF($G26,1,N(INDEX(Phasing!$I26:$AF26,((YEAR(AG$5)-YEAR($C26))*12+MONTH(AG$5)-MONTH($C26)+1))))/$F26))</f>
        <v>0</v>
      </c>
      <c r="AH26" s="38" t="n">
        <f aca="false">IF(OR($C26="",$D26="",$F26=0),0,IF(OR(AH$5&lt;=Projects!$C$2,((YEAR(AH$5)-YEAR($C26))*12+MONTH(AH$5)-MONTH($C26)+1)&lt;1,((YEAR(AH$5)-YEAR($C26))*12+MONTH(AH$5)-MONTH($C26)+1)&gt;$D26),0,$E26*IF($G26,1,N(INDEX(Phasing!$I26:$AF26,((YEAR(AH$5)-YEAR($C26))*12+MONTH(AH$5)-MONTH($C26)+1))))/$F26))</f>
        <v>0</v>
      </c>
      <c r="AI26" s="38" t="n">
        <f aca="false">IF(OR($C26="",$D26="",$F26=0),0,IF(OR(AI$5&lt;=Projects!$C$2,((YEAR(AI$5)-YEAR($C26))*12+MONTH(AI$5)-MONTH($C26)+1)&lt;1,((YEAR(AI$5)-YEAR($C26))*12+MONTH(AI$5)-MONTH($C26)+1)&gt;$D26),0,$E26*IF($G26,1,N(INDEX(Phasing!$I26:$AF26,((YEAR(AI$5)-YEAR($C26))*12+MONTH(AI$5)-MONTH($C26)+1))))/$F26))</f>
        <v>0</v>
      </c>
      <c r="AJ26" s="38" t="n">
        <f aca="false">IF(OR($C26="",$D26="",$F26=0),0,IF(OR(AJ$5&lt;=Projects!$C$2,((YEAR(AJ$5)-YEAR($C26))*12+MONTH(AJ$5)-MONTH($C26)+1)&lt;1,((YEAR(AJ$5)-YEAR($C26))*12+MONTH(AJ$5)-MONTH($C26)+1)&gt;$D26),0,$E26*IF($G26,1,N(INDEX(Phasing!$I26:$AF26,((YEAR(AJ$5)-YEAR($C26))*12+MONTH(AJ$5)-MONTH($C26)+1))))/$F26))</f>
        <v>0</v>
      </c>
      <c r="AK26" s="38" t="n">
        <f aca="false">IF(OR($C26="",$D26="",$F26=0),0,IF(OR(AK$5&lt;=Projects!$C$2,((YEAR(AK$5)-YEAR($C26))*12+MONTH(AK$5)-MONTH($C26)+1)&lt;1,((YEAR(AK$5)-YEAR($C26))*12+MONTH(AK$5)-MONTH($C26)+1)&gt;$D26),0,$E26*IF($G26,1,N(INDEX(Phasing!$I26:$AF26,((YEAR(AK$5)-YEAR($C26))*12+MONTH(AK$5)-MONTH($C26)+1))))/$F26))</f>
        <v>0</v>
      </c>
      <c r="AL26" s="38" t="n">
        <f aca="false">IF(OR($C26="",$D26="",$F26=0),0,IF(OR(AL$5&lt;=Projects!$C$2,((YEAR(AL$5)-YEAR($C26))*12+MONTH(AL$5)-MONTH($C26)+1)&lt;1,((YEAR(AL$5)-YEAR($C26))*12+MONTH(AL$5)-MONTH($C26)+1)&gt;$D26),0,$E26*IF($G26,1,N(INDEX(Phasing!$I26:$AF26,((YEAR(AL$5)-YEAR($C26))*12+MONTH(AL$5)-MONTH($C26)+1))))/$F26))</f>
        <v>0</v>
      </c>
      <c r="AM26" s="38" t="n">
        <f aca="false">IF(OR($C26="",$D26="",$F26=0),0,IF(OR(AM$5&lt;=Projects!$C$2,((YEAR(AM$5)-YEAR($C26))*12+MONTH(AM$5)-MONTH($C26)+1)&lt;1,((YEAR(AM$5)-YEAR($C26))*12+MONTH(AM$5)-MONTH($C26)+1)&gt;$D26),0,$E26*IF($G26,1,N(INDEX(Phasing!$I26:$AF26,((YEAR(AM$5)-YEAR($C26))*12+MONTH(AM$5)-MONTH($C26)+1))))/$F26))</f>
        <v>0</v>
      </c>
      <c r="AN26" s="38" t="n">
        <f aca="false">IF(OR($C26="",$D26="",$F26=0),0,IF(OR(AN$5&lt;=Projects!$C$2,((YEAR(AN$5)-YEAR($C26))*12+MONTH(AN$5)-MONTH($C26)+1)&lt;1,((YEAR(AN$5)-YEAR($C26))*12+MONTH(AN$5)-MONTH($C26)+1)&gt;$D26),0,$E26*IF($G26,1,N(INDEX(Phasing!$I26:$AF26,((YEAR(AN$5)-YEAR($C26))*12+MONTH(AN$5)-MONTH($C26)+1))))/$F26))</f>
        <v>0</v>
      </c>
      <c r="AO26" s="38" t="n">
        <f aca="false">IF(OR($C26="",$D26="",$F26=0),0,IF(OR(AO$5&lt;=Projects!$C$2,((YEAR(AO$5)-YEAR($C26))*12+MONTH(AO$5)-MONTH($C26)+1)&lt;1,((YEAR(AO$5)-YEAR($C26))*12+MONTH(AO$5)-MONTH($C26)+1)&gt;$D26),0,$E26*IF($G26,1,N(INDEX(Phasing!$I26:$AF26,((YEAR(AO$5)-YEAR($C26))*12+MONTH(AO$5)-MONTH($C26)+1))))/$F26))</f>
        <v>0</v>
      </c>
      <c r="AP26" s="38" t="n">
        <f aca="false">IF(OR($C26="",$D26="",$F26=0),0,IF(OR(AP$5&lt;=Projects!$C$2,((YEAR(AP$5)-YEAR($C26))*12+MONTH(AP$5)-MONTH($C26)+1)&lt;1,((YEAR(AP$5)-YEAR($C26))*12+MONTH(AP$5)-MONTH($C26)+1)&gt;$D26),0,$E26*IF($G26,1,N(INDEX(Phasing!$I26:$AF26,((YEAR(AP$5)-YEAR($C26))*12+MONTH(AP$5)-MONTH($C26)+1))))/$F26))</f>
        <v>0</v>
      </c>
      <c r="AQ26" s="38" t="n">
        <f aca="false">IF(OR($C26="",$D26="",$F26=0),0,IF(OR(AQ$5&lt;=Projects!$C$2,((YEAR(AQ$5)-YEAR($C26))*12+MONTH(AQ$5)-MONTH($C26)+1)&lt;1,((YEAR(AQ$5)-YEAR($C26))*12+MONTH(AQ$5)-MONTH($C26)+1)&gt;$D26),0,$E26*IF($G26,1,N(INDEX(Phasing!$I26:$AF26,((YEAR(AQ$5)-YEAR($C26))*12+MONTH(AQ$5)-MONTH($C26)+1))))/$F26))</f>
        <v>0</v>
      </c>
    </row>
    <row r="27" customFormat="false" ht="15" hidden="false" customHeight="false" outlineLevel="0" collapsed="false">
      <c r="A27" s="11" t="n">
        <v>22</v>
      </c>
      <c r="B27" s="21" t="str">
        <f aca="false">IF(Projects!B27="","",Projects!B27)</f>
        <v/>
      </c>
      <c r="C27" s="31" t="str">
        <f aca="false">IF(Projects!D27="","",Projects!D27)</f>
        <v/>
      </c>
      <c r="D27" s="21" t="str">
        <f aca="false">IF(Projects!E27="","",Projects!E27)</f>
        <v/>
      </c>
      <c r="E27" s="33" t="n">
        <f aca="false">IF(Projects!B27="",0,N(Projects!I27))</f>
        <v>0</v>
      </c>
      <c r="F27" s="21" t="n">
        <f aca="false">Phasing!G27</f>
        <v>0</v>
      </c>
      <c r="G27" s="48" t="b">
        <f aca="false">Phasing!D27=0</f>
        <v>1</v>
      </c>
      <c r="H27" s="38" t="n">
        <f aca="false">IF(OR($C27="",$D27="",$F27=0),0,IF(OR(H$5&lt;=Projects!$C$2,((YEAR(H$5)-YEAR($C27))*12+MONTH(H$5)-MONTH($C27)+1)&lt;1,((YEAR(H$5)-YEAR($C27))*12+MONTH(H$5)-MONTH($C27)+1)&gt;$D27),0,$E27*IF($G27,1,N(INDEX(Phasing!$I27:$AF27,((YEAR(H$5)-YEAR($C27))*12+MONTH(H$5)-MONTH($C27)+1))))/$F27))</f>
        <v>0</v>
      </c>
      <c r="I27" s="38" t="n">
        <f aca="false">IF(OR($C27="",$D27="",$F27=0),0,IF(OR(I$5&lt;=Projects!$C$2,((YEAR(I$5)-YEAR($C27))*12+MONTH(I$5)-MONTH($C27)+1)&lt;1,((YEAR(I$5)-YEAR($C27))*12+MONTH(I$5)-MONTH($C27)+1)&gt;$D27),0,$E27*IF($G27,1,N(INDEX(Phasing!$I27:$AF27,((YEAR(I$5)-YEAR($C27))*12+MONTH(I$5)-MONTH($C27)+1))))/$F27))</f>
        <v>0</v>
      </c>
      <c r="J27" s="38" t="n">
        <f aca="false">IF(OR($C27="",$D27="",$F27=0),0,IF(OR(J$5&lt;=Projects!$C$2,((YEAR(J$5)-YEAR($C27))*12+MONTH(J$5)-MONTH($C27)+1)&lt;1,((YEAR(J$5)-YEAR($C27))*12+MONTH(J$5)-MONTH($C27)+1)&gt;$D27),0,$E27*IF($G27,1,N(INDEX(Phasing!$I27:$AF27,((YEAR(J$5)-YEAR($C27))*12+MONTH(J$5)-MONTH($C27)+1))))/$F27))</f>
        <v>0</v>
      </c>
      <c r="K27" s="38" t="n">
        <f aca="false">IF(OR($C27="",$D27="",$F27=0),0,IF(OR(K$5&lt;=Projects!$C$2,((YEAR(K$5)-YEAR($C27))*12+MONTH(K$5)-MONTH($C27)+1)&lt;1,((YEAR(K$5)-YEAR($C27))*12+MONTH(K$5)-MONTH($C27)+1)&gt;$D27),0,$E27*IF($G27,1,N(INDEX(Phasing!$I27:$AF27,((YEAR(K$5)-YEAR($C27))*12+MONTH(K$5)-MONTH($C27)+1))))/$F27))</f>
        <v>0</v>
      </c>
      <c r="L27" s="38" t="n">
        <f aca="false">IF(OR($C27="",$D27="",$F27=0),0,IF(OR(L$5&lt;=Projects!$C$2,((YEAR(L$5)-YEAR($C27))*12+MONTH(L$5)-MONTH($C27)+1)&lt;1,((YEAR(L$5)-YEAR($C27))*12+MONTH(L$5)-MONTH($C27)+1)&gt;$D27),0,$E27*IF($G27,1,N(INDEX(Phasing!$I27:$AF27,((YEAR(L$5)-YEAR($C27))*12+MONTH(L$5)-MONTH($C27)+1))))/$F27))</f>
        <v>0</v>
      </c>
      <c r="M27" s="38" t="n">
        <f aca="false">IF(OR($C27="",$D27="",$F27=0),0,IF(OR(M$5&lt;=Projects!$C$2,((YEAR(M$5)-YEAR($C27))*12+MONTH(M$5)-MONTH($C27)+1)&lt;1,((YEAR(M$5)-YEAR($C27))*12+MONTH(M$5)-MONTH($C27)+1)&gt;$D27),0,$E27*IF($G27,1,N(INDEX(Phasing!$I27:$AF27,((YEAR(M$5)-YEAR($C27))*12+MONTH(M$5)-MONTH($C27)+1))))/$F27))</f>
        <v>0</v>
      </c>
      <c r="N27" s="38" t="n">
        <f aca="false">IF(OR($C27="",$D27="",$F27=0),0,IF(OR(N$5&lt;=Projects!$C$2,((YEAR(N$5)-YEAR($C27))*12+MONTH(N$5)-MONTH($C27)+1)&lt;1,((YEAR(N$5)-YEAR($C27))*12+MONTH(N$5)-MONTH($C27)+1)&gt;$D27),0,$E27*IF($G27,1,N(INDEX(Phasing!$I27:$AF27,((YEAR(N$5)-YEAR($C27))*12+MONTH(N$5)-MONTH($C27)+1))))/$F27))</f>
        <v>0</v>
      </c>
      <c r="O27" s="38" t="n">
        <f aca="false">IF(OR($C27="",$D27="",$F27=0),0,IF(OR(O$5&lt;=Projects!$C$2,((YEAR(O$5)-YEAR($C27))*12+MONTH(O$5)-MONTH($C27)+1)&lt;1,((YEAR(O$5)-YEAR($C27))*12+MONTH(O$5)-MONTH($C27)+1)&gt;$D27),0,$E27*IF($G27,1,N(INDEX(Phasing!$I27:$AF27,((YEAR(O$5)-YEAR($C27))*12+MONTH(O$5)-MONTH($C27)+1))))/$F27))</f>
        <v>0</v>
      </c>
      <c r="P27" s="38" t="n">
        <f aca="false">IF(OR($C27="",$D27="",$F27=0),0,IF(OR(P$5&lt;=Projects!$C$2,((YEAR(P$5)-YEAR($C27))*12+MONTH(P$5)-MONTH($C27)+1)&lt;1,((YEAR(P$5)-YEAR($C27))*12+MONTH(P$5)-MONTH($C27)+1)&gt;$D27),0,$E27*IF($G27,1,N(INDEX(Phasing!$I27:$AF27,((YEAR(P$5)-YEAR($C27))*12+MONTH(P$5)-MONTH($C27)+1))))/$F27))</f>
        <v>0</v>
      </c>
      <c r="Q27" s="38" t="n">
        <f aca="false">IF(OR($C27="",$D27="",$F27=0),0,IF(OR(Q$5&lt;=Projects!$C$2,((YEAR(Q$5)-YEAR($C27))*12+MONTH(Q$5)-MONTH($C27)+1)&lt;1,((YEAR(Q$5)-YEAR($C27))*12+MONTH(Q$5)-MONTH($C27)+1)&gt;$D27),0,$E27*IF($G27,1,N(INDEX(Phasing!$I27:$AF27,((YEAR(Q$5)-YEAR($C27))*12+MONTH(Q$5)-MONTH($C27)+1))))/$F27))</f>
        <v>0</v>
      </c>
      <c r="R27" s="38" t="n">
        <f aca="false">IF(OR($C27="",$D27="",$F27=0),0,IF(OR(R$5&lt;=Projects!$C$2,((YEAR(R$5)-YEAR($C27))*12+MONTH(R$5)-MONTH($C27)+1)&lt;1,((YEAR(R$5)-YEAR($C27))*12+MONTH(R$5)-MONTH($C27)+1)&gt;$D27),0,$E27*IF($G27,1,N(INDEX(Phasing!$I27:$AF27,((YEAR(R$5)-YEAR($C27))*12+MONTH(R$5)-MONTH($C27)+1))))/$F27))</f>
        <v>0</v>
      </c>
      <c r="S27" s="38" t="n">
        <f aca="false">IF(OR($C27="",$D27="",$F27=0),0,IF(OR(S$5&lt;=Projects!$C$2,((YEAR(S$5)-YEAR($C27))*12+MONTH(S$5)-MONTH($C27)+1)&lt;1,((YEAR(S$5)-YEAR($C27))*12+MONTH(S$5)-MONTH($C27)+1)&gt;$D27),0,$E27*IF($G27,1,N(INDEX(Phasing!$I27:$AF27,((YEAR(S$5)-YEAR($C27))*12+MONTH(S$5)-MONTH($C27)+1))))/$F27))</f>
        <v>0</v>
      </c>
      <c r="T27" s="38" t="n">
        <f aca="false">IF(OR($C27="",$D27="",$F27=0),0,IF(OR(T$5&lt;=Projects!$C$2,((YEAR(T$5)-YEAR($C27))*12+MONTH(T$5)-MONTH($C27)+1)&lt;1,((YEAR(T$5)-YEAR($C27))*12+MONTH(T$5)-MONTH($C27)+1)&gt;$D27),0,$E27*IF($G27,1,N(INDEX(Phasing!$I27:$AF27,((YEAR(T$5)-YEAR($C27))*12+MONTH(T$5)-MONTH($C27)+1))))/$F27))</f>
        <v>0</v>
      </c>
      <c r="U27" s="38" t="n">
        <f aca="false">IF(OR($C27="",$D27="",$F27=0),0,IF(OR(U$5&lt;=Projects!$C$2,((YEAR(U$5)-YEAR($C27))*12+MONTH(U$5)-MONTH($C27)+1)&lt;1,((YEAR(U$5)-YEAR($C27))*12+MONTH(U$5)-MONTH($C27)+1)&gt;$D27),0,$E27*IF($G27,1,N(INDEX(Phasing!$I27:$AF27,((YEAR(U$5)-YEAR($C27))*12+MONTH(U$5)-MONTH($C27)+1))))/$F27))</f>
        <v>0</v>
      </c>
      <c r="V27" s="38" t="n">
        <f aca="false">IF(OR($C27="",$D27="",$F27=0),0,IF(OR(V$5&lt;=Projects!$C$2,((YEAR(V$5)-YEAR($C27))*12+MONTH(V$5)-MONTH($C27)+1)&lt;1,((YEAR(V$5)-YEAR($C27))*12+MONTH(V$5)-MONTH($C27)+1)&gt;$D27),0,$E27*IF($G27,1,N(INDEX(Phasing!$I27:$AF27,((YEAR(V$5)-YEAR($C27))*12+MONTH(V$5)-MONTH($C27)+1))))/$F27))</f>
        <v>0</v>
      </c>
      <c r="W27" s="38" t="n">
        <f aca="false">IF(OR($C27="",$D27="",$F27=0),0,IF(OR(W$5&lt;=Projects!$C$2,((YEAR(W$5)-YEAR($C27))*12+MONTH(W$5)-MONTH($C27)+1)&lt;1,((YEAR(W$5)-YEAR($C27))*12+MONTH(W$5)-MONTH($C27)+1)&gt;$D27),0,$E27*IF($G27,1,N(INDEX(Phasing!$I27:$AF27,((YEAR(W$5)-YEAR($C27))*12+MONTH(W$5)-MONTH($C27)+1))))/$F27))</f>
        <v>0</v>
      </c>
      <c r="X27" s="38" t="n">
        <f aca="false">IF(OR($C27="",$D27="",$F27=0),0,IF(OR(X$5&lt;=Projects!$C$2,((YEAR(X$5)-YEAR($C27))*12+MONTH(X$5)-MONTH($C27)+1)&lt;1,((YEAR(X$5)-YEAR($C27))*12+MONTH(X$5)-MONTH($C27)+1)&gt;$D27),0,$E27*IF($G27,1,N(INDEX(Phasing!$I27:$AF27,((YEAR(X$5)-YEAR($C27))*12+MONTH(X$5)-MONTH($C27)+1))))/$F27))</f>
        <v>0</v>
      </c>
      <c r="Y27" s="38" t="n">
        <f aca="false">IF(OR($C27="",$D27="",$F27=0),0,IF(OR(Y$5&lt;=Projects!$C$2,((YEAR(Y$5)-YEAR($C27))*12+MONTH(Y$5)-MONTH($C27)+1)&lt;1,((YEAR(Y$5)-YEAR($C27))*12+MONTH(Y$5)-MONTH($C27)+1)&gt;$D27),0,$E27*IF($G27,1,N(INDEX(Phasing!$I27:$AF27,((YEAR(Y$5)-YEAR($C27))*12+MONTH(Y$5)-MONTH($C27)+1))))/$F27))</f>
        <v>0</v>
      </c>
      <c r="Z27" s="38" t="n">
        <f aca="false">IF(OR($C27="",$D27="",$F27=0),0,IF(OR(Z$5&lt;=Projects!$C$2,((YEAR(Z$5)-YEAR($C27))*12+MONTH(Z$5)-MONTH($C27)+1)&lt;1,((YEAR(Z$5)-YEAR($C27))*12+MONTH(Z$5)-MONTH($C27)+1)&gt;$D27),0,$E27*IF($G27,1,N(INDEX(Phasing!$I27:$AF27,((YEAR(Z$5)-YEAR($C27))*12+MONTH(Z$5)-MONTH($C27)+1))))/$F27))</f>
        <v>0</v>
      </c>
      <c r="AA27" s="38" t="n">
        <f aca="false">IF(OR($C27="",$D27="",$F27=0),0,IF(OR(AA$5&lt;=Projects!$C$2,((YEAR(AA$5)-YEAR($C27))*12+MONTH(AA$5)-MONTH($C27)+1)&lt;1,((YEAR(AA$5)-YEAR($C27))*12+MONTH(AA$5)-MONTH($C27)+1)&gt;$D27),0,$E27*IF($G27,1,N(INDEX(Phasing!$I27:$AF27,((YEAR(AA$5)-YEAR($C27))*12+MONTH(AA$5)-MONTH($C27)+1))))/$F27))</f>
        <v>0</v>
      </c>
      <c r="AB27" s="38" t="n">
        <f aca="false">IF(OR($C27="",$D27="",$F27=0),0,IF(OR(AB$5&lt;=Projects!$C$2,((YEAR(AB$5)-YEAR($C27))*12+MONTH(AB$5)-MONTH($C27)+1)&lt;1,((YEAR(AB$5)-YEAR($C27))*12+MONTH(AB$5)-MONTH($C27)+1)&gt;$D27),0,$E27*IF($G27,1,N(INDEX(Phasing!$I27:$AF27,((YEAR(AB$5)-YEAR($C27))*12+MONTH(AB$5)-MONTH($C27)+1))))/$F27))</f>
        <v>0</v>
      </c>
      <c r="AC27" s="38" t="n">
        <f aca="false">IF(OR($C27="",$D27="",$F27=0),0,IF(OR(AC$5&lt;=Projects!$C$2,((YEAR(AC$5)-YEAR($C27))*12+MONTH(AC$5)-MONTH($C27)+1)&lt;1,((YEAR(AC$5)-YEAR($C27))*12+MONTH(AC$5)-MONTH($C27)+1)&gt;$D27),0,$E27*IF($G27,1,N(INDEX(Phasing!$I27:$AF27,((YEAR(AC$5)-YEAR($C27))*12+MONTH(AC$5)-MONTH($C27)+1))))/$F27))</f>
        <v>0</v>
      </c>
      <c r="AD27" s="38" t="n">
        <f aca="false">IF(OR($C27="",$D27="",$F27=0),0,IF(OR(AD$5&lt;=Projects!$C$2,((YEAR(AD$5)-YEAR($C27))*12+MONTH(AD$5)-MONTH($C27)+1)&lt;1,((YEAR(AD$5)-YEAR($C27))*12+MONTH(AD$5)-MONTH($C27)+1)&gt;$D27),0,$E27*IF($G27,1,N(INDEX(Phasing!$I27:$AF27,((YEAR(AD$5)-YEAR($C27))*12+MONTH(AD$5)-MONTH($C27)+1))))/$F27))</f>
        <v>0</v>
      </c>
      <c r="AE27" s="38" t="n">
        <f aca="false">IF(OR($C27="",$D27="",$F27=0),0,IF(OR(AE$5&lt;=Projects!$C$2,((YEAR(AE$5)-YEAR($C27))*12+MONTH(AE$5)-MONTH($C27)+1)&lt;1,((YEAR(AE$5)-YEAR($C27))*12+MONTH(AE$5)-MONTH($C27)+1)&gt;$D27),0,$E27*IF($G27,1,N(INDEX(Phasing!$I27:$AF27,((YEAR(AE$5)-YEAR($C27))*12+MONTH(AE$5)-MONTH($C27)+1))))/$F27))</f>
        <v>0</v>
      </c>
      <c r="AF27" s="38" t="n">
        <f aca="false">IF(OR($C27="",$D27="",$F27=0),0,IF(OR(AF$5&lt;=Projects!$C$2,((YEAR(AF$5)-YEAR($C27))*12+MONTH(AF$5)-MONTH($C27)+1)&lt;1,((YEAR(AF$5)-YEAR($C27))*12+MONTH(AF$5)-MONTH($C27)+1)&gt;$D27),0,$E27*IF($G27,1,N(INDEX(Phasing!$I27:$AF27,((YEAR(AF$5)-YEAR($C27))*12+MONTH(AF$5)-MONTH($C27)+1))))/$F27))</f>
        <v>0</v>
      </c>
      <c r="AG27" s="38" t="n">
        <f aca="false">IF(OR($C27="",$D27="",$F27=0),0,IF(OR(AG$5&lt;=Projects!$C$2,((YEAR(AG$5)-YEAR($C27))*12+MONTH(AG$5)-MONTH($C27)+1)&lt;1,((YEAR(AG$5)-YEAR($C27))*12+MONTH(AG$5)-MONTH($C27)+1)&gt;$D27),0,$E27*IF($G27,1,N(INDEX(Phasing!$I27:$AF27,((YEAR(AG$5)-YEAR($C27))*12+MONTH(AG$5)-MONTH($C27)+1))))/$F27))</f>
        <v>0</v>
      </c>
      <c r="AH27" s="38" t="n">
        <f aca="false">IF(OR($C27="",$D27="",$F27=0),0,IF(OR(AH$5&lt;=Projects!$C$2,((YEAR(AH$5)-YEAR($C27))*12+MONTH(AH$5)-MONTH($C27)+1)&lt;1,((YEAR(AH$5)-YEAR($C27))*12+MONTH(AH$5)-MONTH($C27)+1)&gt;$D27),0,$E27*IF($G27,1,N(INDEX(Phasing!$I27:$AF27,((YEAR(AH$5)-YEAR($C27))*12+MONTH(AH$5)-MONTH($C27)+1))))/$F27))</f>
        <v>0</v>
      </c>
      <c r="AI27" s="38" t="n">
        <f aca="false">IF(OR($C27="",$D27="",$F27=0),0,IF(OR(AI$5&lt;=Projects!$C$2,((YEAR(AI$5)-YEAR($C27))*12+MONTH(AI$5)-MONTH($C27)+1)&lt;1,((YEAR(AI$5)-YEAR($C27))*12+MONTH(AI$5)-MONTH($C27)+1)&gt;$D27),0,$E27*IF($G27,1,N(INDEX(Phasing!$I27:$AF27,((YEAR(AI$5)-YEAR($C27))*12+MONTH(AI$5)-MONTH($C27)+1))))/$F27))</f>
        <v>0</v>
      </c>
      <c r="AJ27" s="38" t="n">
        <f aca="false">IF(OR($C27="",$D27="",$F27=0),0,IF(OR(AJ$5&lt;=Projects!$C$2,((YEAR(AJ$5)-YEAR($C27))*12+MONTH(AJ$5)-MONTH($C27)+1)&lt;1,((YEAR(AJ$5)-YEAR($C27))*12+MONTH(AJ$5)-MONTH($C27)+1)&gt;$D27),0,$E27*IF($G27,1,N(INDEX(Phasing!$I27:$AF27,((YEAR(AJ$5)-YEAR($C27))*12+MONTH(AJ$5)-MONTH($C27)+1))))/$F27))</f>
        <v>0</v>
      </c>
      <c r="AK27" s="38" t="n">
        <f aca="false">IF(OR($C27="",$D27="",$F27=0),0,IF(OR(AK$5&lt;=Projects!$C$2,((YEAR(AK$5)-YEAR($C27))*12+MONTH(AK$5)-MONTH($C27)+1)&lt;1,((YEAR(AK$5)-YEAR($C27))*12+MONTH(AK$5)-MONTH($C27)+1)&gt;$D27),0,$E27*IF($G27,1,N(INDEX(Phasing!$I27:$AF27,((YEAR(AK$5)-YEAR($C27))*12+MONTH(AK$5)-MONTH($C27)+1))))/$F27))</f>
        <v>0</v>
      </c>
      <c r="AL27" s="38" t="n">
        <f aca="false">IF(OR($C27="",$D27="",$F27=0),0,IF(OR(AL$5&lt;=Projects!$C$2,((YEAR(AL$5)-YEAR($C27))*12+MONTH(AL$5)-MONTH($C27)+1)&lt;1,((YEAR(AL$5)-YEAR($C27))*12+MONTH(AL$5)-MONTH($C27)+1)&gt;$D27),0,$E27*IF($G27,1,N(INDEX(Phasing!$I27:$AF27,((YEAR(AL$5)-YEAR($C27))*12+MONTH(AL$5)-MONTH($C27)+1))))/$F27))</f>
        <v>0</v>
      </c>
      <c r="AM27" s="38" t="n">
        <f aca="false">IF(OR($C27="",$D27="",$F27=0),0,IF(OR(AM$5&lt;=Projects!$C$2,((YEAR(AM$5)-YEAR($C27))*12+MONTH(AM$5)-MONTH($C27)+1)&lt;1,((YEAR(AM$5)-YEAR($C27))*12+MONTH(AM$5)-MONTH($C27)+1)&gt;$D27),0,$E27*IF($G27,1,N(INDEX(Phasing!$I27:$AF27,((YEAR(AM$5)-YEAR($C27))*12+MONTH(AM$5)-MONTH($C27)+1))))/$F27))</f>
        <v>0</v>
      </c>
      <c r="AN27" s="38" t="n">
        <f aca="false">IF(OR($C27="",$D27="",$F27=0),0,IF(OR(AN$5&lt;=Projects!$C$2,((YEAR(AN$5)-YEAR($C27))*12+MONTH(AN$5)-MONTH($C27)+1)&lt;1,((YEAR(AN$5)-YEAR($C27))*12+MONTH(AN$5)-MONTH($C27)+1)&gt;$D27),0,$E27*IF($G27,1,N(INDEX(Phasing!$I27:$AF27,((YEAR(AN$5)-YEAR($C27))*12+MONTH(AN$5)-MONTH($C27)+1))))/$F27))</f>
        <v>0</v>
      </c>
      <c r="AO27" s="38" t="n">
        <f aca="false">IF(OR($C27="",$D27="",$F27=0),0,IF(OR(AO$5&lt;=Projects!$C$2,((YEAR(AO$5)-YEAR($C27))*12+MONTH(AO$5)-MONTH($C27)+1)&lt;1,((YEAR(AO$5)-YEAR($C27))*12+MONTH(AO$5)-MONTH($C27)+1)&gt;$D27),0,$E27*IF($G27,1,N(INDEX(Phasing!$I27:$AF27,((YEAR(AO$5)-YEAR($C27))*12+MONTH(AO$5)-MONTH($C27)+1))))/$F27))</f>
        <v>0</v>
      </c>
      <c r="AP27" s="38" t="n">
        <f aca="false">IF(OR($C27="",$D27="",$F27=0),0,IF(OR(AP$5&lt;=Projects!$C$2,((YEAR(AP$5)-YEAR($C27))*12+MONTH(AP$5)-MONTH($C27)+1)&lt;1,((YEAR(AP$5)-YEAR($C27))*12+MONTH(AP$5)-MONTH($C27)+1)&gt;$D27),0,$E27*IF($G27,1,N(INDEX(Phasing!$I27:$AF27,((YEAR(AP$5)-YEAR($C27))*12+MONTH(AP$5)-MONTH($C27)+1))))/$F27))</f>
        <v>0</v>
      </c>
      <c r="AQ27" s="38" t="n">
        <f aca="false">IF(OR($C27="",$D27="",$F27=0),0,IF(OR(AQ$5&lt;=Projects!$C$2,((YEAR(AQ$5)-YEAR($C27))*12+MONTH(AQ$5)-MONTH($C27)+1)&lt;1,((YEAR(AQ$5)-YEAR($C27))*12+MONTH(AQ$5)-MONTH($C27)+1)&gt;$D27),0,$E27*IF($G27,1,N(INDEX(Phasing!$I27:$AF27,((YEAR(AQ$5)-YEAR($C27))*12+MONTH(AQ$5)-MONTH($C27)+1))))/$F27))</f>
        <v>0</v>
      </c>
    </row>
    <row r="28" customFormat="false" ht="15" hidden="false" customHeight="false" outlineLevel="0" collapsed="false">
      <c r="A28" s="11" t="n">
        <v>23</v>
      </c>
      <c r="B28" s="21" t="str">
        <f aca="false">IF(Projects!B28="","",Projects!B28)</f>
        <v/>
      </c>
      <c r="C28" s="31" t="str">
        <f aca="false">IF(Projects!D28="","",Projects!D28)</f>
        <v/>
      </c>
      <c r="D28" s="21" t="str">
        <f aca="false">IF(Projects!E28="","",Projects!E28)</f>
        <v/>
      </c>
      <c r="E28" s="33" t="n">
        <f aca="false">IF(Projects!B28="",0,N(Projects!I28))</f>
        <v>0</v>
      </c>
      <c r="F28" s="21" t="n">
        <f aca="false">Phasing!G28</f>
        <v>0</v>
      </c>
      <c r="G28" s="48" t="b">
        <f aca="false">Phasing!D28=0</f>
        <v>1</v>
      </c>
      <c r="H28" s="38" t="n">
        <f aca="false">IF(OR($C28="",$D28="",$F28=0),0,IF(OR(H$5&lt;=Projects!$C$2,((YEAR(H$5)-YEAR($C28))*12+MONTH(H$5)-MONTH($C28)+1)&lt;1,((YEAR(H$5)-YEAR($C28))*12+MONTH(H$5)-MONTH($C28)+1)&gt;$D28),0,$E28*IF($G28,1,N(INDEX(Phasing!$I28:$AF28,((YEAR(H$5)-YEAR($C28))*12+MONTH(H$5)-MONTH($C28)+1))))/$F28))</f>
        <v>0</v>
      </c>
      <c r="I28" s="38" t="n">
        <f aca="false">IF(OR($C28="",$D28="",$F28=0),0,IF(OR(I$5&lt;=Projects!$C$2,((YEAR(I$5)-YEAR($C28))*12+MONTH(I$5)-MONTH($C28)+1)&lt;1,((YEAR(I$5)-YEAR($C28))*12+MONTH(I$5)-MONTH($C28)+1)&gt;$D28),0,$E28*IF($G28,1,N(INDEX(Phasing!$I28:$AF28,((YEAR(I$5)-YEAR($C28))*12+MONTH(I$5)-MONTH($C28)+1))))/$F28))</f>
        <v>0</v>
      </c>
      <c r="J28" s="38" t="n">
        <f aca="false">IF(OR($C28="",$D28="",$F28=0),0,IF(OR(J$5&lt;=Projects!$C$2,((YEAR(J$5)-YEAR($C28))*12+MONTH(J$5)-MONTH($C28)+1)&lt;1,((YEAR(J$5)-YEAR($C28))*12+MONTH(J$5)-MONTH($C28)+1)&gt;$D28),0,$E28*IF($G28,1,N(INDEX(Phasing!$I28:$AF28,((YEAR(J$5)-YEAR($C28))*12+MONTH(J$5)-MONTH($C28)+1))))/$F28))</f>
        <v>0</v>
      </c>
      <c r="K28" s="38" t="n">
        <f aca="false">IF(OR($C28="",$D28="",$F28=0),0,IF(OR(K$5&lt;=Projects!$C$2,((YEAR(K$5)-YEAR($C28))*12+MONTH(K$5)-MONTH($C28)+1)&lt;1,((YEAR(K$5)-YEAR($C28))*12+MONTH(K$5)-MONTH($C28)+1)&gt;$D28),0,$E28*IF($G28,1,N(INDEX(Phasing!$I28:$AF28,((YEAR(K$5)-YEAR($C28))*12+MONTH(K$5)-MONTH($C28)+1))))/$F28))</f>
        <v>0</v>
      </c>
      <c r="L28" s="38" t="n">
        <f aca="false">IF(OR($C28="",$D28="",$F28=0),0,IF(OR(L$5&lt;=Projects!$C$2,((YEAR(L$5)-YEAR($C28))*12+MONTH(L$5)-MONTH($C28)+1)&lt;1,((YEAR(L$5)-YEAR($C28))*12+MONTH(L$5)-MONTH($C28)+1)&gt;$D28),0,$E28*IF($G28,1,N(INDEX(Phasing!$I28:$AF28,((YEAR(L$5)-YEAR($C28))*12+MONTH(L$5)-MONTH($C28)+1))))/$F28))</f>
        <v>0</v>
      </c>
      <c r="M28" s="38" t="n">
        <f aca="false">IF(OR($C28="",$D28="",$F28=0),0,IF(OR(M$5&lt;=Projects!$C$2,((YEAR(M$5)-YEAR($C28))*12+MONTH(M$5)-MONTH($C28)+1)&lt;1,((YEAR(M$5)-YEAR($C28))*12+MONTH(M$5)-MONTH($C28)+1)&gt;$D28),0,$E28*IF($G28,1,N(INDEX(Phasing!$I28:$AF28,((YEAR(M$5)-YEAR($C28))*12+MONTH(M$5)-MONTH($C28)+1))))/$F28))</f>
        <v>0</v>
      </c>
      <c r="N28" s="38" t="n">
        <f aca="false">IF(OR($C28="",$D28="",$F28=0),0,IF(OR(N$5&lt;=Projects!$C$2,((YEAR(N$5)-YEAR($C28))*12+MONTH(N$5)-MONTH($C28)+1)&lt;1,((YEAR(N$5)-YEAR($C28))*12+MONTH(N$5)-MONTH($C28)+1)&gt;$D28),0,$E28*IF($G28,1,N(INDEX(Phasing!$I28:$AF28,((YEAR(N$5)-YEAR($C28))*12+MONTH(N$5)-MONTH($C28)+1))))/$F28))</f>
        <v>0</v>
      </c>
      <c r="O28" s="38" t="n">
        <f aca="false">IF(OR($C28="",$D28="",$F28=0),0,IF(OR(O$5&lt;=Projects!$C$2,((YEAR(O$5)-YEAR($C28))*12+MONTH(O$5)-MONTH($C28)+1)&lt;1,((YEAR(O$5)-YEAR($C28))*12+MONTH(O$5)-MONTH($C28)+1)&gt;$D28),0,$E28*IF($G28,1,N(INDEX(Phasing!$I28:$AF28,((YEAR(O$5)-YEAR($C28))*12+MONTH(O$5)-MONTH($C28)+1))))/$F28))</f>
        <v>0</v>
      </c>
      <c r="P28" s="38" t="n">
        <f aca="false">IF(OR($C28="",$D28="",$F28=0),0,IF(OR(P$5&lt;=Projects!$C$2,((YEAR(P$5)-YEAR($C28))*12+MONTH(P$5)-MONTH($C28)+1)&lt;1,((YEAR(P$5)-YEAR($C28))*12+MONTH(P$5)-MONTH($C28)+1)&gt;$D28),0,$E28*IF($G28,1,N(INDEX(Phasing!$I28:$AF28,((YEAR(P$5)-YEAR($C28))*12+MONTH(P$5)-MONTH($C28)+1))))/$F28))</f>
        <v>0</v>
      </c>
      <c r="Q28" s="38" t="n">
        <f aca="false">IF(OR($C28="",$D28="",$F28=0),0,IF(OR(Q$5&lt;=Projects!$C$2,((YEAR(Q$5)-YEAR($C28))*12+MONTH(Q$5)-MONTH($C28)+1)&lt;1,((YEAR(Q$5)-YEAR($C28))*12+MONTH(Q$5)-MONTH($C28)+1)&gt;$D28),0,$E28*IF($G28,1,N(INDEX(Phasing!$I28:$AF28,((YEAR(Q$5)-YEAR($C28))*12+MONTH(Q$5)-MONTH($C28)+1))))/$F28))</f>
        <v>0</v>
      </c>
      <c r="R28" s="38" t="n">
        <f aca="false">IF(OR($C28="",$D28="",$F28=0),0,IF(OR(R$5&lt;=Projects!$C$2,((YEAR(R$5)-YEAR($C28))*12+MONTH(R$5)-MONTH($C28)+1)&lt;1,((YEAR(R$5)-YEAR($C28))*12+MONTH(R$5)-MONTH($C28)+1)&gt;$D28),0,$E28*IF($G28,1,N(INDEX(Phasing!$I28:$AF28,((YEAR(R$5)-YEAR($C28))*12+MONTH(R$5)-MONTH($C28)+1))))/$F28))</f>
        <v>0</v>
      </c>
      <c r="S28" s="38" t="n">
        <f aca="false">IF(OR($C28="",$D28="",$F28=0),0,IF(OR(S$5&lt;=Projects!$C$2,((YEAR(S$5)-YEAR($C28))*12+MONTH(S$5)-MONTH($C28)+1)&lt;1,((YEAR(S$5)-YEAR($C28))*12+MONTH(S$5)-MONTH($C28)+1)&gt;$D28),0,$E28*IF($G28,1,N(INDEX(Phasing!$I28:$AF28,((YEAR(S$5)-YEAR($C28))*12+MONTH(S$5)-MONTH($C28)+1))))/$F28))</f>
        <v>0</v>
      </c>
      <c r="T28" s="38" t="n">
        <f aca="false">IF(OR($C28="",$D28="",$F28=0),0,IF(OR(T$5&lt;=Projects!$C$2,((YEAR(T$5)-YEAR($C28))*12+MONTH(T$5)-MONTH($C28)+1)&lt;1,((YEAR(T$5)-YEAR($C28))*12+MONTH(T$5)-MONTH($C28)+1)&gt;$D28),0,$E28*IF($G28,1,N(INDEX(Phasing!$I28:$AF28,((YEAR(T$5)-YEAR($C28))*12+MONTH(T$5)-MONTH($C28)+1))))/$F28))</f>
        <v>0</v>
      </c>
      <c r="U28" s="38" t="n">
        <f aca="false">IF(OR($C28="",$D28="",$F28=0),0,IF(OR(U$5&lt;=Projects!$C$2,((YEAR(U$5)-YEAR($C28))*12+MONTH(U$5)-MONTH($C28)+1)&lt;1,((YEAR(U$5)-YEAR($C28))*12+MONTH(U$5)-MONTH($C28)+1)&gt;$D28),0,$E28*IF($G28,1,N(INDEX(Phasing!$I28:$AF28,((YEAR(U$5)-YEAR($C28))*12+MONTH(U$5)-MONTH($C28)+1))))/$F28))</f>
        <v>0</v>
      </c>
      <c r="V28" s="38" t="n">
        <f aca="false">IF(OR($C28="",$D28="",$F28=0),0,IF(OR(V$5&lt;=Projects!$C$2,((YEAR(V$5)-YEAR($C28))*12+MONTH(V$5)-MONTH($C28)+1)&lt;1,((YEAR(V$5)-YEAR($C28))*12+MONTH(V$5)-MONTH($C28)+1)&gt;$D28),0,$E28*IF($G28,1,N(INDEX(Phasing!$I28:$AF28,((YEAR(V$5)-YEAR($C28))*12+MONTH(V$5)-MONTH($C28)+1))))/$F28))</f>
        <v>0</v>
      </c>
      <c r="W28" s="38" t="n">
        <f aca="false">IF(OR($C28="",$D28="",$F28=0),0,IF(OR(W$5&lt;=Projects!$C$2,((YEAR(W$5)-YEAR($C28))*12+MONTH(W$5)-MONTH($C28)+1)&lt;1,((YEAR(W$5)-YEAR($C28))*12+MONTH(W$5)-MONTH($C28)+1)&gt;$D28),0,$E28*IF($G28,1,N(INDEX(Phasing!$I28:$AF28,((YEAR(W$5)-YEAR($C28))*12+MONTH(W$5)-MONTH($C28)+1))))/$F28))</f>
        <v>0</v>
      </c>
      <c r="X28" s="38" t="n">
        <f aca="false">IF(OR($C28="",$D28="",$F28=0),0,IF(OR(X$5&lt;=Projects!$C$2,((YEAR(X$5)-YEAR($C28))*12+MONTH(X$5)-MONTH($C28)+1)&lt;1,((YEAR(X$5)-YEAR($C28))*12+MONTH(X$5)-MONTH($C28)+1)&gt;$D28),0,$E28*IF($G28,1,N(INDEX(Phasing!$I28:$AF28,((YEAR(X$5)-YEAR($C28))*12+MONTH(X$5)-MONTH($C28)+1))))/$F28))</f>
        <v>0</v>
      </c>
      <c r="Y28" s="38" t="n">
        <f aca="false">IF(OR($C28="",$D28="",$F28=0),0,IF(OR(Y$5&lt;=Projects!$C$2,((YEAR(Y$5)-YEAR($C28))*12+MONTH(Y$5)-MONTH($C28)+1)&lt;1,((YEAR(Y$5)-YEAR($C28))*12+MONTH(Y$5)-MONTH($C28)+1)&gt;$D28),0,$E28*IF($G28,1,N(INDEX(Phasing!$I28:$AF28,((YEAR(Y$5)-YEAR($C28))*12+MONTH(Y$5)-MONTH($C28)+1))))/$F28))</f>
        <v>0</v>
      </c>
      <c r="Z28" s="38" t="n">
        <f aca="false">IF(OR($C28="",$D28="",$F28=0),0,IF(OR(Z$5&lt;=Projects!$C$2,((YEAR(Z$5)-YEAR($C28))*12+MONTH(Z$5)-MONTH($C28)+1)&lt;1,((YEAR(Z$5)-YEAR($C28))*12+MONTH(Z$5)-MONTH($C28)+1)&gt;$D28),0,$E28*IF($G28,1,N(INDEX(Phasing!$I28:$AF28,((YEAR(Z$5)-YEAR($C28))*12+MONTH(Z$5)-MONTH($C28)+1))))/$F28))</f>
        <v>0</v>
      </c>
      <c r="AA28" s="38" t="n">
        <f aca="false">IF(OR($C28="",$D28="",$F28=0),0,IF(OR(AA$5&lt;=Projects!$C$2,((YEAR(AA$5)-YEAR($C28))*12+MONTH(AA$5)-MONTH($C28)+1)&lt;1,((YEAR(AA$5)-YEAR($C28))*12+MONTH(AA$5)-MONTH($C28)+1)&gt;$D28),0,$E28*IF($G28,1,N(INDEX(Phasing!$I28:$AF28,((YEAR(AA$5)-YEAR($C28))*12+MONTH(AA$5)-MONTH($C28)+1))))/$F28))</f>
        <v>0</v>
      </c>
      <c r="AB28" s="38" t="n">
        <f aca="false">IF(OR($C28="",$D28="",$F28=0),0,IF(OR(AB$5&lt;=Projects!$C$2,((YEAR(AB$5)-YEAR($C28))*12+MONTH(AB$5)-MONTH($C28)+1)&lt;1,((YEAR(AB$5)-YEAR($C28))*12+MONTH(AB$5)-MONTH($C28)+1)&gt;$D28),0,$E28*IF($G28,1,N(INDEX(Phasing!$I28:$AF28,((YEAR(AB$5)-YEAR($C28))*12+MONTH(AB$5)-MONTH($C28)+1))))/$F28))</f>
        <v>0</v>
      </c>
      <c r="AC28" s="38" t="n">
        <f aca="false">IF(OR($C28="",$D28="",$F28=0),0,IF(OR(AC$5&lt;=Projects!$C$2,((YEAR(AC$5)-YEAR($C28))*12+MONTH(AC$5)-MONTH($C28)+1)&lt;1,((YEAR(AC$5)-YEAR($C28))*12+MONTH(AC$5)-MONTH($C28)+1)&gt;$D28),0,$E28*IF($G28,1,N(INDEX(Phasing!$I28:$AF28,((YEAR(AC$5)-YEAR($C28))*12+MONTH(AC$5)-MONTH($C28)+1))))/$F28))</f>
        <v>0</v>
      </c>
      <c r="AD28" s="38" t="n">
        <f aca="false">IF(OR($C28="",$D28="",$F28=0),0,IF(OR(AD$5&lt;=Projects!$C$2,((YEAR(AD$5)-YEAR($C28))*12+MONTH(AD$5)-MONTH($C28)+1)&lt;1,((YEAR(AD$5)-YEAR($C28))*12+MONTH(AD$5)-MONTH($C28)+1)&gt;$D28),0,$E28*IF($G28,1,N(INDEX(Phasing!$I28:$AF28,((YEAR(AD$5)-YEAR($C28))*12+MONTH(AD$5)-MONTH($C28)+1))))/$F28))</f>
        <v>0</v>
      </c>
      <c r="AE28" s="38" t="n">
        <f aca="false">IF(OR($C28="",$D28="",$F28=0),0,IF(OR(AE$5&lt;=Projects!$C$2,((YEAR(AE$5)-YEAR($C28))*12+MONTH(AE$5)-MONTH($C28)+1)&lt;1,((YEAR(AE$5)-YEAR($C28))*12+MONTH(AE$5)-MONTH($C28)+1)&gt;$D28),0,$E28*IF($G28,1,N(INDEX(Phasing!$I28:$AF28,((YEAR(AE$5)-YEAR($C28))*12+MONTH(AE$5)-MONTH($C28)+1))))/$F28))</f>
        <v>0</v>
      </c>
      <c r="AF28" s="38" t="n">
        <f aca="false">IF(OR($C28="",$D28="",$F28=0),0,IF(OR(AF$5&lt;=Projects!$C$2,((YEAR(AF$5)-YEAR($C28))*12+MONTH(AF$5)-MONTH($C28)+1)&lt;1,((YEAR(AF$5)-YEAR($C28))*12+MONTH(AF$5)-MONTH($C28)+1)&gt;$D28),0,$E28*IF($G28,1,N(INDEX(Phasing!$I28:$AF28,((YEAR(AF$5)-YEAR($C28))*12+MONTH(AF$5)-MONTH($C28)+1))))/$F28))</f>
        <v>0</v>
      </c>
      <c r="AG28" s="38" t="n">
        <f aca="false">IF(OR($C28="",$D28="",$F28=0),0,IF(OR(AG$5&lt;=Projects!$C$2,((YEAR(AG$5)-YEAR($C28))*12+MONTH(AG$5)-MONTH($C28)+1)&lt;1,((YEAR(AG$5)-YEAR($C28))*12+MONTH(AG$5)-MONTH($C28)+1)&gt;$D28),0,$E28*IF($G28,1,N(INDEX(Phasing!$I28:$AF28,((YEAR(AG$5)-YEAR($C28))*12+MONTH(AG$5)-MONTH($C28)+1))))/$F28))</f>
        <v>0</v>
      </c>
      <c r="AH28" s="38" t="n">
        <f aca="false">IF(OR($C28="",$D28="",$F28=0),0,IF(OR(AH$5&lt;=Projects!$C$2,((YEAR(AH$5)-YEAR($C28))*12+MONTH(AH$5)-MONTH($C28)+1)&lt;1,((YEAR(AH$5)-YEAR($C28))*12+MONTH(AH$5)-MONTH($C28)+1)&gt;$D28),0,$E28*IF($G28,1,N(INDEX(Phasing!$I28:$AF28,((YEAR(AH$5)-YEAR($C28))*12+MONTH(AH$5)-MONTH($C28)+1))))/$F28))</f>
        <v>0</v>
      </c>
      <c r="AI28" s="38" t="n">
        <f aca="false">IF(OR($C28="",$D28="",$F28=0),0,IF(OR(AI$5&lt;=Projects!$C$2,((YEAR(AI$5)-YEAR($C28))*12+MONTH(AI$5)-MONTH($C28)+1)&lt;1,((YEAR(AI$5)-YEAR($C28))*12+MONTH(AI$5)-MONTH($C28)+1)&gt;$D28),0,$E28*IF($G28,1,N(INDEX(Phasing!$I28:$AF28,((YEAR(AI$5)-YEAR($C28))*12+MONTH(AI$5)-MONTH($C28)+1))))/$F28))</f>
        <v>0</v>
      </c>
      <c r="AJ28" s="38" t="n">
        <f aca="false">IF(OR($C28="",$D28="",$F28=0),0,IF(OR(AJ$5&lt;=Projects!$C$2,((YEAR(AJ$5)-YEAR($C28))*12+MONTH(AJ$5)-MONTH($C28)+1)&lt;1,((YEAR(AJ$5)-YEAR($C28))*12+MONTH(AJ$5)-MONTH($C28)+1)&gt;$D28),0,$E28*IF($G28,1,N(INDEX(Phasing!$I28:$AF28,((YEAR(AJ$5)-YEAR($C28))*12+MONTH(AJ$5)-MONTH($C28)+1))))/$F28))</f>
        <v>0</v>
      </c>
      <c r="AK28" s="38" t="n">
        <f aca="false">IF(OR($C28="",$D28="",$F28=0),0,IF(OR(AK$5&lt;=Projects!$C$2,((YEAR(AK$5)-YEAR($C28))*12+MONTH(AK$5)-MONTH($C28)+1)&lt;1,((YEAR(AK$5)-YEAR($C28))*12+MONTH(AK$5)-MONTH($C28)+1)&gt;$D28),0,$E28*IF($G28,1,N(INDEX(Phasing!$I28:$AF28,((YEAR(AK$5)-YEAR($C28))*12+MONTH(AK$5)-MONTH($C28)+1))))/$F28))</f>
        <v>0</v>
      </c>
      <c r="AL28" s="38" t="n">
        <f aca="false">IF(OR($C28="",$D28="",$F28=0),0,IF(OR(AL$5&lt;=Projects!$C$2,((YEAR(AL$5)-YEAR($C28))*12+MONTH(AL$5)-MONTH($C28)+1)&lt;1,((YEAR(AL$5)-YEAR($C28))*12+MONTH(AL$5)-MONTH($C28)+1)&gt;$D28),0,$E28*IF($G28,1,N(INDEX(Phasing!$I28:$AF28,((YEAR(AL$5)-YEAR($C28))*12+MONTH(AL$5)-MONTH($C28)+1))))/$F28))</f>
        <v>0</v>
      </c>
      <c r="AM28" s="38" t="n">
        <f aca="false">IF(OR($C28="",$D28="",$F28=0),0,IF(OR(AM$5&lt;=Projects!$C$2,((YEAR(AM$5)-YEAR($C28))*12+MONTH(AM$5)-MONTH($C28)+1)&lt;1,((YEAR(AM$5)-YEAR($C28))*12+MONTH(AM$5)-MONTH($C28)+1)&gt;$D28),0,$E28*IF($G28,1,N(INDEX(Phasing!$I28:$AF28,((YEAR(AM$5)-YEAR($C28))*12+MONTH(AM$5)-MONTH($C28)+1))))/$F28))</f>
        <v>0</v>
      </c>
      <c r="AN28" s="38" t="n">
        <f aca="false">IF(OR($C28="",$D28="",$F28=0),0,IF(OR(AN$5&lt;=Projects!$C$2,((YEAR(AN$5)-YEAR($C28))*12+MONTH(AN$5)-MONTH($C28)+1)&lt;1,((YEAR(AN$5)-YEAR($C28))*12+MONTH(AN$5)-MONTH($C28)+1)&gt;$D28),0,$E28*IF($G28,1,N(INDEX(Phasing!$I28:$AF28,((YEAR(AN$5)-YEAR($C28))*12+MONTH(AN$5)-MONTH($C28)+1))))/$F28))</f>
        <v>0</v>
      </c>
      <c r="AO28" s="38" t="n">
        <f aca="false">IF(OR($C28="",$D28="",$F28=0),0,IF(OR(AO$5&lt;=Projects!$C$2,((YEAR(AO$5)-YEAR($C28))*12+MONTH(AO$5)-MONTH($C28)+1)&lt;1,((YEAR(AO$5)-YEAR($C28))*12+MONTH(AO$5)-MONTH($C28)+1)&gt;$D28),0,$E28*IF($G28,1,N(INDEX(Phasing!$I28:$AF28,((YEAR(AO$5)-YEAR($C28))*12+MONTH(AO$5)-MONTH($C28)+1))))/$F28))</f>
        <v>0</v>
      </c>
      <c r="AP28" s="38" t="n">
        <f aca="false">IF(OR($C28="",$D28="",$F28=0),0,IF(OR(AP$5&lt;=Projects!$C$2,((YEAR(AP$5)-YEAR($C28))*12+MONTH(AP$5)-MONTH($C28)+1)&lt;1,((YEAR(AP$5)-YEAR($C28))*12+MONTH(AP$5)-MONTH($C28)+1)&gt;$D28),0,$E28*IF($G28,1,N(INDEX(Phasing!$I28:$AF28,((YEAR(AP$5)-YEAR($C28))*12+MONTH(AP$5)-MONTH($C28)+1))))/$F28))</f>
        <v>0</v>
      </c>
      <c r="AQ28" s="38" t="n">
        <f aca="false">IF(OR($C28="",$D28="",$F28=0),0,IF(OR(AQ$5&lt;=Projects!$C$2,((YEAR(AQ$5)-YEAR($C28))*12+MONTH(AQ$5)-MONTH($C28)+1)&lt;1,((YEAR(AQ$5)-YEAR($C28))*12+MONTH(AQ$5)-MONTH($C28)+1)&gt;$D28),0,$E28*IF($G28,1,N(INDEX(Phasing!$I28:$AF28,((YEAR(AQ$5)-YEAR($C28))*12+MONTH(AQ$5)-MONTH($C28)+1))))/$F28))</f>
        <v>0</v>
      </c>
    </row>
    <row r="29" customFormat="false" ht="15" hidden="false" customHeight="false" outlineLevel="0" collapsed="false">
      <c r="A29" s="11" t="n">
        <v>24</v>
      </c>
      <c r="B29" s="21" t="str">
        <f aca="false">IF(Projects!B29="","",Projects!B29)</f>
        <v/>
      </c>
      <c r="C29" s="31" t="str">
        <f aca="false">IF(Projects!D29="","",Projects!D29)</f>
        <v/>
      </c>
      <c r="D29" s="21" t="str">
        <f aca="false">IF(Projects!E29="","",Projects!E29)</f>
        <v/>
      </c>
      <c r="E29" s="33" t="n">
        <f aca="false">IF(Projects!B29="",0,N(Projects!I29))</f>
        <v>0</v>
      </c>
      <c r="F29" s="21" t="n">
        <f aca="false">Phasing!G29</f>
        <v>0</v>
      </c>
      <c r="G29" s="48" t="b">
        <f aca="false">Phasing!D29=0</f>
        <v>1</v>
      </c>
      <c r="H29" s="38" t="n">
        <f aca="false">IF(OR($C29="",$D29="",$F29=0),0,IF(OR(H$5&lt;=Projects!$C$2,((YEAR(H$5)-YEAR($C29))*12+MONTH(H$5)-MONTH($C29)+1)&lt;1,((YEAR(H$5)-YEAR($C29))*12+MONTH(H$5)-MONTH($C29)+1)&gt;$D29),0,$E29*IF($G29,1,N(INDEX(Phasing!$I29:$AF29,((YEAR(H$5)-YEAR($C29))*12+MONTH(H$5)-MONTH($C29)+1))))/$F29))</f>
        <v>0</v>
      </c>
      <c r="I29" s="38" t="n">
        <f aca="false">IF(OR($C29="",$D29="",$F29=0),0,IF(OR(I$5&lt;=Projects!$C$2,((YEAR(I$5)-YEAR($C29))*12+MONTH(I$5)-MONTH($C29)+1)&lt;1,((YEAR(I$5)-YEAR($C29))*12+MONTH(I$5)-MONTH($C29)+1)&gt;$D29),0,$E29*IF($G29,1,N(INDEX(Phasing!$I29:$AF29,((YEAR(I$5)-YEAR($C29))*12+MONTH(I$5)-MONTH($C29)+1))))/$F29))</f>
        <v>0</v>
      </c>
      <c r="J29" s="38" t="n">
        <f aca="false">IF(OR($C29="",$D29="",$F29=0),0,IF(OR(J$5&lt;=Projects!$C$2,((YEAR(J$5)-YEAR($C29))*12+MONTH(J$5)-MONTH($C29)+1)&lt;1,((YEAR(J$5)-YEAR($C29))*12+MONTH(J$5)-MONTH($C29)+1)&gt;$D29),0,$E29*IF($G29,1,N(INDEX(Phasing!$I29:$AF29,((YEAR(J$5)-YEAR($C29))*12+MONTH(J$5)-MONTH($C29)+1))))/$F29))</f>
        <v>0</v>
      </c>
      <c r="K29" s="38" t="n">
        <f aca="false">IF(OR($C29="",$D29="",$F29=0),0,IF(OR(K$5&lt;=Projects!$C$2,((YEAR(K$5)-YEAR($C29))*12+MONTH(K$5)-MONTH($C29)+1)&lt;1,((YEAR(K$5)-YEAR($C29))*12+MONTH(K$5)-MONTH($C29)+1)&gt;$D29),0,$E29*IF($G29,1,N(INDEX(Phasing!$I29:$AF29,((YEAR(K$5)-YEAR($C29))*12+MONTH(K$5)-MONTH($C29)+1))))/$F29))</f>
        <v>0</v>
      </c>
      <c r="L29" s="38" t="n">
        <f aca="false">IF(OR($C29="",$D29="",$F29=0),0,IF(OR(L$5&lt;=Projects!$C$2,((YEAR(L$5)-YEAR($C29))*12+MONTH(L$5)-MONTH($C29)+1)&lt;1,((YEAR(L$5)-YEAR($C29))*12+MONTH(L$5)-MONTH($C29)+1)&gt;$D29),0,$E29*IF($G29,1,N(INDEX(Phasing!$I29:$AF29,((YEAR(L$5)-YEAR($C29))*12+MONTH(L$5)-MONTH($C29)+1))))/$F29))</f>
        <v>0</v>
      </c>
      <c r="M29" s="38" t="n">
        <f aca="false">IF(OR($C29="",$D29="",$F29=0),0,IF(OR(M$5&lt;=Projects!$C$2,((YEAR(M$5)-YEAR($C29))*12+MONTH(M$5)-MONTH($C29)+1)&lt;1,((YEAR(M$5)-YEAR($C29))*12+MONTH(M$5)-MONTH($C29)+1)&gt;$D29),0,$E29*IF($G29,1,N(INDEX(Phasing!$I29:$AF29,((YEAR(M$5)-YEAR($C29))*12+MONTH(M$5)-MONTH($C29)+1))))/$F29))</f>
        <v>0</v>
      </c>
      <c r="N29" s="38" t="n">
        <f aca="false">IF(OR($C29="",$D29="",$F29=0),0,IF(OR(N$5&lt;=Projects!$C$2,((YEAR(N$5)-YEAR($C29))*12+MONTH(N$5)-MONTH($C29)+1)&lt;1,((YEAR(N$5)-YEAR($C29))*12+MONTH(N$5)-MONTH($C29)+1)&gt;$D29),0,$E29*IF($G29,1,N(INDEX(Phasing!$I29:$AF29,((YEAR(N$5)-YEAR($C29))*12+MONTH(N$5)-MONTH($C29)+1))))/$F29))</f>
        <v>0</v>
      </c>
      <c r="O29" s="38" t="n">
        <f aca="false">IF(OR($C29="",$D29="",$F29=0),0,IF(OR(O$5&lt;=Projects!$C$2,((YEAR(O$5)-YEAR($C29))*12+MONTH(O$5)-MONTH($C29)+1)&lt;1,((YEAR(O$5)-YEAR($C29))*12+MONTH(O$5)-MONTH($C29)+1)&gt;$D29),0,$E29*IF($G29,1,N(INDEX(Phasing!$I29:$AF29,((YEAR(O$5)-YEAR($C29))*12+MONTH(O$5)-MONTH($C29)+1))))/$F29))</f>
        <v>0</v>
      </c>
      <c r="P29" s="38" t="n">
        <f aca="false">IF(OR($C29="",$D29="",$F29=0),0,IF(OR(P$5&lt;=Projects!$C$2,((YEAR(P$5)-YEAR($C29))*12+MONTH(P$5)-MONTH($C29)+1)&lt;1,((YEAR(P$5)-YEAR($C29))*12+MONTH(P$5)-MONTH($C29)+1)&gt;$D29),0,$E29*IF($G29,1,N(INDEX(Phasing!$I29:$AF29,((YEAR(P$5)-YEAR($C29))*12+MONTH(P$5)-MONTH($C29)+1))))/$F29))</f>
        <v>0</v>
      </c>
      <c r="Q29" s="38" t="n">
        <f aca="false">IF(OR($C29="",$D29="",$F29=0),0,IF(OR(Q$5&lt;=Projects!$C$2,((YEAR(Q$5)-YEAR($C29))*12+MONTH(Q$5)-MONTH($C29)+1)&lt;1,((YEAR(Q$5)-YEAR($C29))*12+MONTH(Q$5)-MONTH($C29)+1)&gt;$D29),0,$E29*IF($G29,1,N(INDEX(Phasing!$I29:$AF29,((YEAR(Q$5)-YEAR($C29))*12+MONTH(Q$5)-MONTH($C29)+1))))/$F29))</f>
        <v>0</v>
      </c>
      <c r="R29" s="38" t="n">
        <f aca="false">IF(OR($C29="",$D29="",$F29=0),0,IF(OR(R$5&lt;=Projects!$C$2,((YEAR(R$5)-YEAR($C29))*12+MONTH(R$5)-MONTH($C29)+1)&lt;1,((YEAR(R$5)-YEAR($C29))*12+MONTH(R$5)-MONTH($C29)+1)&gt;$D29),0,$E29*IF($G29,1,N(INDEX(Phasing!$I29:$AF29,((YEAR(R$5)-YEAR($C29))*12+MONTH(R$5)-MONTH($C29)+1))))/$F29))</f>
        <v>0</v>
      </c>
      <c r="S29" s="38" t="n">
        <f aca="false">IF(OR($C29="",$D29="",$F29=0),0,IF(OR(S$5&lt;=Projects!$C$2,((YEAR(S$5)-YEAR($C29))*12+MONTH(S$5)-MONTH($C29)+1)&lt;1,((YEAR(S$5)-YEAR($C29))*12+MONTH(S$5)-MONTH($C29)+1)&gt;$D29),0,$E29*IF($G29,1,N(INDEX(Phasing!$I29:$AF29,((YEAR(S$5)-YEAR($C29))*12+MONTH(S$5)-MONTH($C29)+1))))/$F29))</f>
        <v>0</v>
      </c>
      <c r="T29" s="38" t="n">
        <f aca="false">IF(OR($C29="",$D29="",$F29=0),0,IF(OR(T$5&lt;=Projects!$C$2,((YEAR(T$5)-YEAR($C29))*12+MONTH(T$5)-MONTH($C29)+1)&lt;1,((YEAR(T$5)-YEAR($C29))*12+MONTH(T$5)-MONTH($C29)+1)&gt;$D29),0,$E29*IF($G29,1,N(INDEX(Phasing!$I29:$AF29,((YEAR(T$5)-YEAR($C29))*12+MONTH(T$5)-MONTH($C29)+1))))/$F29))</f>
        <v>0</v>
      </c>
      <c r="U29" s="38" t="n">
        <f aca="false">IF(OR($C29="",$D29="",$F29=0),0,IF(OR(U$5&lt;=Projects!$C$2,((YEAR(U$5)-YEAR($C29))*12+MONTH(U$5)-MONTH($C29)+1)&lt;1,((YEAR(U$5)-YEAR($C29))*12+MONTH(U$5)-MONTH($C29)+1)&gt;$D29),0,$E29*IF($G29,1,N(INDEX(Phasing!$I29:$AF29,((YEAR(U$5)-YEAR($C29))*12+MONTH(U$5)-MONTH($C29)+1))))/$F29))</f>
        <v>0</v>
      </c>
      <c r="V29" s="38" t="n">
        <f aca="false">IF(OR($C29="",$D29="",$F29=0),0,IF(OR(V$5&lt;=Projects!$C$2,((YEAR(V$5)-YEAR($C29))*12+MONTH(V$5)-MONTH($C29)+1)&lt;1,((YEAR(V$5)-YEAR($C29))*12+MONTH(V$5)-MONTH($C29)+1)&gt;$D29),0,$E29*IF($G29,1,N(INDEX(Phasing!$I29:$AF29,((YEAR(V$5)-YEAR($C29))*12+MONTH(V$5)-MONTH($C29)+1))))/$F29))</f>
        <v>0</v>
      </c>
      <c r="W29" s="38" t="n">
        <f aca="false">IF(OR($C29="",$D29="",$F29=0),0,IF(OR(W$5&lt;=Projects!$C$2,((YEAR(W$5)-YEAR($C29))*12+MONTH(W$5)-MONTH($C29)+1)&lt;1,((YEAR(W$5)-YEAR($C29))*12+MONTH(W$5)-MONTH($C29)+1)&gt;$D29),0,$E29*IF($G29,1,N(INDEX(Phasing!$I29:$AF29,((YEAR(W$5)-YEAR($C29))*12+MONTH(W$5)-MONTH($C29)+1))))/$F29))</f>
        <v>0</v>
      </c>
      <c r="X29" s="38" t="n">
        <f aca="false">IF(OR($C29="",$D29="",$F29=0),0,IF(OR(X$5&lt;=Projects!$C$2,((YEAR(X$5)-YEAR($C29))*12+MONTH(X$5)-MONTH($C29)+1)&lt;1,((YEAR(X$5)-YEAR($C29))*12+MONTH(X$5)-MONTH($C29)+1)&gt;$D29),0,$E29*IF($G29,1,N(INDEX(Phasing!$I29:$AF29,((YEAR(X$5)-YEAR($C29))*12+MONTH(X$5)-MONTH($C29)+1))))/$F29))</f>
        <v>0</v>
      </c>
      <c r="Y29" s="38" t="n">
        <f aca="false">IF(OR($C29="",$D29="",$F29=0),0,IF(OR(Y$5&lt;=Projects!$C$2,((YEAR(Y$5)-YEAR($C29))*12+MONTH(Y$5)-MONTH($C29)+1)&lt;1,((YEAR(Y$5)-YEAR($C29))*12+MONTH(Y$5)-MONTH($C29)+1)&gt;$D29),0,$E29*IF($G29,1,N(INDEX(Phasing!$I29:$AF29,((YEAR(Y$5)-YEAR($C29))*12+MONTH(Y$5)-MONTH($C29)+1))))/$F29))</f>
        <v>0</v>
      </c>
      <c r="Z29" s="38" t="n">
        <f aca="false">IF(OR($C29="",$D29="",$F29=0),0,IF(OR(Z$5&lt;=Projects!$C$2,((YEAR(Z$5)-YEAR($C29))*12+MONTH(Z$5)-MONTH($C29)+1)&lt;1,((YEAR(Z$5)-YEAR($C29))*12+MONTH(Z$5)-MONTH($C29)+1)&gt;$D29),0,$E29*IF($G29,1,N(INDEX(Phasing!$I29:$AF29,((YEAR(Z$5)-YEAR($C29))*12+MONTH(Z$5)-MONTH($C29)+1))))/$F29))</f>
        <v>0</v>
      </c>
      <c r="AA29" s="38" t="n">
        <f aca="false">IF(OR($C29="",$D29="",$F29=0),0,IF(OR(AA$5&lt;=Projects!$C$2,((YEAR(AA$5)-YEAR($C29))*12+MONTH(AA$5)-MONTH($C29)+1)&lt;1,((YEAR(AA$5)-YEAR($C29))*12+MONTH(AA$5)-MONTH($C29)+1)&gt;$D29),0,$E29*IF($G29,1,N(INDEX(Phasing!$I29:$AF29,((YEAR(AA$5)-YEAR($C29))*12+MONTH(AA$5)-MONTH($C29)+1))))/$F29))</f>
        <v>0</v>
      </c>
      <c r="AB29" s="38" t="n">
        <f aca="false">IF(OR($C29="",$D29="",$F29=0),0,IF(OR(AB$5&lt;=Projects!$C$2,((YEAR(AB$5)-YEAR($C29))*12+MONTH(AB$5)-MONTH($C29)+1)&lt;1,((YEAR(AB$5)-YEAR($C29))*12+MONTH(AB$5)-MONTH($C29)+1)&gt;$D29),0,$E29*IF($G29,1,N(INDEX(Phasing!$I29:$AF29,((YEAR(AB$5)-YEAR($C29))*12+MONTH(AB$5)-MONTH($C29)+1))))/$F29))</f>
        <v>0</v>
      </c>
      <c r="AC29" s="38" t="n">
        <f aca="false">IF(OR($C29="",$D29="",$F29=0),0,IF(OR(AC$5&lt;=Projects!$C$2,((YEAR(AC$5)-YEAR($C29))*12+MONTH(AC$5)-MONTH($C29)+1)&lt;1,((YEAR(AC$5)-YEAR($C29))*12+MONTH(AC$5)-MONTH($C29)+1)&gt;$D29),0,$E29*IF($G29,1,N(INDEX(Phasing!$I29:$AF29,((YEAR(AC$5)-YEAR($C29))*12+MONTH(AC$5)-MONTH($C29)+1))))/$F29))</f>
        <v>0</v>
      </c>
      <c r="AD29" s="38" t="n">
        <f aca="false">IF(OR($C29="",$D29="",$F29=0),0,IF(OR(AD$5&lt;=Projects!$C$2,((YEAR(AD$5)-YEAR($C29))*12+MONTH(AD$5)-MONTH($C29)+1)&lt;1,((YEAR(AD$5)-YEAR($C29))*12+MONTH(AD$5)-MONTH($C29)+1)&gt;$D29),0,$E29*IF($G29,1,N(INDEX(Phasing!$I29:$AF29,((YEAR(AD$5)-YEAR($C29))*12+MONTH(AD$5)-MONTH($C29)+1))))/$F29))</f>
        <v>0</v>
      </c>
      <c r="AE29" s="38" t="n">
        <f aca="false">IF(OR($C29="",$D29="",$F29=0),0,IF(OR(AE$5&lt;=Projects!$C$2,((YEAR(AE$5)-YEAR($C29))*12+MONTH(AE$5)-MONTH($C29)+1)&lt;1,((YEAR(AE$5)-YEAR($C29))*12+MONTH(AE$5)-MONTH($C29)+1)&gt;$D29),0,$E29*IF($G29,1,N(INDEX(Phasing!$I29:$AF29,((YEAR(AE$5)-YEAR($C29))*12+MONTH(AE$5)-MONTH($C29)+1))))/$F29))</f>
        <v>0</v>
      </c>
      <c r="AF29" s="38" t="n">
        <f aca="false">IF(OR($C29="",$D29="",$F29=0),0,IF(OR(AF$5&lt;=Projects!$C$2,((YEAR(AF$5)-YEAR($C29))*12+MONTH(AF$5)-MONTH($C29)+1)&lt;1,((YEAR(AF$5)-YEAR($C29))*12+MONTH(AF$5)-MONTH($C29)+1)&gt;$D29),0,$E29*IF($G29,1,N(INDEX(Phasing!$I29:$AF29,((YEAR(AF$5)-YEAR($C29))*12+MONTH(AF$5)-MONTH($C29)+1))))/$F29))</f>
        <v>0</v>
      </c>
      <c r="AG29" s="38" t="n">
        <f aca="false">IF(OR($C29="",$D29="",$F29=0),0,IF(OR(AG$5&lt;=Projects!$C$2,((YEAR(AG$5)-YEAR($C29))*12+MONTH(AG$5)-MONTH($C29)+1)&lt;1,((YEAR(AG$5)-YEAR($C29))*12+MONTH(AG$5)-MONTH($C29)+1)&gt;$D29),0,$E29*IF($G29,1,N(INDEX(Phasing!$I29:$AF29,((YEAR(AG$5)-YEAR($C29))*12+MONTH(AG$5)-MONTH($C29)+1))))/$F29))</f>
        <v>0</v>
      </c>
      <c r="AH29" s="38" t="n">
        <f aca="false">IF(OR($C29="",$D29="",$F29=0),0,IF(OR(AH$5&lt;=Projects!$C$2,((YEAR(AH$5)-YEAR($C29))*12+MONTH(AH$5)-MONTH($C29)+1)&lt;1,((YEAR(AH$5)-YEAR($C29))*12+MONTH(AH$5)-MONTH($C29)+1)&gt;$D29),0,$E29*IF($G29,1,N(INDEX(Phasing!$I29:$AF29,((YEAR(AH$5)-YEAR($C29))*12+MONTH(AH$5)-MONTH($C29)+1))))/$F29))</f>
        <v>0</v>
      </c>
      <c r="AI29" s="38" t="n">
        <f aca="false">IF(OR($C29="",$D29="",$F29=0),0,IF(OR(AI$5&lt;=Projects!$C$2,((YEAR(AI$5)-YEAR($C29))*12+MONTH(AI$5)-MONTH($C29)+1)&lt;1,((YEAR(AI$5)-YEAR($C29))*12+MONTH(AI$5)-MONTH($C29)+1)&gt;$D29),0,$E29*IF($G29,1,N(INDEX(Phasing!$I29:$AF29,((YEAR(AI$5)-YEAR($C29))*12+MONTH(AI$5)-MONTH($C29)+1))))/$F29))</f>
        <v>0</v>
      </c>
      <c r="AJ29" s="38" t="n">
        <f aca="false">IF(OR($C29="",$D29="",$F29=0),0,IF(OR(AJ$5&lt;=Projects!$C$2,((YEAR(AJ$5)-YEAR($C29))*12+MONTH(AJ$5)-MONTH($C29)+1)&lt;1,((YEAR(AJ$5)-YEAR($C29))*12+MONTH(AJ$5)-MONTH($C29)+1)&gt;$D29),0,$E29*IF($G29,1,N(INDEX(Phasing!$I29:$AF29,((YEAR(AJ$5)-YEAR($C29))*12+MONTH(AJ$5)-MONTH($C29)+1))))/$F29))</f>
        <v>0</v>
      </c>
      <c r="AK29" s="38" t="n">
        <f aca="false">IF(OR($C29="",$D29="",$F29=0),0,IF(OR(AK$5&lt;=Projects!$C$2,((YEAR(AK$5)-YEAR($C29))*12+MONTH(AK$5)-MONTH($C29)+1)&lt;1,((YEAR(AK$5)-YEAR($C29))*12+MONTH(AK$5)-MONTH($C29)+1)&gt;$D29),0,$E29*IF($G29,1,N(INDEX(Phasing!$I29:$AF29,((YEAR(AK$5)-YEAR($C29))*12+MONTH(AK$5)-MONTH($C29)+1))))/$F29))</f>
        <v>0</v>
      </c>
      <c r="AL29" s="38" t="n">
        <f aca="false">IF(OR($C29="",$D29="",$F29=0),0,IF(OR(AL$5&lt;=Projects!$C$2,((YEAR(AL$5)-YEAR($C29))*12+MONTH(AL$5)-MONTH($C29)+1)&lt;1,((YEAR(AL$5)-YEAR($C29))*12+MONTH(AL$5)-MONTH($C29)+1)&gt;$D29),0,$E29*IF($G29,1,N(INDEX(Phasing!$I29:$AF29,((YEAR(AL$5)-YEAR($C29))*12+MONTH(AL$5)-MONTH($C29)+1))))/$F29))</f>
        <v>0</v>
      </c>
      <c r="AM29" s="38" t="n">
        <f aca="false">IF(OR($C29="",$D29="",$F29=0),0,IF(OR(AM$5&lt;=Projects!$C$2,((YEAR(AM$5)-YEAR($C29))*12+MONTH(AM$5)-MONTH($C29)+1)&lt;1,((YEAR(AM$5)-YEAR($C29))*12+MONTH(AM$5)-MONTH($C29)+1)&gt;$D29),0,$E29*IF($G29,1,N(INDEX(Phasing!$I29:$AF29,((YEAR(AM$5)-YEAR($C29))*12+MONTH(AM$5)-MONTH($C29)+1))))/$F29))</f>
        <v>0</v>
      </c>
      <c r="AN29" s="38" t="n">
        <f aca="false">IF(OR($C29="",$D29="",$F29=0),0,IF(OR(AN$5&lt;=Projects!$C$2,((YEAR(AN$5)-YEAR($C29))*12+MONTH(AN$5)-MONTH($C29)+1)&lt;1,((YEAR(AN$5)-YEAR($C29))*12+MONTH(AN$5)-MONTH($C29)+1)&gt;$D29),0,$E29*IF($G29,1,N(INDEX(Phasing!$I29:$AF29,((YEAR(AN$5)-YEAR($C29))*12+MONTH(AN$5)-MONTH($C29)+1))))/$F29))</f>
        <v>0</v>
      </c>
      <c r="AO29" s="38" t="n">
        <f aca="false">IF(OR($C29="",$D29="",$F29=0),0,IF(OR(AO$5&lt;=Projects!$C$2,((YEAR(AO$5)-YEAR($C29))*12+MONTH(AO$5)-MONTH($C29)+1)&lt;1,((YEAR(AO$5)-YEAR($C29))*12+MONTH(AO$5)-MONTH($C29)+1)&gt;$D29),0,$E29*IF($G29,1,N(INDEX(Phasing!$I29:$AF29,((YEAR(AO$5)-YEAR($C29))*12+MONTH(AO$5)-MONTH($C29)+1))))/$F29))</f>
        <v>0</v>
      </c>
      <c r="AP29" s="38" t="n">
        <f aca="false">IF(OR($C29="",$D29="",$F29=0),0,IF(OR(AP$5&lt;=Projects!$C$2,((YEAR(AP$5)-YEAR($C29))*12+MONTH(AP$5)-MONTH($C29)+1)&lt;1,((YEAR(AP$5)-YEAR($C29))*12+MONTH(AP$5)-MONTH($C29)+1)&gt;$D29),0,$E29*IF($G29,1,N(INDEX(Phasing!$I29:$AF29,((YEAR(AP$5)-YEAR($C29))*12+MONTH(AP$5)-MONTH($C29)+1))))/$F29))</f>
        <v>0</v>
      </c>
      <c r="AQ29" s="38" t="n">
        <f aca="false">IF(OR($C29="",$D29="",$F29=0),0,IF(OR(AQ$5&lt;=Projects!$C$2,((YEAR(AQ$5)-YEAR($C29))*12+MONTH(AQ$5)-MONTH($C29)+1)&lt;1,((YEAR(AQ$5)-YEAR($C29))*12+MONTH(AQ$5)-MONTH($C29)+1)&gt;$D29),0,$E29*IF($G29,1,N(INDEX(Phasing!$I29:$AF29,((YEAR(AQ$5)-YEAR($C29))*12+MONTH(AQ$5)-MONTH($C29)+1))))/$F29))</f>
        <v>0</v>
      </c>
    </row>
    <row r="30" customFormat="false" ht="15" hidden="false" customHeight="false" outlineLevel="0" collapsed="false">
      <c r="A30" s="11" t="n">
        <v>25</v>
      </c>
      <c r="B30" s="21" t="str">
        <f aca="false">IF(Projects!B30="","",Projects!B30)</f>
        <v/>
      </c>
      <c r="C30" s="31" t="str">
        <f aca="false">IF(Projects!D30="","",Projects!D30)</f>
        <v/>
      </c>
      <c r="D30" s="21" t="str">
        <f aca="false">IF(Projects!E30="","",Projects!E30)</f>
        <v/>
      </c>
      <c r="E30" s="33" t="n">
        <f aca="false">IF(Projects!B30="",0,N(Projects!I30))</f>
        <v>0</v>
      </c>
      <c r="F30" s="21" t="n">
        <f aca="false">Phasing!G30</f>
        <v>0</v>
      </c>
      <c r="G30" s="48" t="b">
        <f aca="false">Phasing!D30=0</f>
        <v>1</v>
      </c>
      <c r="H30" s="38" t="n">
        <f aca="false">IF(OR($C30="",$D30="",$F30=0),0,IF(OR(H$5&lt;=Projects!$C$2,((YEAR(H$5)-YEAR($C30))*12+MONTH(H$5)-MONTH($C30)+1)&lt;1,((YEAR(H$5)-YEAR($C30))*12+MONTH(H$5)-MONTH($C30)+1)&gt;$D30),0,$E30*IF($G30,1,N(INDEX(Phasing!$I30:$AF30,((YEAR(H$5)-YEAR($C30))*12+MONTH(H$5)-MONTH($C30)+1))))/$F30))</f>
        <v>0</v>
      </c>
      <c r="I30" s="38" t="n">
        <f aca="false">IF(OR($C30="",$D30="",$F30=0),0,IF(OR(I$5&lt;=Projects!$C$2,((YEAR(I$5)-YEAR($C30))*12+MONTH(I$5)-MONTH($C30)+1)&lt;1,((YEAR(I$5)-YEAR($C30))*12+MONTH(I$5)-MONTH($C30)+1)&gt;$D30),0,$E30*IF($G30,1,N(INDEX(Phasing!$I30:$AF30,((YEAR(I$5)-YEAR($C30))*12+MONTH(I$5)-MONTH($C30)+1))))/$F30))</f>
        <v>0</v>
      </c>
      <c r="J30" s="38" t="n">
        <f aca="false">IF(OR($C30="",$D30="",$F30=0),0,IF(OR(J$5&lt;=Projects!$C$2,((YEAR(J$5)-YEAR($C30))*12+MONTH(J$5)-MONTH($C30)+1)&lt;1,((YEAR(J$5)-YEAR($C30))*12+MONTH(J$5)-MONTH($C30)+1)&gt;$D30),0,$E30*IF($G30,1,N(INDEX(Phasing!$I30:$AF30,((YEAR(J$5)-YEAR($C30))*12+MONTH(J$5)-MONTH($C30)+1))))/$F30))</f>
        <v>0</v>
      </c>
      <c r="K30" s="38" t="n">
        <f aca="false">IF(OR($C30="",$D30="",$F30=0),0,IF(OR(K$5&lt;=Projects!$C$2,((YEAR(K$5)-YEAR($C30))*12+MONTH(K$5)-MONTH($C30)+1)&lt;1,((YEAR(K$5)-YEAR($C30))*12+MONTH(K$5)-MONTH($C30)+1)&gt;$D30),0,$E30*IF($G30,1,N(INDEX(Phasing!$I30:$AF30,((YEAR(K$5)-YEAR($C30))*12+MONTH(K$5)-MONTH($C30)+1))))/$F30))</f>
        <v>0</v>
      </c>
      <c r="L30" s="38" t="n">
        <f aca="false">IF(OR($C30="",$D30="",$F30=0),0,IF(OR(L$5&lt;=Projects!$C$2,((YEAR(L$5)-YEAR($C30))*12+MONTH(L$5)-MONTH($C30)+1)&lt;1,((YEAR(L$5)-YEAR($C30))*12+MONTH(L$5)-MONTH($C30)+1)&gt;$D30),0,$E30*IF($G30,1,N(INDEX(Phasing!$I30:$AF30,((YEAR(L$5)-YEAR($C30))*12+MONTH(L$5)-MONTH($C30)+1))))/$F30))</f>
        <v>0</v>
      </c>
      <c r="M30" s="38" t="n">
        <f aca="false">IF(OR($C30="",$D30="",$F30=0),0,IF(OR(M$5&lt;=Projects!$C$2,((YEAR(M$5)-YEAR($C30))*12+MONTH(M$5)-MONTH($C30)+1)&lt;1,((YEAR(M$5)-YEAR($C30))*12+MONTH(M$5)-MONTH($C30)+1)&gt;$D30),0,$E30*IF($G30,1,N(INDEX(Phasing!$I30:$AF30,((YEAR(M$5)-YEAR($C30))*12+MONTH(M$5)-MONTH($C30)+1))))/$F30))</f>
        <v>0</v>
      </c>
      <c r="N30" s="38" t="n">
        <f aca="false">IF(OR($C30="",$D30="",$F30=0),0,IF(OR(N$5&lt;=Projects!$C$2,((YEAR(N$5)-YEAR($C30))*12+MONTH(N$5)-MONTH($C30)+1)&lt;1,((YEAR(N$5)-YEAR($C30))*12+MONTH(N$5)-MONTH($C30)+1)&gt;$D30),0,$E30*IF($G30,1,N(INDEX(Phasing!$I30:$AF30,((YEAR(N$5)-YEAR($C30))*12+MONTH(N$5)-MONTH($C30)+1))))/$F30))</f>
        <v>0</v>
      </c>
      <c r="O30" s="38" t="n">
        <f aca="false">IF(OR($C30="",$D30="",$F30=0),0,IF(OR(O$5&lt;=Projects!$C$2,((YEAR(O$5)-YEAR($C30))*12+MONTH(O$5)-MONTH($C30)+1)&lt;1,((YEAR(O$5)-YEAR($C30))*12+MONTH(O$5)-MONTH($C30)+1)&gt;$D30),0,$E30*IF($G30,1,N(INDEX(Phasing!$I30:$AF30,((YEAR(O$5)-YEAR($C30))*12+MONTH(O$5)-MONTH($C30)+1))))/$F30))</f>
        <v>0</v>
      </c>
      <c r="P30" s="38" t="n">
        <f aca="false">IF(OR($C30="",$D30="",$F30=0),0,IF(OR(P$5&lt;=Projects!$C$2,((YEAR(P$5)-YEAR($C30))*12+MONTH(P$5)-MONTH($C30)+1)&lt;1,((YEAR(P$5)-YEAR($C30))*12+MONTH(P$5)-MONTH($C30)+1)&gt;$D30),0,$E30*IF($G30,1,N(INDEX(Phasing!$I30:$AF30,((YEAR(P$5)-YEAR($C30))*12+MONTH(P$5)-MONTH($C30)+1))))/$F30))</f>
        <v>0</v>
      </c>
      <c r="Q30" s="38" t="n">
        <f aca="false">IF(OR($C30="",$D30="",$F30=0),0,IF(OR(Q$5&lt;=Projects!$C$2,((YEAR(Q$5)-YEAR($C30))*12+MONTH(Q$5)-MONTH($C30)+1)&lt;1,((YEAR(Q$5)-YEAR($C30))*12+MONTH(Q$5)-MONTH($C30)+1)&gt;$D30),0,$E30*IF($G30,1,N(INDEX(Phasing!$I30:$AF30,((YEAR(Q$5)-YEAR($C30))*12+MONTH(Q$5)-MONTH($C30)+1))))/$F30))</f>
        <v>0</v>
      </c>
      <c r="R30" s="38" t="n">
        <f aca="false">IF(OR($C30="",$D30="",$F30=0),0,IF(OR(R$5&lt;=Projects!$C$2,((YEAR(R$5)-YEAR($C30))*12+MONTH(R$5)-MONTH($C30)+1)&lt;1,((YEAR(R$5)-YEAR($C30))*12+MONTH(R$5)-MONTH($C30)+1)&gt;$D30),0,$E30*IF($G30,1,N(INDEX(Phasing!$I30:$AF30,((YEAR(R$5)-YEAR($C30))*12+MONTH(R$5)-MONTH($C30)+1))))/$F30))</f>
        <v>0</v>
      </c>
      <c r="S30" s="38" t="n">
        <f aca="false">IF(OR($C30="",$D30="",$F30=0),0,IF(OR(S$5&lt;=Projects!$C$2,((YEAR(S$5)-YEAR($C30))*12+MONTH(S$5)-MONTH($C30)+1)&lt;1,((YEAR(S$5)-YEAR($C30))*12+MONTH(S$5)-MONTH($C30)+1)&gt;$D30),0,$E30*IF($G30,1,N(INDEX(Phasing!$I30:$AF30,((YEAR(S$5)-YEAR($C30))*12+MONTH(S$5)-MONTH($C30)+1))))/$F30))</f>
        <v>0</v>
      </c>
      <c r="T30" s="38" t="n">
        <f aca="false">IF(OR($C30="",$D30="",$F30=0),0,IF(OR(T$5&lt;=Projects!$C$2,((YEAR(T$5)-YEAR($C30))*12+MONTH(T$5)-MONTH($C30)+1)&lt;1,((YEAR(T$5)-YEAR($C30))*12+MONTH(T$5)-MONTH($C30)+1)&gt;$D30),0,$E30*IF($G30,1,N(INDEX(Phasing!$I30:$AF30,((YEAR(T$5)-YEAR($C30))*12+MONTH(T$5)-MONTH($C30)+1))))/$F30))</f>
        <v>0</v>
      </c>
      <c r="U30" s="38" t="n">
        <f aca="false">IF(OR($C30="",$D30="",$F30=0),0,IF(OR(U$5&lt;=Projects!$C$2,((YEAR(U$5)-YEAR($C30))*12+MONTH(U$5)-MONTH($C30)+1)&lt;1,((YEAR(U$5)-YEAR($C30))*12+MONTH(U$5)-MONTH($C30)+1)&gt;$D30),0,$E30*IF($G30,1,N(INDEX(Phasing!$I30:$AF30,((YEAR(U$5)-YEAR($C30))*12+MONTH(U$5)-MONTH($C30)+1))))/$F30))</f>
        <v>0</v>
      </c>
      <c r="V30" s="38" t="n">
        <f aca="false">IF(OR($C30="",$D30="",$F30=0),0,IF(OR(V$5&lt;=Projects!$C$2,((YEAR(V$5)-YEAR($C30))*12+MONTH(V$5)-MONTH($C30)+1)&lt;1,((YEAR(V$5)-YEAR($C30))*12+MONTH(V$5)-MONTH($C30)+1)&gt;$D30),0,$E30*IF($G30,1,N(INDEX(Phasing!$I30:$AF30,((YEAR(V$5)-YEAR($C30))*12+MONTH(V$5)-MONTH($C30)+1))))/$F30))</f>
        <v>0</v>
      </c>
      <c r="W30" s="38" t="n">
        <f aca="false">IF(OR($C30="",$D30="",$F30=0),0,IF(OR(W$5&lt;=Projects!$C$2,((YEAR(W$5)-YEAR($C30))*12+MONTH(W$5)-MONTH($C30)+1)&lt;1,((YEAR(W$5)-YEAR($C30))*12+MONTH(W$5)-MONTH($C30)+1)&gt;$D30),0,$E30*IF($G30,1,N(INDEX(Phasing!$I30:$AF30,((YEAR(W$5)-YEAR($C30))*12+MONTH(W$5)-MONTH($C30)+1))))/$F30))</f>
        <v>0</v>
      </c>
      <c r="X30" s="38" t="n">
        <f aca="false">IF(OR($C30="",$D30="",$F30=0),0,IF(OR(X$5&lt;=Projects!$C$2,((YEAR(X$5)-YEAR($C30))*12+MONTH(X$5)-MONTH($C30)+1)&lt;1,((YEAR(X$5)-YEAR($C30))*12+MONTH(X$5)-MONTH($C30)+1)&gt;$D30),0,$E30*IF($G30,1,N(INDEX(Phasing!$I30:$AF30,((YEAR(X$5)-YEAR($C30))*12+MONTH(X$5)-MONTH($C30)+1))))/$F30))</f>
        <v>0</v>
      </c>
      <c r="Y30" s="38" t="n">
        <f aca="false">IF(OR($C30="",$D30="",$F30=0),0,IF(OR(Y$5&lt;=Projects!$C$2,((YEAR(Y$5)-YEAR($C30))*12+MONTH(Y$5)-MONTH($C30)+1)&lt;1,((YEAR(Y$5)-YEAR($C30))*12+MONTH(Y$5)-MONTH($C30)+1)&gt;$D30),0,$E30*IF($G30,1,N(INDEX(Phasing!$I30:$AF30,((YEAR(Y$5)-YEAR($C30))*12+MONTH(Y$5)-MONTH($C30)+1))))/$F30))</f>
        <v>0</v>
      </c>
      <c r="Z30" s="38" t="n">
        <f aca="false">IF(OR($C30="",$D30="",$F30=0),0,IF(OR(Z$5&lt;=Projects!$C$2,((YEAR(Z$5)-YEAR($C30))*12+MONTH(Z$5)-MONTH($C30)+1)&lt;1,((YEAR(Z$5)-YEAR($C30))*12+MONTH(Z$5)-MONTH($C30)+1)&gt;$D30),0,$E30*IF($G30,1,N(INDEX(Phasing!$I30:$AF30,((YEAR(Z$5)-YEAR($C30))*12+MONTH(Z$5)-MONTH($C30)+1))))/$F30))</f>
        <v>0</v>
      </c>
      <c r="AA30" s="38" t="n">
        <f aca="false">IF(OR($C30="",$D30="",$F30=0),0,IF(OR(AA$5&lt;=Projects!$C$2,((YEAR(AA$5)-YEAR($C30))*12+MONTH(AA$5)-MONTH($C30)+1)&lt;1,((YEAR(AA$5)-YEAR($C30))*12+MONTH(AA$5)-MONTH($C30)+1)&gt;$D30),0,$E30*IF($G30,1,N(INDEX(Phasing!$I30:$AF30,((YEAR(AA$5)-YEAR($C30))*12+MONTH(AA$5)-MONTH($C30)+1))))/$F30))</f>
        <v>0</v>
      </c>
      <c r="AB30" s="38" t="n">
        <f aca="false">IF(OR($C30="",$D30="",$F30=0),0,IF(OR(AB$5&lt;=Projects!$C$2,((YEAR(AB$5)-YEAR($C30))*12+MONTH(AB$5)-MONTH($C30)+1)&lt;1,((YEAR(AB$5)-YEAR($C30))*12+MONTH(AB$5)-MONTH($C30)+1)&gt;$D30),0,$E30*IF($G30,1,N(INDEX(Phasing!$I30:$AF30,((YEAR(AB$5)-YEAR($C30))*12+MONTH(AB$5)-MONTH($C30)+1))))/$F30))</f>
        <v>0</v>
      </c>
      <c r="AC30" s="38" t="n">
        <f aca="false">IF(OR($C30="",$D30="",$F30=0),0,IF(OR(AC$5&lt;=Projects!$C$2,((YEAR(AC$5)-YEAR($C30))*12+MONTH(AC$5)-MONTH($C30)+1)&lt;1,((YEAR(AC$5)-YEAR($C30))*12+MONTH(AC$5)-MONTH($C30)+1)&gt;$D30),0,$E30*IF($G30,1,N(INDEX(Phasing!$I30:$AF30,((YEAR(AC$5)-YEAR($C30))*12+MONTH(AC$5)-MONTH($C30)+1))))/$F30))</f>
        <v>0</v>
      </c>
      <c r="AD30" s="38" t="n">
        <f aca="false">IF(OR($C30="",$D30="",$F30=0),0,IF(OR(AD$5&lt;=Projects!$C$2,((YEAR(AD$5)-YEAR($C30))*12+MONTH(AD$5)-MONTH($C30)+1)&lt;1,((YEAR(AD$5)-YEAR($C30))*12+MONTH(AD$5)-MONTH($C30)+1)&gt;$D30),0,$E30*IF($G30,1,N(INDEX(Phasing!$I30:$AF30,((YEAR(AD$5)-YEAR($C30))*12+MONTH(AD$5)-MONTH($C30)+1))))/$F30))</f>
        <v>0</v>
      </c>
      <c r="AE30" s="38" t="n">
        <f aca="false">IF(OR($C30="",$D30="",$F30=0),0,IF(OR(AE$5&lt;=Projects!$C$2,((YEAR(AE$5)-YEAR($C30))*12+MONTH(AE$5)-MONTH($C30)+1)&lt;1,((YEAR(AE$5)-YEAR($C30))*12+MONTH(AE$5)-MONTH($C30)+1)&gt;$D30),0,$E30*IF($G30,1,N(INDEX(Phasing!$I30:$AF30,((YEAR(AE$5)-YEAR($C30))*12+MONTH(AE$5)-MONTH($C30)+1))))/$F30))</f>
        <v>0</v>
      </c>
      <c r="AF30" s="38" t="n">
        <f aca="false">IF(OR($C30="",$D30="",$F30=0),0,IF(OR(AF$5&lt;=Projects!$C$2,((YEAR(AF$5)-YEAR($C30))*12+MONTH(AF$5)-MONTH($C30)+1)&lt;1,((YEAR(AF$5)-YEAR($C30))*12+MONTH(AF$5)-MONTH($C30)+1)&gt;$D30),0,$E30*IF($G30,1,N(INDEX(Phasing!$I30:$AF30,((YEAR(AF$5)-YEAR($C30))*12+MONTH(AF$5)-MONTH($C30)+1))))/$F30))</f>
        <v>0</v>
      </c>
      <c r="AG30" s="38" t="n">
        <f aca="false">IF(OR($C30="",$D30="",$F30=0),0,IF(OR(AG$5&lt;=Projects!$C$2,((YEAR(AG$5)-YEAR($C30))*12+MONTH(AG$5)-MONTH($C30)+1)&lt;1,((YEAR(AG$5)-YEAR($C30))*12+MONTH(AG$5)-MONTH($C30)+1)&gt;$D30),0,$E30*IF($G30,1,N(INDEX(Phasing!$I30:$AF30,((YEAR(AG$5)-YEAR($C30))*12+MONTH(AG$5)-MONTH($C30)+1))))/$F30))</f>
        <v>0</v>
      </c>
      <c r="AH30" s="38" t="n">
        <f aca="false">IF(OR($C30="",$D30="",$F30=0),0,IF(OR(AH$5&lt;=Projects!$C$2,((YEAR(AH$5)-YEAR($C30))*12+MONTH(AH$5)-MONTH($C30)+1)&lt;1,((YEAR(AH$5)-YEAR($C30))*12+MONTH(AH$5)-MONTH($C30)+1)&gt;$D30),0,$E30*IF($G30,1,N(INDEX(Phasing!$I30:$AF30,((YEAR(AH$5)-YEAR($C30))*12+MONTH(AH$5)-MONTH($C30)+1))))/$F30))</f>
        <v>0</v>
      </c>
      <c r="AI30" s="38" t="n">
        <f aca="false">IF(OR($C30="",$D30="",$F30=0),0,IF(OR(AI$5&lt;=Projects!$C$2,((YEAR(AI$5)-YEAR($C30))*12+MONTH(AI$5)-MONTH($C30)+1)&lt;1,((YEAR(AI$5)-YEAR($C30))*12+MONTH(AI$5)-MONTH($C30)+1)&gt;$D30),0,$E30*IF($G30,1,N(INDEX(Phasing!$I30:$AF30,((YEAR(AI$5)-YEAR($C30))*12+MONTH(AI$5)-MONTH($C30)+1))))/$F30))</f>
        <v>0</v>
      </c>
      <c r="AJ30" s="38" t="n">
        <f aca="false">IF(OR($C30="",$D30="",$F30=0),0,IF(OR(AJ$5&lt;=Projects!$C$2,((YEAR(AJ$5)-YEAR($C30))*12+MONTH(AJ$5)-MONTH($C30)+1)&lt;1,((YEAR(AJ$5)-YEAR($C30))*12+MONTH(AJ$5)-MONTH($C30)+1)&gt;$D30),0,$E30*IF($G30,1,N(INDEX(Phasing!$I30:$AF30,((YEAR(AJ$5)-YEAR($C30))*12+MONTH(AJ$5)-MONTH($C30)+1))))/$F30))</f>
        <v>0</v>
      </c>
      <c r="AK30" s="38" t="n">
        <f aca="false">IF(OR($C30="",$D30="",$F30=0),0,IF(OR(AK$5&lt;=Projects!$C$2,((YEAR(AK$5)-YEAR($C30))*12+MONTH(AK$5)-MONTH($C30)+1)&lt;1,((YEAR(AK$5)-YEAR($C30))*12+MONTH(AK$5)-MONTH($C30)+1)&gt;$D30),0,$E30*IF($G30,1,N(INDEX(Phasing!$I30:$AF30,((YEAR(AK$5)-YEAR($C30))*12+MONTH(AK$5)-MONTH($C30)+1))))/$F30))</f>
        <v>0</v>
      </c>
      <c r="AL30" s="38" t="n">
        <f aca="false">IF(OR($C30="",$D30="",$F30=0),0,IF(OR(AL$5&lt;=Projects!$C$2,((YEAR(AL$5)-YEAR($C30))*12+MONTH(AL$5)-MONTH($C30)+1)&lt;1,((YEAR(AL$5)-YEAR($C30))*12+MONTH(AL$5)-MONTH($C30)+1)&gt;$D30),0,$E30*IF($G30,1,N(INDEX(Phasing!$I30:$AF30,((YEAR(AL$5)-YEAR($C30))*12+MONTH(AL$5)-MONTH($C30)+1))))/$F30))</f>
        <v>0</v>
      </c>
      <c r="AM30" s="38" t="n">
        <f aca="false">IF(OR($C30="",$D30="",$F30=0),0,IF(OR(AM$5&lt;=Projects!$C$2,((YEAR(AM$5)-YEAR($C30))*12+MONTH(AM$5)-MONTH($C30)+1)&lt;1,((YEAR(AM$5)-YEAR($C30))*12+MONTH(AM$5)-MONTH($C30)+1)&gt;$D30),0,$E30*IF($G30,1,N(INDEX(Phasing!$I30:$AF30,((YEAR(AM$5)-YEAR($C30))*12+MONTH(AM$5)-MONTH($C30)+1))))/$F30))</f>
        <v>0</v>
      </c>
      <c r="AN30" s="38" t="n">
        <f aca="false">IF(OR($C30="",$D30="",$F30=0),0,IF(OR(AN$5&lt;=Projects!$C$2,((YEAR(AN$5)-YEAR($C30))*12+MONTH(AN$5)-MONTH($C30)+1)&lt;1,((YEAR(AN$5)-YEAR($C30))*12+MONTH(AN$5)-MONTH($C30)+1)&gt;$D30),0,$E30*IF($G30,1,N(INDEX(Phasing!$I30:$AF30,((YEAR(AN$5)-YEAR($C30))*12+MONTH(AN$5)-MONTH($C30)+1))))/$F30))</f>
        <v>0</v>
      </c>
      <c r="AO30" s="38" t="n">
        <f aca="false">IF(OR($C30="",$D30="",$F30=0),0,IF(OR(AO$5&lt;=Projects!$C$2,((YEAR(AO$5)-YEAR($C30))*12+MONTH(AO$5)-MONTH($C30)+1)&lt;1,((YEAR(AO$5)-YEAR($C30))*12+MONTH(AO$5)-MONTH($C30)+1)&gt;$D30),0,$E30*IF($G30,1,N(INDEX(Phasing!$I30:$AF30,((YEAR(AO$5)-YEAR($C30))*12+MONTH(AO$5)-MONTH($C30)+1))))/$F30))</f>
        <v>0</v>
      </c>
      <c r="AP30" s="38" t="n">
        <f aca="false">IF(OR($C30="",$D30="",$F30=0),0,IF(OR(AP$5&lt;=Projects!$C$2,((YEAR(AP$5)-YEAR($C30))*12+MONTH(AP$5)-MONTH($C30)+1)&lt;1,((YEAR(AP$5)-YEAR($C30))*12+MONTH(AP$5)-MONTH($C30)+1)&gt;$D30),0,$E30*IF($G30,1,N(INDEX(Phasing!$I30:$AF30,((YEAR(AP$5)-YEAR($C30))*12+MONTH(AP$5)-MONTH($C30)+1))))/$F30))</f>
        <v>0</v>
      </c>
      <c r="AQ30" s="38" t="n">
        <f aca="false">IF(OR($C30="",$D30="",$F30=0),0,IF(OR(AQ$5&lt;=Projects!$C$2,((YEAR(AQ$5)-YEAR($C30))*12+MONTH(AQ$5)-MONTH($C30)+1)&lt;1,((YEAR(AQ$5)-YEAR($C30))*12+MONTH(AQ$5)-MONTH($C30)+1)&gt;$D30),0,$E30*IF($G30,1,N(INDEX(Phasing!$I30:$AF30,((YEAR(AQ$5)-YEAR($C30))*12+MONTH(AQ$5)-MONTH($C30)+1))))/$F30))</f>
        <v>0</v>
      </c>
    </row>
    <row r="31" customFormat="false" ht="15" hidden="false" customHeight="false" outlineLevel="0" collapsed="false">
      <c r="A31" s="11" t="n">
        <v>26</v>
      </c>
      <c r="B31" s="21" t="str">
        <f aca="false">IF(Projects!B31="","",Projects!B31)</f>
        <v/>
      </c>
      <c r="C31" s="31" t="str">
        <f aca="false">IF(Projects!D31="","",Projects!D31)</f>
        <v/>
      </c>
      <c r="D31" s="21" t="str">
        <f aca="false">IF(Projects!E31="","",Projects!E31)</f>
        <v/>
      </c>
      <c r="E31" s="33" t="n">
        <f aca="false">IF(Projects!B31="",0,N(Projects!I31))</f>
        <v>0</v>
      </c>
      <c r="F31" s="21" t="n">
        <f aca="false">Phasing!G31</f>
        <v>0</v>
      </c>
      <c r="G31" s="48" t="b">
        <f aca="false">Phasing!D31=0</f>
        <v>1</v>
      </c>
      <c r="H31" s="38" t="n">
        <f aca="false">IF(OR($C31="",$D31="",$F31=0),0,IF(OR(H$5&lt;=Projects!$C$2,((YEAR(H$5)-YEAR($C31))*12+MONTH(H$5)-MONTH($C31)+1)&lt;1,((YEAR(H$5)-YEAR($C31))*12+MONTH(H$5)-MONTH($C31)+1)&gt;$D31),0,$E31*IF($G31,1,N(INDEX(Phasing!$I31:$AF31,((YEAR(H$5)-YEAR($C31))*12+MONTH(H$5)-MONTH($C31)+1))))/$F31))</f>
        <v>0</v>
      </c>
      <c r="I31" s="38" t="n">
        <f aca="false">IF(OR($C31="",$D31="",$F31=0),0,IF(OR(I$5&lt;=Projects!$C$2,((YEAR(I$5)-YEAR($C31))*12+MONTH(I$5)-MONTH($C31)+1)&lt;1,((YEAR(I$5)-YEAR($C31))*12+MONTH(I$5)-MONTH($C31)+1)&gt;$D31),0,$E31*IF($G31,1,N(INDEX(Phasing!$I31:$AF31,((YEAR(I$5)-YEAR($C31))*12+MONTH(I$5)-MONTH($C31)+1))))/$F31))</f>
        <v>0</v>
      </c>
      <c r="J31" s="38" t="n">
        <f aca="false">IF(OR($C31="",$D31="",$F31=0),0,IF(OR(J$5&lt;=Projects!$C$2,((YEAR(J$5)-YEAR($C31))*12+MONTH(J$5)-MONTH($C31)+1)&lt;1,((YEAR(J$5)-YEAR($C31))*12+MONTH(J$5)-MONTH($C31)+1)&gt;$D31),0,$E31*IF($G31,1,N(INDEX(Phasing!$I31:$AF31,((YEAR(J$5)-YEAR($C31))*12+MONTH(J$5)-MONTH($C31)+1))))/$F31))</f>
        <v>0</v>
      </c>
      <c r="K31" s="38" t="n">
        <f aca="false">IF(OR($C31="",$D31="",$F31=0),0,IF(OR(K$5&lt;=Projects!$C$2,((YEAR(K$5)-YEAR($C31))*12+MONTH(K$5)-MONTH($C31)+1)&lt;1,((YEAR(K$5)-YEAR($C31))*12+MONTH(K$5)-MONTH($C31)+1)&gt;$D31),0,$E31*IF($G31,1,N(INDEX(Phasing!$I31:$AF31,((YEAR(K$5)-YEAR($C31))*12+MONTH(K$5)-MONTH($C31)+1))))/$F31))</f>
        <v>0</v>
      </c>
      <c r="L31" s="38" t="n">
        <f aca="false">IF(OR($C31="",$D31="",$F31=0),0,IF(OR(L$5&lt;=Projects!$C$2,((YEAR(L$5)-YEAR($C31))*12+MONTH(L$5)-MONTH($C31)+1)&lt;1,((YEAR(L$5)-YEAR($C31))*12+MONTH(L$5)-MONTH($C31)+1)&gt;$D31),0,$E31*IF($G31,1,N(INDEX(Phasing!$I31:$AF31,((YEAR(L$5)-YEAR($C31))*12+MONTH(L$5)-MONTH($C31)+1))))/$F31))</f>
        <v>0</v>
      </c>
      <c r="M31" s="38" t="n">
        <f aca="false">IF(OR($C31="",$D31="",$F31=0),0,IF(OR(M$5&lt;=Projects!$C$2,((YEAR(M$5)-YEAR($C31))*12+MONTH(M$5)-MONTH($C31)+1)&lt;1,((YEAR(M$5)-YEAR($C31))*12+MONTH(M$5)-MONTH($C31)+1)&gt;$D31),0,$E31*IF($G31,1,N(INDEX(Phasing!$I31:$AF31,((YEAR(M$5)-YEAR($C31))*12+MONTH(M$5)-MONTH($C31)+1))))/$F31))</f>
        <v>0</v>
      </c>
      <c r="N31" s="38" t="n">
        <f aca="false">IF(OR($C31="",$D31="",$F31=0),0,IF(OR(N$5&lt;=Projects!$C$2,((YEAR(N$5)-YEAR($C31))*12+MONTH(N$5)-MONTH($C31)+1)&lt;1,((YEAR(N$5)-YEAR($C31))*12+MONTH(N$5)-MONTH($C31)+1)&gt;$D31),0,$E31*IF($G31,1,N(INDEX(Phasing!$I31:$AF31,((YEAR(N$5)-YEAR($C31))*12+MONTH(N$5)-MONTH($C31)+1))))/$F31))</f>
        <v>0</v>
      </c>
      <c r="O31" s="38" t="n">
        <f aca="false">IF(OR($C31="",$D31="",$F31=0),0,IF(OR(O$5&lt;=Projects!$C$2,((YEAR(O$5)-YEAR($C31))*12+MONTH(O$5)-MONTH($C31)+1)&lt;1,((YEAR(O$5)-YEAR($C31))*12+MONTH(O$5)-MONTH($C31)+1)&gt;$D31),0,$E31*IF($G31,1,N(INDEX(Phasing!$I31:$AF31,((YEAR(O$5)-YEAR($C31))*12+MONTH(O$5)-MONTH($C31)+1))))/$F31))</f>
        <v>0</v>
      </c>
      <c r="P31" s="38" t="n">
        <f aca="false">IF(OR($C31="",$D31="",$F31=0),0,IF(OR(P$5&lt;=Projects!$C$2,((YEAR(P$5)-YEAR($C31))*12+MONTH(P$5)-MONTH($C31)+1)&lt;1,((YEAR(P$5)-YEAR($C31))*12+MONTH(P$5)-MONTH($C31)+1)&gt;$D31),0,$E31*IF($G31,1,N(INDEX(Phasing!$I31:$AF31,((YEAR(P$5)-YEAR($C31))*12+MONTH(P$5)-MONTH($C31)+1))))/$F31))</f>
        <v>0</v>
      </c>
      <c r="Q31" s="38" t="n">
        <f aca="false">IF(OR($C31="",$D31="",$F31=0),0,IF(OR(Q$5&lt;=Projects!$C$2,((YEAR(Q$5)-YEAR($C31))*12+MONTH(Q$5)-MONTH($C31)+1)&lt;1,((YEAR(Q$5)-YEAR($C31))*12+MONTH(Q$5)-MONTH($C31)+1)&gt;$D31),0,$E31*IF($G31,1,N(INDEX(Phasing!$I31:$AF31,((YEAR(Q$5)-YEAR($C31))*12+MONTH(Q$5)-MONTH($C31)+1))))/$F31))</f>
        <v>0</v>
      </c>
      <c r="R31" s="38" t="n">
        <f aca="false">IF(OR($C31="",$D31="",$F31=0),0,IF(OR(R$5&lt;=Projects!$C$2,((YEAR(R$5)-YEAR($C31))*12+MONTH(R$5)-MONTH($C31)+1)&lt;1,((YEAR(R$5)-YEAR($C31))*12+MONTH(R$5)-MONTH($C31)+1)&gt;$D31),0,$E31*IF($G31,1,N(INDEX(Phasing!$I31:$AF31,((YEAR(R$5)-YEAR($C31))*12+MONTH(R$5)-MONTH($C31)+1))))/$F31))</f>
        <v>0</v>
      </c>
      <c r="S31" s="38" t="n">
        <f aca="false">IF(OR($C31="",$D31="",$F31=0),0,IF(OR(S$5&lt;=Projects!$C$2,((YEAR(S$5)-YEAR($C31))*12+MONTH(S$5)-MONTH($C31)+1)&lt;1,((YEAR(S$5)-YEAR($C31))*12+MONTH(S$5)-MONTH($C31)+1)&gt;$D31),0,$E31*IF($G31,1,N(INDEX(Phasing!$I31:$AF31,((YEAR(S$5)-YEAR($C31))*12+MONTH(S$5)-MONTH($C31)+1))))/$F31))</f>
        <v>0</v>
      </c>
      <c r="T31" s="38" t="n">
        <f aca="false">IF(OR($C31="",$D31="",$F31=0),0,IF(OR(T$5&lt;=Projects!$C$2,((YEAR(T$5)-YEAR($C31))*12+MONTH(T$5)-MONTH($C31)+1)&lt;1,((YEAR(T$5)-YEAR($C31))*12+MONTH(T$5)-MONTH($C31)+1)&gt;$D31),0,$E31*IF($G31,1,N(INDEX(Phasing!$I31:$AF31,((YEAR(T$5)-YEAR($C31))*12+MONTH(T$5)-MONTH($C31)+1))))/$F31))</f>
        <v>0</v>
      </c>
      <c r="U31" s="38" t="n">
        <f aca="false">IF(OR($C31="",$D31="",$F31=0),0,IF(OR(U$5&lt;=Projects!$C$2,((YEAR(U$5)-YEAR($C31))*12+MONTH(U$5)-MONTH($C31)+1)&lt;1,((YEAR(U$5)-YEAR($C31))*12+MONTH(U$5)-MONTH($C31)+1)&gt;$D31),0,$E31*IF($G31,1,N(INDEX(Phasing!$I31:$AF31,((YEAR(U$5)-YEAR($C31))*12+MONTH(U$5)-MONTH($C31)+1))))/$F31))</f>
        <v>0</v>
      </c>
      <c r="V31" s="38" t="n">
        <f aca="false">IF(OR($C31="",$D31="",$F31=0),0,IF(OR(V$5&lt;=Projects!$C$2,((YEAR(V$5)-YEAR($C31))*12+MONTH(V$5)-MONTH($C31)+1)&lt;1,((YEAR(V$5)-YEAR($C31))*12+MONTH(V$5)-MONTH($C31)+1)&gt;$D31),0,$E31*IF($G31,1,N(INDEX(Phasing!$I31:$AF31,((YEAR(V$5)-YEAR($C31))*12+MONTH(V$5)-MONTH($C31)+1))))/$F31))</f>
        <v>0</v>
      </c>
      <c r="W31" s="38" t="n">
        <f aca="false">IF(OR($C31="",$D31="",$F31=0),0,IF(OR(W$5&lt;=Projects!$C$2,((YEAR(W$5)-YEAR($C31))*12+MONTH(W$5)-MONTH($C31)+1)&lt;1,((YEAR(W$5)-YEAR($C31))*12+MONTH(W$5)-MONTH($C31)+1)&gt;$D31),0,$E31*IF($G31,1,N(INDEX(Phasing!$I31:$AF31,((YEAR(W$5)-YEAR($C31))*12+MONTH(W$5)-MONTH($C31)+1))))/$F31))</f>
        <v>0</v>
      </c>
      <c r="X31" s="38" t="n">
        <f aca="false">IF(OR($C31="",$D31="",$F31=0),0,IF(OR(X$5&lt;=Projects!$C$2,((YEAR(X$5)-YEAR($C31))*12+MONTH(X$5)-MONTH($C31)+1)&lt;1,((YEAR(X$5)-YEAR($C31))*12+MONTH(X$5)-MONTH($C31)+1)&gt;$D31),0,$E31*IF($G31,1,N(INDEX(Phasing!$I31:$AF31,((YEAR(X$5)-YEAR($C31))*12+MONTH(X$5)-MONTH($C31)+1))))/$F31))</f>
        <v>0</v>
      </c>
      <c r="Y31" s="38" t="n">
        <f aca="false">IF(OR($C31="",$D31="",$F31=0),0,IF(OR(Y$5&lt;=Projects!$C$2,((YEAR(Y$5)-YEAR($C31))*12+MONTH(Y$5)-MONTH($C31)+1)&lt;1,((YEAR(Y$5)-YEAR($C31))*12+MONTH(Y$5)-MONTH($C31)+1)&gt;$D31),0,$E31*IF($G31,1,N(INDEX(Phasing!$I31:$AF31,((YEAR(Y$5)-YEAR($C31))*12+MONTH(Y$5)-MONTH($C31)+1))))/$F31))</f>
        <v>0</v>
      </c>
      <c r="Z31" s="38" t="n">
        <f aca="false">IF(OR($C31="",$D31="",$F31=0),0,IF(OR(Z$5&lt;=Projects!$C$2,((YEAR(Z$5)-YEAR($C31))*12+MONTH(Z$5)-MONTH($C31)+1)&lt;1,((YEAR(Z$5)-YEAR($C31))*12+MONTH(Z$5)-MONTH($C31)+1)&gt;$D31),0,$E31*IF($G31,1,N(INDEX(Phasing!$I31:$AF31,((YEAR(Z$5)-YEAR($C31))*12+MONTH(Z$5)-MONTH($C31)+1))))/$F31))</f>
        <v>0</v>
      </c>
      <c r="AA31" s="38" t="n">
        <f aca="false">IF(OR($C31="",$D31="",$F31=0),0,IF(OR(AA$5&lt;=Projects!$C$2,((YEAR(AA$5)-YEAR($C31))*12+MONTH(AA$5)-MONTH($C31)+1)&lt;1,((YEAR(AA$5)-YEAR($C31))*12+MONTH(AA$5)-MONTH($C31)+1)&gt;$D31),0,$E31*IF($G31,1,N(INDEX(Phasing!$I31:$AF31,((YEAR(AA$5)-YEAR($C31))*12+MONTH(AA$5)-MONTH($C31)+1))))/$F31))</f>
        <v>0</v>
      </c>
      <c r="AB31" s="38" t="n">
        <f aca="false">IF(OR($C31="",$D31="",$F31=0),0,IF(OR(AB$5&lt;=Projects!$C$2,((YEAR(AB$5)-YEAR($C31))*12+MONTH(AB$5)-MONTH($C31)+1)&lt;1,((YEAR(AB$5)-YEAR($C31))*12+MONTH(AB$5)-MONTH($C31)+1)&gt;$D31),0,$E31*IF($G31,1,N(INDEX(Phasing!$I31:$AF31,((YEAR(AB$5)-YEAR($C31))*12+MONTH(AB$5)-MONTH($C31)+1))))/$F31))</f>
        <v>0</v>
      </c>
      <c r="AC31" s="38" t="n">
        <f aca="false">IF(OR($C31="",$D31="",$F31=0),0,IF(OR(AC$5&lt;=Projects!$C$2,((YEAR(AC$5)-YEAR($C31))*12+MONTH(AC$5)-MONTH($C31)+1)&lt;1,((YEAR(AC$5)-YEAR($C31))*12+MONTH(AC$5)-MONTH($C31)+1)&gt;$D31),0,$E31*IF($G31,1,N(INDEX(Phasing!$I31:$AF31,((YEAR(AC$5)-YEAR($C31))*12+MONTH(AC$5)-MONTH($C31)+1))))/$F31))</f>
        <v>0</v>
      </c>
      <c r="AD31" s="38" t="n">
        <f aca="false">IF(OR($C31="",$D31="",$F31=0),0,IF(OR(AD$5&lt;=Projects!$C$2,((YEAR(AD$5)-YEAR($C31))*12+MONTH(AD$5)-MONTH($C31)+1)&lt;1,((YEAR(AD$5)-YEAR($C31))*12+MONTH(AD$5)-MONTH($C31)+1)&gt;$D31),0,$E31*IF($G31,1,N(INDEX(Phasing!$I31:$AF31,((YEAR(AD$5)-YEAR($C31))*12+MONTH(AD$5)-MONTH($C31)+1))))/$F31))</f>
        <v>0</v>
      </c>
      <c r="AE31" s="38" t="n">
        <f aca="false">IF(OR($C31="",$D31="",$F31=0),0,IF(OR(AE$5&lt;=Projects!$C$2,((YEAR(AE$5)-YEAR($C31))*12+MONTH(AE$5)-MONTH($C31)+1)&lt;1,((YEAR(AE$5)-YEAR($C31))*12+MONTH(AE$5)-MONTH($C31)+1)&gt;$D31),0,$E31*IF($G31,1,N(INDEX(Phasing!$I31:$AF31,((YEAR(AE$5)-YEAR($C31))*12+MONTH(AE$5)-MONTH($C31)+1))))/$F31))</f>
        <v>0</v>
      </c>
      <c r="AF31" s="38" t="n">
        <f aca="false">IF(OR($C31="",$D31="",$F31=0),0,IF(OR(AF$5&lt;=Projects!$C$2,((YEAR(AF$5)-YEAR($C31))*12+MONTH(AF$5)-MONTH($C31)+1)&lt;1,((YEAR(AF$5)-YEAR($C31))*12+MONTH(AF$5)-MONTH($C31)+1)&gt;$D31),0,$E31*IF($G31,1,N(INDEX(Phasing!$I31:$AF31,((YEAR(AF$5)-YEAR($C31))*12+MONTH(AF$5)-MONTH($C31)+1))))/$F31))</f>
        <v>0</v>
      </c>
      <c r="AG31" s="38" t="n">
        <f aca="false">IF(OR($C31="",$D31="",$F31=0),0,IF(OR(AG$5&lt;=Projects!$C$2,((YEAR(AG$5)-YEAR($C31))*12+MONTH(AG$5)-MONTH($C31)+1)&lt;1,((YEAR(AG$5)-YEAR($C31))*12+MONTH(AG$5)-MONTH($C31)+1)&gt;$D31),0,$E31*IF($G31,1,N(INDEX(Phasing!$I31:$AF31,((YEAR(AG$5)-YEAR($C31))*12+MONTH(AG$5)-MONTH($C31)+1))))/$F31))</f>
        <v>0</v>
      </c>
      <c r="AH31" s="38" t="n">
        <f aca="false">IF(OR($C31="",$D31="",$F31=0),0,IF(OR(AH$5&lt;=Projects!$C$2,((YEAR(AH$5)-YEAR($C31))*12+MONTH(AH$5)-MONTH($C31)+1)&lt;1,((YEAR(AH$5)-YEAR($C31))*12+MONTH(AH$5)-MONTH($C31)+1)&gt;$D31),0,$E31*IF($G31,1,N(INDEX(Phasing!$I31:$AF31,((YEAR(AH$5)-YEAR($C31))*12+MONTH(AH$5)-MONTH($C31)+1))))/$F31))</f>
        <v>0</v>
      </c>
      <c r="AI31" s="38" t="n">
        <f aca="false">IF(OR($C31="",$D31="",$F31=0),0,IF(OR(AI$5&lt;=Projects!$C$2,((YEAR(AI$5)-YEAR($C31))*12+MONTH(AI$5)-MONTH($C31)+1)&lt;1,((YEAR(AI$5)-YEAR($C31))*12+MONTH(AI$5)-MONTH($C31)+1)&gt;$D31),0,$E31*IF($G31,1,N(INDEX(Phasing!$I31:$AF31,((YEAR(AI$5)-YEAR($C31))*12+MONTH(AI$5)-MONTH($C31)+1))))/$F31))</f>
        <v>0</v>
      </c>
      <c r="AJ31" s="38" t="n">
        <f aca="false">IF(OR($C31="",$D31="",$F31=0),0,IF(OR(AJ$5&lt;=Projects!$C$2,((YEAR(AJ$5)-YEAR($C31))*12+MONTH(AJ$5)-MONTH($C31)+1)&lt;1,((YEAR(AJ$5)-YEAR($C31))*12+MONTH(AJ$5)-MONTH($C31)+1)&gt;$D31),0,$E31*IF($G31,1,N(INDEX(Phasing!$I31:$AF31,((YEAR(AJ$5)-YEAR($C31))*12+MONTH(AJ$5)-MONTH($C31)+1))))/$F31))</f>
        <v>0</v>
      </c>
      <c r="AK31" s="38" t="n">
        <f aca="false">IF(OR($C31="",$D31="",$F31=0),0,IF(OR(AK$5&lt;=Projects!$C$2,((YEAR(AK$5)-YEAR($C31))*12+MONTH(AK$5)-MONTH($C31)+1)&lt;1,((YEAR(AK$5)-YEAR($C31))*12+MONTH(AK$5)-MONTH($C31)+1)&gt;$D31),0,$E31*IF($G31,1,N(INDEX(Phasing!$I31:$AF31,((YEAR(AK$5)-YEAR($C31))*12+MONTH(AK$5)-MONTH($C31)+1))))/$F31))</f>
        <v>0</v>
      </c>
      <c r="AL31" s="38" t="n">
        <f aca="false">IF(OR($C31="",$D31="",$F31=0),0,IF(OR(AL$5&lt;=Projects!$C$2,((YEAR(AL$5)-YEAR($C31))*12+MONTH(AL$5)-MONTH($C31)+1)&lt;1,((YEAR(AL$5)-YEAR($C31))*12+MONTH(AL$5)-MONTH($C31)+1)&gt;$D31),0,$E31*IF($G31,1,N(INDEX(Phasing!$I31:$AF31,((YEAR(AL$5)-YEAR($C31))*12+MONTH(AL$5)-MONTH($C31)+1))))/$F31))</f>
        <v>0</v>
      </c>
      <c r="AM31" s="38" t="n">
        <f aca="false">IF(OR($C31="",$D31="",$F31=0),0,IF(OR(AM$5&lt;=Projects!$C$2,((YEAR(AM$5)-YEAR($C31))*12+MONTH(AM$5)-MONTH($C31)+1)&lt;1,((YEAR(AM$5)-YEAR($C31))*12+MONTH(AM$5)-MONTH($C31)+1)&gt;$D31),0,$E31*IF($G31,1,N(INDEX(Phasing!$I31:$AF31,((YEAR(AM$5)-YEAR($C31))*12+MONTH(AM$5)-MONTH($C31)+1))))/$F31))</f>
        <v>0</v>
      </c>
      <c r="AN31" s="38" t="n">
        <f aca="false">IF(OR($C31="",$D31="",$F31=0),0,IF(OR(AN$5&lt;=Projects!$C$2,((YEAR(AN$5)-YEAR($C31))*12+MONTH(AN$5)-MONTH($C31)+1)&lt;1,((YEAR(AN$5)-YEAR($C31))*12+MONTH(AN$5)-MONTH($C31)+1)&gt;$D31),0,$E31*IF($G31,1,N(INDEX(Phasing!$I31:$AF31,((YEAR(AN$5)-YEAR($C31))*12+MONTH(AN$5)-MONTH($C31)+1))))/$F31))</f>
        <v>0</v>
      </c>
      <c r="AO31" s="38" t="n">
        <f aca="false">IF(OR($C31="",$D31="",$F31=0),0,IF(OR(AO$5&lt;=Projects!$C$2,((YEAR(AO$5)-YEAR($C31))*12+MONTH(AO$5)-MONTH($C31)+1)&lt;1,((YEAR(AO$5)-YEAR($C31))*12+MONTH(AO$5)-MONTH($C31)+1)&gt;$D31),0,$E31*IF($G31,1,N(INDEX(Phasing!$I31:$AF31,((YEAR(AO$5)-YEAR($C31))*12+MONTH(AO$5)-MONTH($C31)+1))))/$F31))</f>
        <v>0</v>
      </c>
      <c r="AP31" s="38" t="n">
        <f aca="false">IF(OR($C31="",$D31="",$F31=0),0,IF(OR(AP$5&lt;=Projects!$C$2,((YEAR(AP$5)-YEAR($C31))*12+MONTH(AP$5)-MONTH($C31)+1)&lt;1,((YEAR(AP$5)-YEAR($C31))*12+MONTH(AP$5)-MONTH($C31)+1)&gt;$D31),0,$E31*IF($G31,1,N(INDEX(Phasing!$I31:$AF31,((YEAR(AP$5)-YEAR($C31))*12+MONTH(AP$5)-MONTH($C31)+1))))/$F31))</f>
        <v>0</v>
      </c>
      <c r="AQ31" s="38" t="n">
        <f aca="false">IF(OR($C31="",$D31="",$F31=0),0,IF(OR(AQ$5&lt;=Projects!$C$2,((YEAR(AQ$5)-YEAR($C31))*12+MONTH(AQ$5)-MONTH($C31)+1)&lt;1,((YEAR(AQ$5)-YEAR($C31))*12+MONTH(AQ$5)-MONTH($C31)+1)&gt;$D31),0,$E31*IF($G31,1,N(INDEX(Phasing!$I31:$AF31,((YEAR(AQ$5)-YEAR($C31))*12+MONTH(AQ$5)-MONTH($C31)+1))))/$F31))</f>
        <v>0</v>
      </c>
    </row>
    <row r="32" customFormat="false" ht="15" hidden="false" customHeight="false" outlineLevel="0" collapsed="false">
      <c r="A32" s="11" t="n">
        <v>27</v>
      </c>
      <c r="B32" s="21" t="str">
        <f aca="false">IF(Projects!B32="","",Projects!B32)</f>
        <v/>
      </c>
      <c r="C32" s="31" t="str">
        <f aca="false">IF(Projects!D32="","",Projects!D32)</f>
        <v/>
      </c>
      <c r="D32" s="21" t="str">
        <f aca="false">IF(Projects!E32="","",Projects!E32)</f>
        <v/>
      </c>
      <c r="E32" s="33" t="n">
        <f aca="false">IF(Projects!B32="",0,N(Projects!I32))</f>
        <v>0</v>
      </c>
      <c r="F32" s="21" t="n">
        <f aca="false">Phasing!G32</f>
        <v>0</v>
      </c>
      <c r="G32" s="48" t="b">
        <f aca="false">Phasing!D32=0</f>
        <v>1</v>
      </c>
      <c r="H32" s="38" t="n">
        <f aca="false">IF(OR($C32="",$D32="",$F32=0),0,IF(OR(H$5&lt;=Projects!$C$2,((YEAR(H$5)-YEAR($C32))*12+MONTH(H$5)-MONTH($C32)+1)&lt;1,((YEAR(H$5)-YEAR($C32))*12+MONTH(H$5)-MONTH($C32)+1)&gt;$D32),0,$E32*IF($G32,1,N(INDEX(Phasing!$I32:$AF32,((YEAR(H$5)-YEAR($C32))*12+MONTH(H$5)-MONTH($C32)+1))))/$F32))</f>
        <v>0</v>
      </c>
      <c r="I32" s="38" t="n">
        <f aca="false">IF(OR($C32="",$D32="",$F32=0),0,IF(OR(I$5&lt;=Projects!$C$2,((YEAR(I$5)-YEAR($C32))*12+MONTH(I$5)-MONTH($C32)+1)&lt;1,((YEAR(I$5)-YEAR($C32))*12+MONTH(I$5)-MONTH($C32)+1)&gt;$D32),0,$E32*IF($G32,1,N(INDEX(Phasing!$I32:$AF32,((YEAR(I$5)-YEAR($C32))*12+MONTH(I$5)-MONTH($C32)+1))))/$F32))</f>
        <v>0</v>
      </c>
      <c r="J32" s="38" t="n">
        <f aca="false">IF(OR($C32="",$D32="",$F32=0),0,IF(OR(J$5&lt;=Projects!$C$2,((YEAR(J$5)-YEAR($C32))*12+MONTH(J$5)-MONTH($C32)+1)&lt;1,((YEAR(J$5)-YEAR($C32))*12+MONTH(J$5)-MONTH($C32)+1)&gt;$D32),0,$E32*IF($G32,1,N(INDEX(Phasing!$I32:$AF32,((YEAR(J$5)-YEAR($C32))*12+MONTH(J$5)-MONTH($C32)+1))))/$F32))</f>
        <v>0</v>
      </c>
      <c r="K32" s="38" t="n">
        <f aca="false">IF(OR($C32="",$D32="",$F32=0),0,IF(OR(K$5&lt;=Projects!$C$2,((YEAR(K$5)-YEAR($C32))*12+MONTH(K$5)-MONTH($C32)+1)&lt;1,((YEAR(K$5)-YEAR($C32))*12+MONTH(K$5)-MONTH($C32)+1)&gt;$D32),0,$E32*IF($G32,1,N(INDEX(Phasing!$I32:$AF32,((YEAR(K$5)-YEAR($C32))*12+MONTH(K$5)-MONTH($C32)+1))))/$F32))</f>
        <v>0</v>
      </c>
      <c r="L32" s="38" t="n">
        <f aca="false">IF(OR($C32="",$D32="",$F32=0),0,IF(OR(L$5&lt;=Projects!$C$2,((YEAR(L$5)-YEAR($C32))*12+MONTH(L$5)-MONTH($C32)+1)&lt;1,((YEAR(L$5)-YEAR($C32))*12+MONTH(L$5)-MONTH($C32)+1)&gt;$D32),0,$E32*IF($G32,1,N(INDEX(Phasing!$I32:$AF32,((YEAR(L$5)-YEAR($C32))*12+MONTH(L$5)-MONTH($C32)+1))))/$F32))</f>
        <v>0</v>
      </c>
      <c r="M32" s="38" t="n">
        <f aca="false">IF(OR($C32="",$D32="",$F32=0),0,IF(OR(M$5&lt;=Projects!$C$2,((YEAR(M$5)-YEAR($C32))*12+MONTH(M$5)-MONTH($C32)+1)&lt;1,((YEAR(M$5)-YEAR($C32))*12+MONTH(M$5)-MONTH($C32)+1)&gt;$D32),0,$E32*IF($G32,1,N(INDEX(Phasing!$I32:$AF32,((YEAR(M$5)-YEAR($C32))*12+MONTH(M$5)-MONTH($C32)+1))))/$F32))</f>
        <v>0</v>
      </c>
      <c r="N32" s="38" t="n">
        <f aca="false">IF(OR($C32="",$D32="",$F32=0),0,IF(OR(N$5&lt;=Projects!$C$2,((YEAR(N$5)-YEAR($C32))*12+MONTH(N$5)-MONTH($C32)+1)&lt;1,((YEAR(N$5)-YEAR($C32))*12+MONTH(N$5)-MONTH($C32)+1)&gt;$D32),0,$E32*IF($G32,1,N(INDEX(Phasing!$I32:$AF32,((YEAR(N$5)-YEAR($C32))*12+MONTH(N$5)-MONTH($C32)+1))))/$F32))</f>
        <v>0</v>
      </c>
      <c r="O32" s="38" t="n">
        <f aca="false">IF(OR($C32="",$D32="",$F32=0),0,IF(OR(O$5&lt;=Projects!$C$2,((YEAR(O$5)-YEAR($C32))*12+MONTH(O$5)-MONTH($C32)+1)&lt;1,((YEAR(O$5)-YEAR($C32))*12+MONTH(O$5)-MONTH($C32)+1)&gt;$D32),0,$E32*IF($G32,1,N(INDEX(Phasing!$I32:$AF32,((YEAR(O$5)-YEAR($C32))*12+MONTH(O$5)-MONTH($C32)+1))))/$F32))</f>
        <v>0</v>
      </c>
      <c r="P32" s="38" t="n">
        <f aca="false">IF(OR($C32="",$D32="",$F32=0),0,IF(OR(P$5&lt;=Projects!$C$2,((YEAR(P$5)-YEAR($C32))*12+MONTH(P$5)-MONTH($C32)+1)&lt;1,((YEAR(P$5)-YEAR($C32))*12+MONTH(P$5)-MONTH($C32)+1)&gt;$D32),0,$E32*IF($G32,1,N(INDEX(Phasing!$I32:$AF32,((YEAR(P$5)-YEAR($C32))*12+MONTH(P$5)-MONTH($C32)+1))))/$F32))</f>
        <v>0</v>
      </c>
      <c r="Q32" s="38" t="n">
        <f aca="false">IF(OR($C32="",$D32="",$F32=0),0,IF(OR(Q$5&lt;=Projects!$C$2,((YEAR(Q$5)-YEAR($C32))*12+MONTH(Q$5)-MONTH($C32)+1)&lt;1,((YEAR(Q$5)-YEAR($C32))*12+MONTH(Q$5)-MONTH($C32)+1)&gt;$D32),0,$E32*IF($G32,1,N(INDEX(Phasing!$I32:$AF32,((YEAR(Q$5)-YEAR($C32))*12+MONTH(Q$5)-MONTH($C32)+1))))/$F32))</f>
        <v>0</v>
      </c>
      <c r="R32" s="38" t="n">
        <f aca="false">IF(OR($C32="",$D32="",$F32=0),0,IF(OR(R$5&lt;=Projects!$C$2,((YEAR(R$5)-YEAR($C32))*12+MONTH(R$5)-MONTH($C32)+1)&lt;1,((YEAR(R$5)-YEAR($C32))*12+MONTH(R$5)-MONTH($C32)+1)&gt;$D32),0,$E32*IF($G32,1,N(INDEX(Phasing!$I32:$AF32,((YEAR(R$5)-YEAR($C32))*12+MONTH(R$5)-MONTH($C32)+1))))/$F32))</f>
        <v>0</v>
      </c>
      <c r="S32" s="38" t="n">
        <f aca="false">IF(OR($C32="",$D32="",$F32=0),0,IF(OR(S$5&lt;=Projects!$C$2,((YEAR(S$5)-YEAR($C32))*12+MONTH(S$5)-MONTH($C32)+1)&lt;1,((YEAR(S$5)-YEAR($C32))*12+MONTH(S$5)-MONTH($C32)+1)&gt;$D32),0,$E32*IF($G32,1,N(INDEX(Phasing!$I32:$AF32,((YEAR(S$5)-YEAR($C32))*12+MONTH(S$5)-MONTH($C32)+1))))/$F32))</f>
        <v>0</v>
      </c>
      <c r="T32" s="38" t="n">
        <f aca="false">IF(OR($C32="",$D32="",$F32=0),0,IF(OR(T$5&lt;=Projects!$C$2,((YEAR(T$5)-YEAR($C32))*12+MONTH(T$5)-MONTH($C32)+1)&lt;1,((YEAR(T$5)-YEAR($C32))*12+MONTH(T$5)-MONTH($C32)+1)&gt;$D32),0,$E32*IF($G32,1,N(INDEX(Phasing!$I32:$AF32,((YEAR(T$5)-YEAR($C32))*12+MONTH(T$5)-MONTH($C32)+1))))/$F32))</f>
        <v>0</v>
      </c>
      <c r="U32" s="38" t="n">
        <f aca="false">IF(OR($C32="",$D32="",$F32=0),0,IF(OR(U$5&lt;=Projects!$C$2,((YEAR(U$5)-YEAR($C32))*12+MONTH(U$5)-MONTH($C32)+1)&lt;1,((YEAR(U$5)-YEAR($C32))*12+MONTH(U$5)-MONTH($C32)+1)&gt;$D32),0,$E32*IF($G32,1,N(INDEX(Phasing!$I32:$AF32,((YEAR(U$5)-YEAR($C32))*12+MONTH(U$5)-MONTH($C32)+1))))/$F32))</f>
        <v>0</v>
      </c>
      <c r="V32" s="38" t="n">
        <f aca="false">IF(OR($C32="",$D32="",$F32=0),0,IF(OR(V$5&lt;=Projects!$C$2,((YEAR(V$5)-YEAR($C32))*12+MONTH(V$5)-MONTH($C32)+1)&lt;1,((YEAR(V$5)-YEAR($C32))*12+MONTH(V$5)-MONTH($C32)+1)&gt;$D32),0,$E32*IF($G32,1,N(INDEX(Phasing!$I32:$AF32,((YEAR(V$5)-YEAR($C32))*12+MONTH(V$5)-MONTH($C32)+1))))/$F32))</f>
        <v>0</v>
      </c>
      <c r="W32" s="38" t="n">
        <f aca="false">IF(OR($C32="",$D32="",$F32=0),0,IF(OR(W$5&lt;=Projects!$C$2,((YEAR(W$5)-YEAR($C32))*12+MONTH(W$5)-MONTH($C32)+1)&lt;1,((YEAR(W$5)-YEAR($C32))*12+MONTH(W$5)-MONTH($C32)+1)&gt;$D32),0,$E32*IF($G32,1,N(INDEX(Phasing!$I32:$AF32,((YEAR(W$5)-YEAR($C32))*12+MONTH(W$5)-MONTH($C32)+1))))/$F32))</f>
        <v>0</v>
      </c>
      <c r="X32" s="38" t="n">
        <f aca="false">IF(OR($C32="",$D32="",$F32=0),0,IF(OR(X$5&lt;=Projects!$C$2,((YEAR(X$5)-YEAR($C32))*12+MONTH(X$5)-MONTH($C32)+1)&lt;1,((YEAR(X$5)-YEAR($C32))*12+MONTH(X$5)-MONTH($C32)+1)&gt;$D32),0,$E32*IF($G32,1,N(INDEX(Phasing!$I32:$AF32,((YEAR(X$5)-YEAR($C32))*12+MONTH(X$5)-MONTH($C32)+1))))/$F32))</f>
        <v>0</v>
      </c>
      <c r="Y32" s="38" t="n">
        <f aca="false">IF(OR($C32="",$D32="",$F32=0),0,IF(OR(Y$5&lt;=Projects!$C$2,((YEAR(Y$5)-YEAR($C32))*12+MONTH(Y$5)-MONTH($C32)+1)&lt;1,((YEAR(Y$5)-YEAR($C32))*12+MONTH(Y$5)-MONTH($C32)+1)&gt;$D32),0,$E32*IF($G32,1,N(INDEX(Phasing!$I32:$AF32,((YEAR(Y$5)-YEAR($C32))*12+MONTH(Y$5)-MONTH($C32)+1))))/$F32))</f>
        <v>0</v>
      </c>
      <c r="Z32" s="38" t="n">
        <f aca="false">IF(OR($C32="",$D32="",$F32=0),0,IF(OR(Z$5&lt;=Projects!$C$2,((YEAR(Z$5)-YEAR($C32))*12+MONTH(Z$5)-MONTH($C32)+1)&lt;1,((YEAR(Z$5)-YEAR($C32))*12+MONTH(Z$5)-MONTH($C32)+1)&gt;$D32),0,$E32*IF($G32,1,N(INDEX(Phasing!$I32:$AF32,((YEAR(Z$5)-YEAR($C32))*12+MONTH(Z$5)-MONTH($C32)+1))))/$F32))</f>
        <v>0</v>
      </c>
      <c r="AA32" s="38" t="n">
        <f aca="false">IF(OR($C32="",$D32="",$F32=0),0,IF(OR(AA$5&lt;=Projects!$C$2,((YEAR(AA$5)-YEAR($C32))*12+MONTH(AA$5)-MONTH($C32)+1)&lt;1,((YEAR(AA$5)-YEAR($C32))*12+MONTH(AA$5)-MONTH($C32)+1)&gt;$D32),0,$E32*IF($G32,1,N(INDEX(Phasing!$I32:$AF32,((YEAR(AA$5)-YEAR($C32))*12+MONTH(AA$5)-MONTH($C32)+1))))/$F32))</f>
        <v>0</v>
      </c>
      <c r="AB32" s="38" t="n">
        <f aca="false">IF(OR($C32="",$D32="",$F32=0),0,IF(OR(AB$5&lt;=Projects!$C$2,((YEAR(AB$5)-YEAR($C32))*12+MONTH(AB$5)-MONTH($C32)+1)&lt;1,((YEAR(AB$5)-YEAR($C32))*12+MONTH(AB$5)-MONTH($C32)+1)&gt;$D32),0,$E32*IF($G32,1,N(INDEX(Phasing!$I32:$AF32,((YEAR(AB$5)-YEAR($C32))*12+MONTH(AB$5)-MONTH($C32)+1))))/$F32))</f>
        <v>0</v>
      </c>
      <c r="AC32" s="38" t="n">
        <f aca="false">IF(OR($C32="",$D32="",$F32=0),0,IF(OR(AC$5&lt;=Projects!$C$2,((YEAR(AC$5)-YEAR($C32))*12+MONTH(AC$5)-MONTH($C32)+1)&lt;1,((YEAR(AC$5)-YEAR($C32))*12+MONTH(AC$5)-MONTH($C32)+1)&gt;$D32),0,$E32*IF($G32,1,N(INDEX(Phasing!$I32:$AF32,((YEAR(AC$5)-YEAR($C32))*12+MONTH(AC$5)-MONTH($C32)+1))))/$F32))</f>
        <v>0</v>
      </c>
      <c r="AD32" s="38" t="n">
        <f aca="false">IF(OR($C32="",$D32="",$F32=0),0,IF(OR(AD$5&lt;=Projects!$C$2,((YEAR(AD$5)-YEAR($C32))*12+MONTH(AD$5)-MONTH($C32)+1)&lt;1,((YEAR(AD$5)-YEAR($C32))*12+MONTH(AD$5)-MONTH($C32)+1)&gt;$D32),0,$E32*IF($G32,1,N(INDEX(Phasing!$I32:$AF32,((YEAR(AD$5)-YEAR($C32))*12+MONTH(AD$5)-MONTH($C32)+1))))/$F32))</f>
        <v>0</v>
      </c>
      <c r="AE32" s="38" t="n">
        <f aca="false">IF(OR($C32="",$D32="",$F32=0),0,IF(OR(AE$5&lt;=Projects!$C$2,((YEAR(AE$5)-YEAR($C32))*12+MONTH(AE$5)-MONTH($C32)+1)&lt;1,((YEAR(AE$5)-YEAR($C32))*12+MONTH(AE$5)-MONTH($C32)+1)&gt;$D32),0,$E32*IF($G32,1,N(INDEX(Phasing!$I32:$AF32,((YEAR(AE$5)-YEAR($C32))*12+MONTH(AE$5)-MONTH($C32)+1))))/$F32))</f>
        <v>0</v>
      </c>
      <c r="AF32" s="38" t="n">
        <f aca="false">IF(OR($C32="",$D32="",$F32=0),0,IF(OR(AF$5&lt;=Projects!$C$2,((YEAR(AF$5)-YEAR($C32))*12+MONTH(AF$5)-MONTH($C32)+1)&lt;1,((YEAR(AF$5)-YEAR($C32))*12+MONTH(AF$5)-MONTH($C32)+1)&gt;$D32),0,$E32*IF($G32,1,N(INDEX(Phasing!$I32:$AF32,((YEAR(AF$5)-YEAR($C32))*12+MONTH(AF$5)-MONTH($C32)+1))))/$F32))</f>
        <v>0</v>
      </c>
      <c r="AG32" s="38" t="n">
        <f aca="false">IF(OR($C32="",$D32="",$F32=0),0,IF(OR(AG$5&lt;=Projects!$C$2,((YEAR(AG$5)-YEAR($C32))*12+MONTH(AG$5)-MONTH($C32)+1)&lt;1,((YEAR(AG$5)-YEAR($C32))*12+MONTH(AG$5)-MONTH($C32)+1)&gt;$D32),0,$E32*IF($G32,1,N(INDEX(Phasing!$I32:$AF32,((YEAR(AG$5)-YEAR($C32))*12+MONTH(AG$5)-MONTH($C32)+1))))/$F32))</f>
        <v>0</v>
      </c>
      <c r="AH32" s="38" t="n">
        <f aca="false">IF(OR($C32="",$D32="",$F32=0),0,IF(OR(AH$5&lt;=Projects!$C$2,((YEAR(AH$5)-YEAR($C32))*12+MONTH(AH$5)-MONTH($C32)+1)&lt;1,((YEAR(AH$5)-YEAR($C32))*12+MONTH(AH$5)-MONTH($C32)+1)&gt;$D32),0,$E32*IF($G32,1,N(INDEX(Phasing!$I32:$AF32,((YEAR(AH$5)-YEAR($C32))*12+MONTH(AH$5)-MONTH($C32)+1))))/$F32))</f>
        <v>0</v>
      </c>
      <c r="AI32" s="38" t="n">
        <f aca="false">IF(OR($C32="",$D32="",$F32=0),0,IF(OR(AI$5&lt;=Projects!$C$2,((YEAR(AI$5)-YEAR($C32))*12+MONTH(AI$5)-MONTH($C32)+1)&lt;1,((YEAR(AI$5)-YEAR($C32))*12+MONTH(AI$5)-MONTH($C32)+1)&gt;$D32),0,$E32*IF($G32,1,N(INDEX(Phasing!$I32:$AF32,((YEAR(AI$5)-YEAR($C32))*12+MONTH(AI$5)-MONTH($C32)+1))))/$F32))</f>
        <v>0</v>
      </c>
      <c r="AJ32" s="38" t="n">
        <f aca="false">IF(OR($C32="",$D32="",$F32=0),0,IF(OR(AJ$5&lt;=Projects!$C$2,((YEAR(AJ$5)-YEAR($C32))*12+MONTH(AJ$5)-MONTH($C32)+1)&lt;1,((YEAR(AJ$5)-YEAR($C32))*12+MONTH(AJ$5)-MONTH($C32)+1)&gt;$D32),0,$E32*IF($G32,1,N(INDEX(Phasing!$I32:$AF32,((YEAR(AJ$5)-YEAR($C32))*12+MONTH(AJ$5)-MONTH($C32)+1))))/$F32))</f>
        <v>0</v>
      </c>
      <c r="AK32" s="38" t="n">
        <f aca="false">IF(OR($C32="",$D32="",$F32=0),0,IF(OR(AK$5&lt;=Projects!$C$2,((YEAR(AK$5)-YEAR($C32))*12+MONTH(AK$5)-MONTH($C32)+1)&lt;1,((YEAR(AK$5)-YEAR($C32))*12+MONTH(AK$5)-MONTH($C32)+1)&gt;$D32),0,$E32*IF($G32,1,N(INDEX(Phasing!$I32:$AF32,((YEAR(AK$5)-YEAR($C32))*12+MONTH(AK$5)-MONTH($C32)+1))))/$F32))</f>
        <v>0</v>
      </c>
      <c r="AL32" s="38" t="n">
        <f aca="false">IF(OR($C32="",$D32="",$F32=0),0,IF(OR(AL$5&lt;=Projects!$C$2,((YEAR(AL$5)-YEAR($C32))*12+MONTH(AL$5)-MONTH($C32)+1)&lt;1,((YEAR(AL$5)-YEAR($C32))*12+MONTH(AL$5)-MONTH($C32)+1)&gt;$D32),0,$E32*IF($G32,1,N(INDEX(Phasing!$I32:$AF32,((YEAR(AL$5)-YEAR($C32))*12+MONTH(AL$5)-MONTH($C32)+1))))/$F32))</f>
        <v>0</v>
      </c>
      <c r="AM32" s="38" t="n">
        <f aca="false">IF(OR($C32="",$D32="",$F32=0),0,IF(OR(AM$5&lt;=Projects!$C$2,((YEAR(AM$5)-YEAR($C32))*12+MONTH(AM$5)-MONTH($C32)+1)&lt;1,((YEAR(AM$5)-YEAR($C32))*12+MONTH(AM$5)-MONTH($C32)+1)&gt;$D32),0,$E32*IF($G32,1,N(INDEX(Phasing!$I32:$AF32,((YEAR(AM$5)-YEAR($C32))*12+MONTH(AM$5)-MONTH($C32)+1))))/$F32))</f>
        <v>0</v>
      </c>
      <c r="AN32" s="38" t="n">
        <f aca="false">IF(OR($C32="",$D32="",$F32=0),0,IF(OR(AN$5&lt;=Projects!$C$2,((YEAR(AN$5)-YEAR($C32))*12+MONTH(AN$5)-MONTH($C32)+1)&lt;1,((YEAR(AN$5)-YEAR($C32))*12+MONTH(AN$5)-MONTH($C32)+1)&gt;$D32),0,$E32*IF($G32,1,N(INDEX(Phasing!$I32:$AF32,((YEAR(AN$5)-YEAR($C32))*12+MONTH(AN$5)-MONTH($C32)+1))))/$F32))</f>
        <v>0</v>
      </c>
      <c r="AO32" s="38" t="n">
        <f aca="false">IF(OR($C32="",$D32="",$F32=0),0,IF(OR(AO$5&lt;=Projects!$C$2,((YEAR(AO$5)-YEAR($C32))*12+MONTH(AO$5)-MONTH($C32)+1)&lt;1,((YEAR(AO$5)-YEAR($C32))*12+MONTH(AO$5)-MONTH($C32)+1)&gt;$D32),0,$E32*IF($G32,1,N(INDEX(Phasing!$I32:$AF32,((YEAR(AO$5)-YEAR($C32))*12+MONTH(AO$5)-MONTH($C32)+1))))/$F32))</f>
        <v>0</v>
      </c>
      <c r="AP32" s="38" t="n">
        <f aca="false">IF(OR($C32="",$D32="",$F32=0),0,IF(OR(AP$5&lt;=Projects!$C$2,((YEAR(AP$5)-YEAR($C32))*12+MONTH(AP$5)-MONTH($C32)+1)&lt;1,((YEAR(AP$5)-YEAR($C32))*12+MONTH(AP$5)-MONTH($C32)+1)&gt;$D32),0,$E32*IF($G32,1,N(INDEX(Phasing!$I32:$AF32,((YEAR(AP$5)-YEAR($C32))*12+MONTH(AP$5)-MONTH($C32)+1))))/$F32))</f>
        <v>0</v>
      </c>
      <c r="AQ32" s="38" t="n">
        <f aca="false">IF(OR($C32="",$D32="",$F32=0),0,IF(OR(AQ$5&lt;=Projects!$C$2,((YEAR(AQ$5)-YEAR($C32))*12+MONTH(AQ$5)-MONTH($C32)+1)&lt;1,((YEAR(AQ$5)-YEAR($C32))*12+MONTH(AQ$5)-MONTH($C32)+1)&gt;$D32),0,$E32*IF($G32,1,N(INDEX(Phasing!$I32:$AF32,((YEAR(AQ$5)-YEAR($C32))*12+MONTH(AQ$5)-MONTH($C32)+1))))/$F32))</f>
        <v>0</v>
      </c>
    </row>
    <row r="33" customFormat="false" ht="15" hidden="false" customHeight="false" outlineLevel="0" collapsed="false">
      <c r="A33" s="11" t="n">
        <v>28</v>
      </c>
      <c r="B33" s="21" t="str">
        <f aca="false">IF(Projects!B33="","",Projects!B33)</f>
        <v/>
      </c>
      <c r="C33" s="31" t="str">
        <f aca="false">IF(Projects!D33="","",Projects!D33)</f>
        <v/>
      </c>
      <c r="D33" s="21" t="str">
        <f aca="false">IF(Projects!E33="","",Projects!E33)</f>
        <v/>
      </c>
      <c r="E33" s="33" t="n">
        <f aca="false">IF(Projects!B33="",0,N(Projects!I33))</f>
        <v>0</v>
      </c>
      <c r="F33" s="21" t="n">
        <f aca="false">Phasing!G33</f>
        <v>0</v>
      </c>
      <c r="G33" s="48" t="b">
        <f aca="false">Phasing!D33=0</f>
        <v>1</v>
      </c>
      <c r="H33" s="38" t="n">
        <f aca="false">IF(OR($C33="",$D33="",$F33=0),0,IF(OR(H$5&lt;=Projects!$C$2,((YEAR(H$5)-YEAR($C33))*12+MONTH(H$5)-MONTH($C33)+1)&lt;1,((YEAR(H$5)-YEAR($C33))*12+MONTH(H$5)-MONTH($C33)+1)&gt;$D33),0,$E33*IF($G33,1,N(INDEX(Phasing!$I33:$AF33,((YEAR(H$5)-YEAR($C33))*12+MONTH(H$5)-MONTH($C33)+1))))/$F33))</f>
        <v>0</v>
      </c>
      <c r="I33" s="38" t="n">
        <f aca="false">IF(OR($C33="",$D33="",$F33=0),0,IF(OR(I$5&lt;=Projects!$C$2,((YEAR(I$5)-YEAR($C33))*12+MONTH(I$5)-MONTH($C33)+1)&lt;1,((YEAR(I$5)-YEAR($C33))*12+MONTH(I$5)-MONTH($C33)+1)&gt;$D33),0,$E33*IF($G33,1,N(INDEX(Phasing!$I33:$AF33,((YEAR(I$5)-YEAR($C33))*12+MONTH(I$5)-MONTH($C33)+1))))/$F33))</f>
        <v>0</v>
      </c>
      <c r="J33" s="38" t="n">
        <f aca="false">IF(OR($C33="",$D33="",$F33=0),0,IF(OR(J$5&lt;=Projects!$C$2,((YEAR(J$5)-YEAR($C33))*12+MONTH(J$5)-MONTH($C33)+1)&lt;1,((YEAR(J$5)-YEAR($C33))*12+MONTH(J$5)-MONTH($C33)+1)&gt;$D33),0,$E33*IF($G33,1,N(INDEX(Phasing!$I33:$AF33,((YEAR(J$5)-YEAR($C33))*12+MONTH(J$5)-MONTH($C33)+1))))/$F33))</f>
        <v>0</v>
      </c>
      <c r="K33" s="38" t="n">
        <f aca="false">IF(OR($C33="",$D33="",$F33=0),0,IF(OR(K$5&lt;=Projects!$C$2,((YEAR(K$5)-YEAR($C33))*12+MONTH(K$5)-MONTH($C33)+1)&lt;1,((YEAR(K$5)-YEAR($C33))*12+MONTH(K$5)-MONTH($C33)+1)&gt;$D33),0,$E33*IF($G33,1,N(INDEX(Phasing!$I33:$AF33,((YEAR(K$5)-YEAR($C33))*12+MONTH(K$5)-MONTH($C33)+1))))/$F33))</f>
        <v>0</v>
      </c>
      <c r="L33" s="38" t="n">
        <f aca="false">IF(OR($C33="",$D33="",$F33=0),0,IF(OR(L$5&lt;=Projects!$C$2,((YEAR(L$5)-YEAR($C33))*12+MONTH(L$5)-MONTH($C33)+1)&lt;1,((YEAR(L$5)-YEAR($C33))*12+MONTH(L$5)-MONTH($C33)+1)&gt;$D33),0,$E33*IF($G33,1,N(INDEX(Phasing!$I33:$AF33,((YEAR(L$5)-YEAR($C33))*12+MONTH(L$5)-MONTH($C33)+1))))/$F33))</f>
        <v>0</v>
      </c>
      <c r="M33" s="38" t="n">
        <f aca="false">IF(OR($C33="",$D33="",$F33=0),0,IF(OR(M$5&lt;=Projects!$C$2,((YEAR(M$5)-YEAR($C33))*12+MONTH(M$5)-MONTH($C33)+1)&lt;1,((YEAR(M$5)-YEAR($C33))*12+MONTH(M$5)-MONTH($C33)+1)&gt;$D33),0,$E33*IF($G33,1,N(INDEX(Phasing!$I33:$AF33,((YEAR(M$5)-YEAR($C33))*12+MONTH(M$5)-MONTH($C33)+1))))/$F33))</f>
        <v>0</v>
      </c>
      <c r="N33" s="38" t="n">
        <f aca="false">IF(OR($C33="",$D33="",$F33=0),0,IF(OR(N$5&lt;=Projects!$C$2,((YEAR(N$5)-YEAR($C33))*12+MONTH(N$5)-MONTH($C33)+1)&lt;1,((YEAR(N$5)-YEAR($C33))*12+MONTH(N$5)-MONTH($C33)+1)&gt;$D33),0,$E33*IF($G33,1,N(INDEX(Phasing!$I33:$AF33,((YEAR(N$5)-YEAR($C33))*12+MONTH(N$5)-MONTH($C33)+1))))/$F33))</f>
        <v>0</v>
      </c>
      <c r="O33" s="38" t="n">
        <f aca="false">IF(OR($C33="",$D33="",$F33=0),0,IF(OR(O$5&lt;=Projects!$C$2,((YEAR(O$5)-YEAR($C33))*12+MONTH(O$5)-MONTH($C33)+1)&lt;1,((YEAR(O$5)-YEAR($C33))*12+MONTH(O$5)-MONTH($C33)+1)&gt;$D33),0,$E33*IF($G33,1,N(INDEX(Phasing!$I33:$AF33,((YEAR(O$5)-YEAR($C33))*12+MONTH(O$5)-MONTH($C33)+1))))/$F33))</f>
        <v>0</v>
      </c>
      <c r="P33" s="38" t="n">
        <f aca="false">IF(OR($C33="",$D33="",$F33=0),0,IF(OR(P$5&lt;=Projects!$C$2,((YEAR(P$5)-YEAR($C33))*12+MONTH(P$5)-MONTH($C33)+1)&lt;1,((YEAR(P$5)-YEAR($C33))*12+MONTH(P$5)-MONTH($C33)+1)&gt;$D33),0,$E33*IF($G33,1,N(INDEX(Phasing!$I33:$AF33,((YEAR(P$5)-YEAR($C33))*12+MONTH(P$5)-MONTH($C33)+1))))/$F33))</f>
        <v>0</v>
      </c>
      <c r="Q33" s="38" t="n">
        <f aca="false">IF(OR($C33="",$D33="",$F33=0),0,IF(OR(Q$5&lt;=Projects!$C$2,((YEAR(Q$5)-YEAR($C33))*12+MONTH(Q$5)-MONTH($C33)+1)&lt;1,((YEAR(Q$5)-YEAR($C33))*12+MONTH(Q$5)-MONTH($C33)+1)&gt;$D33),0,$E33*IF($G33,1,N(INDEX(Phasing!$I33:$AF33,((YEAR(Q$5)-YEAR($C33))*12+MONTH(Q$5)-MONTH($C33)+1))))/$F33))</f>
        <v>0</v>
      </c>
      <c r="R33" s="38" t="n">
        <f aca="false">IF(OR($C33="",$D33="",$F33=0),0,IF(OR(R$5&lt;=Projects!$C$2,((YEAR(R$5)-YEAR($C33))*12+MONTH(R$5)-MONTH($C33)+1)&lt;1,((YEAR(R$5)-YEAR($C33))*12+MONTH(R$5)-MONTH($C33)+1)&gt;$D33),0,$E33*IF($G33,1,N(INDEX(Phasing!$I33:$AF33,((YEAR(R$5)-YEAR($C33))*12+MONTH(R$5)-MONTH($C33)+1))))/$F33))</f>
        <v>0</v>
      </c>
      <c r="S33" s="38" t="n">
        <f aca="false">IF(OR($C33="",$D33="",$F33=0),0,IF(OR(S$5&lt;=Projects!$C$2,((YEAR(S$5)-YEAR($C33))*12+MONTH(S$5)-MONTH($C33)+1)&lt;1,((YEAR(S$5)-YEAR($C33))*12+MONTH(S$5)-MONTH($C33)+1)&gt;$D33),0,$E33*IF($G33,1,N(INDEX(Phasing!$I33:$AF33,((YEAR(S$5)-YEAR($C33))*12+MONTH(S$5)-MONTH($C33)+1))))/$F33))</f>
        <v>0</v>
      </c>
      <c r="T33" s="38" t="n">
        <f aca="false">IF(OR($C33="",$D33="",$F33=0),0,IF(OR(T$5&lt;=Projects!$C$2,((YEAR(T$5)-YEAR($C33))*12+MONTH(T$5)-MONTH($C33)+1)&lt;1,((YEAR(T$5)-YEAR($C33))*12+MONTH(T$5)-MONTH($C33)+1)&gt;$D33),0,$E33*IF($G33,1,N(INDEX(Phasing!$I33:$AF33,((YEAR(T$5)-YEAR($C33))*12+MONTH(T$5)-MONTH($C33)+1))))/$F33))</f>
        <v>0</v>
      </c>
      <c r="U33" s="38" t="n">
        <f aca="false">IF(OR($C33="",$D33="",$F33=0),0,IF(OR(U$5&lt;=Projects!$C$2,((YEAR(U$5)-YEAR($C33))*12+MONTH(U$5)-MONTH($C33)+1)&lt;1,((YEAR(U$5)-YEAR($C33))*12+MONTH(U$5)-MONTH($C33)+1)&gt;$D33),0,$E33*IF($G33,1,N(INDEX(Phasing!$I33:$AF33,((YEAR(U$5)-YEAR($C33))*12+MONTH(U$5)-MONTH($C33)+1))))/$F33))</f>
        <v>0</v>
      </c>
      <c r="V33" s="38" t="n">
        <f aca="false">IF(OR($C33="",$D33="",$F33=0),0,IF(OR(V$5&lt;=Projects!$C$2,((YEAR(V$5)-YEAR($C33))*12+MONTH(V$5)-MONTH($C33)+1)&lt;1,((YEAR(V$5)-YEAR($C33))*12+MONTH(V$5)-MONTH($C33)+1)&gt;$D33),0,$E33*IF($G33,1,N(INDEX(Phasing!$I33:$AF33,((YEAR(V$5)-YEAR($C33))*12+MONTH(V$5)-MONTH($C33)+1))))/$F33))</f>
        <v>0</v>
      </c>
      <c r="W33" s="38" t="n">
        <f aca="false">IF(OR($C33="",$D33="",$F33=0),0,IF(OR(W$5&lt;=Projects!$C$2,((YEAR(W$5)-YEAR($C33))*12+MONTH(W$5)-MONTH($C33)+1)&lt;1,((YEAR(W$5)-YEAR($C33))*12+MONTH(W$5)-MONTH($C33)+1)&gt;$D33),0,$E33*IF($G33,1,N(INDEX(Phasing!$I33:$AF33,((YEAR(W$5)-YEAR($C33))*12+MONTH(W$5)-MONTH($C33)+1))))/$F33))</f>
        <v>0</v>
      </c>
      <c r="X33" s="38" t="n">
        <f aca="false">IF(OR($C33="",$D33="",$F33=0),0,IF(OR(X$5&lt;=Projects!$C$2,((YEAR(X$5)-YEAR($C33))*12+MONTH(X$5)-MONTH($C33)+1)&lt;1,((YEAR(X$5)-YEAR($C33))*12+MONTH(X$5)-MONTH($C33)+1)&gt;$D33),0,$E33*IF($G33,1,N(INDEX(Phasing!$I33:$AF33,((YEAR(X$5)-YEAR($C33))*12+MONTH(X$5)-MONTH($C33)+1))))/$F33))</f>
        <v>0</v>
      </c>
      <c r="Y33" s="38" t="n">
        <f aca="false">IF(OR($C33="",$D33="",$F33=0),0,IF(OR(Y$5&lt;=Projects!$C$2,((YEAR(Y$5)-YEAR($C33))*12+MONTH(Y$5)-MONTH($C33)+1)&lt;1,((YEAR(Y$5)-YEAR($C33))*12+MONTH(Y$5)-MONTH($C33)+1)&gt;$D33),0,$E33*IF($G33,1,N(INDEX(Phasing!$I33:$AF33,((YEAR(Y$5)-YEAR($C33))*12+MONTH(Y$5)-MONTH($C33)+1))))/$F33))</f>
        <v>0</v>
      </c>
      <c r="Z33" s="38" t="n">
        <f aca="false">IF(OR($C33="",$D33="",$F33=0),0,IF(OR(Z$5&lt;=Projects!$C$2,((YEAR(Z$5)-YEAR($C33))*12+MONTH(Z$5)-MONTH($C33)+1)&lt;1,((YEAR(Z$5)-YEAR($C33))*12+MONTH(Z$5)-MONTH($C33)+1)&gt;$D33),0,$E33*IF($G33,1,N(INDEX(Phasing!$I33:$AF33,((YEAR(Z$5)-YEAR($C33))*12+MONTH(Z$5)-MONTH($C33)+1))))/$F33))</f>
        <v>0</v>
      </c>
      <c r="AA33" s="38" t="n">
        <f aca="false">IF(OR($C33="",$D33="",$F33=0),0,IF(OR(AA$5&lt;=Projects!$C$2,((YEAR(AA$5)-YEAR($C33))*12+MONTH(AA$5)-MONTH($C33)+1)&lt;1,((YEAR(AA$5)-YEAR($C33))*12+MONTH(AA$5)-MONTH($C33)+1)&gt;$D33),0,$E33*IF($G33,1,N(INDEX(Phasing!$I33:$AF33,((YEAR(AA$5)-YEAR($C33))*12+MONTH(AA$5)-MONTH($C33)+1))))/$F33))</f>
        <v>0</v>
      </c>
      <c r="AB33" s="38" t="n">
        <f aca="false">IF(OR($C33="",$D33="",$F33=0),0,IF(OR(AB$5&lt;=Projects!$C$2,((YEAR(AB$5)-YEAR($C33))*12+MONTH(AB$5)-MONTH($C33)+1)&lt;1,((YEAR(AB$5)-YEAR($C33))*12+MONTH(AB$5)-MONTH($C33)+1)&gt;$D33),0,$E33*IF($G33,1,N(INDEX(Phasing!$I33:$AF33,((YEAR(AB$5)-YEAR($C33))*12+MONTH(AB$5)-MONTH($C33)+1))))/$F33))</f>
        <v>0</v>
      </c>
      <c r="AC33" s="38" t="n">
        <f aca="false">IF(OR($C33="",$D33="",$F33=0),0,IF(OR(AC$5&lt;=Projects!$C$2,((YEAR(AC$5)-YEAR($C33))*12+MONTH(AC$5)-MONTH($C33)+1)&lt;1,((YEAR(AC$5)-YEAR($C33))*12+MONTH(AC$5)-MONTH($C33)+1)&gt;$D33),0,$E33*IF($G33,1,N(INDEX(Phasing!$I33:$AF33,((YEAR(AC$5)-YEAR($C33))*12+MONTH(AC$5)-MONTH($C33)+1))))/$F33))</f>
        <v>0</v>
      </c>
      <c r="AD33" s="38" t="n">
        <f aca="false">IF(OR($C33="",$D33="",$F33=0),0,IF(OR(AD$5&lt;=Projects!$C$2,((YEAR(AD$5)-YEAR($C33))*12+MONTH(AD$5)-MONTH($C33)+1)&lt;1,((YEAR(AD$5)-YEAR($C33))*12+MONTH(AD$5)-MONTH($C33)+1)&gt;$D33),0,$E33*IF($G33,1,N(INDEX(Phasing!$I33:$AF33,((YEAR(AD$5)-YEAR($C33))*12+MONTH(AD$5)-MONTH($C33)+1))))/$F33))</f>
        <v>0</v>
      </c>
      <c r="AE33" s="38" t="n">
        <f aca="false">IF(OR($C33="",$D33="",$F33=0),0,IF(OR(AE$5&lt;=Projects!$C$2,((YEAR(AE$5)-YEAR($C33))*12+MONTH(AE$5)-MONTH($C33)+1)&lt;1,((YEAR(AE$5)-YEAR($C33))*12+MONTH(AE$5)-MONTH($C33)+1)&gt;$D33),0,$E33*IF($G33,1,N(INDEX(Phasing!$I33:$AF33,((YEAR(AE$5)-YEAR($C33))*12+MONTH(AE$5)-MONTH($C33)+1))))/$F33))</f>
        <v>0</v>
      </c>
      <c r="AF33" s="38" t="n">
        <f aca="false">IF(OR($C33="",$D33="",$F33=0),0,IF(OR(AF$5&lt;=Projects!$C$2,((YEAR(AF$5)-YEAR($C33))*12+MONTH(AF$5)-MONTH($C33)+1)&lt;1,((YEAR(AF$5)-YEAR($C33))*12+MONTH(AF$5)-MONTH($C33)+1)&gt;$D33),0,$E33*IF($G33,1,N(INDEX(Phasing!$I33:$AF33,((YEAR(AF$5)-YEAR($C33))*12+MONTH(AF$5)-MONTH($C33)+1))))/$F33))</f>
        <v>0</v>
      </c>
      <c r="AG33" s="38" t="n">
        <f aca="false">IF(OR($C33="",$D33="",$F33=0),0,IF(OR(AG$5&lt;=Projects!$C$2,((YEAR(AG$5)-YEAR($C33))*12+MONTH(AG$5)-MONTH($C33)+1)&lt;1,((YEAR(AG$5)-YEAR($C33))*12+MONTH(AG$5)-MONTH($C33)+1)&gt;$D33),0,$E33*IF($G33,1,N(INDEX(Phasing!$I33:$AF33,((YEAR(AG$5)-YEAR($C33))*12+MONTH(AG$5)-MONTH($C33)+1))))/$F33))</f>
        <v>0</v>
      </c>
      <c r="AH33" s="38" t="n">
        <f aca="false">IF(OR($C33="",$D33="",$F33=0),0,IF(OR(AH$5&lt;=Projects!$C$2,((YEAR(AH$5)-YEAR($C33))*12+MONTH(AH$5)-MONTH($C33)+1)&lt;1,((YEAR(AH$5)-YEAR($C33))*12+MONTH(AH$5)-MONTH($C33)+1)&gt;$D33),0,$E33*IF($G33,1,N(INDEX(Phasing!$I33:$AF33,((YEAR(AH$5)-YEAR($C33))*12+MONTH(AH$5)-MONTH($C33)+1))))/$F33))</f>
        <v>0</v>
      </c>
      <c r="AI33" s="38" t="n">
        <f aca="false">IF(OR($C33="",$D33="",$F33=0),0,IF(OR(AI$5&lt;=Projects!$C$2,((YEAR(AI$5)-YEAR($C33))*12+MONTH(AI$5)-MONTH($C33)+1)&lt;1,((YEAR(AI$5)-YEAR($C33))*12+MONTH(AI$5)-MONTH($C33)+1)&gt;$D33),0,$E33*IF($G33,1,N(INDEX(Phasing!$I33:$AF33,((YEAR(AI$5)-YEAR($C33))*12+MONTH(AI$5)-MONTH($C33)+1))))/$F33))</f>
        <v>0</v>
      </c>
      <c r="AJ33" s="38" t="n">
        <f aca="false">IF(OR($C33="",$D33="",$F33=0),0,IF(OR(AJ$5&lt;=Projects!$C$2,((YEAR(AJ$5)-YEAR($C33))*12+MONTH(AJ$5)-MONTH($C33)+1)&lt;1,((YEAR(AJ$5)-YEAR($C33))*12+MONTH(AJ$5)-MONTH($C33)+1)&gt;$D33),0,$E33*IF($G33,1,N(INDEX(Phasing!$I33:$AF33,((YEAR(AJ$5)-YEAR($C33))*12+MONTH(AJ$5)-MONTH($C33)+1))))/$F33))</f>
        <v>0</v>
      </c>
      <c r="AK33" s="38" t="n">
        <f aca="false">IF(OR($C33="",$D33="",$F33=0),0,IF(OR(AK$5&lt;=Projects!$C$2,((YEAR(AK$5)-YEAR($C33))*12+MONTH(AK$5)-MONTH($C33)+1)&lt;1,((YEAR(AK$5)-YEAR($C33))*12+MONTH(AK$5)-MONTH($C33)+1)&gt;$D33),0,$E33*IF($G33,1,N(INDEX(Phasing!$I33:$AF33,((YEAR(AK$5)-YEAR($C33))*12+MONTH(AK$5)-MONTH($C33)+1))))/$F33))</f>
        <v>0</v>
      </c>
      <c r="AL33" s="38" t="n">
        <f aca="false">IF(OR($C33="",$D33="",$F33=0),0,IF(OR(AL$5&lt;=Projects!$C$2,((YEAR(AL$5)-YEAR($C33))*12+MONTH(AL$5)-MONTH($C33)+1)&lt;1,((YEAR(AL$5)-YEAR($C33))*12+MONTH(AL$5)-MONTH($C33)+1)&gt;$D33),0,$E33*IF($G33,1,N(INDEX(Phasing!$I33:$AF33,((YEAR(AL$5)-YEAR($C33))*12+MONTH(AL$5)-MONTH($C33)+1))))/$F33))</f>
        <v>0</v>
      </c>
      <c r="AM33" s="38" t="n">
        <f aca="false">IF(OR($C33="",$D33="",$F33=0),0,IF(OR(AM$5&lt;=Projects!$C$2,((YEAR(AM$5)-YEAR($C33))*12+MONTH(AM$5)-MONTH($C33)+1)&lt;1,((YEAR(AM$5)-YEAR($C33))*12+MONTH(AM$5)-MONTH($C33)+1)&gt;$D33),0,$E33*IF($G33,1,N(INDEX(Phasing!$I33:$AF33,((YEAR(AM$5)-YEAR($C33))*12+MONTH(AM$5)-MONTH($C33)+1))))/$F33))</f>
        <v>0</v>
      </c>
      <c r="AN33" s="38" t="n">
        <f aca="false">IF(OR($C33="",$D33="",$F33=0),0,IF(OR(AN$5&lt;=Projects!$C$2,((YEAR(AN$5)-YEAR($C33))*12+MONTH(AN$5)-MONTH($C33)+1)&lt;1,((YEAR(AN$5)-YEAR($C33))*12+MONTH(AN$5)-MONTH($C33)+1)&gt;$D33),0,$E33*IF($G33,1,N(INDEX(Phasing!$I33:$AF33,((YEAR(AN$5)-YEAR($C33))*12+MONTH(AN$5)-MONTH($C33)+1))))/$F33))</f>
        <v>0</v>
      </c>
      <c r="AO33" s="38" t="n">
        <f aca="false">IF(OR($C33="",$D33="",$F33=0),0,IF(OR(AO$5&lt;=Projects!$C$2,((YEAR(AO$5)-YEAR($C33))*12+MONTH(AO$5)-MONTH($C33)+1)&lt;1,((YEAR(AO$5)-YEAR($C33))*12+MONTH(AO$5)-MONTH($C33)+1)&gt;$D33),0,$E33*IF($G33,1,N(INDEX(Phasing!$I33:$AF33,((YEAR(AO$5)-YEAR($C33))*12+MONTH(AO$5)-MONTH($C33)+1))))/$F33))</f>
        <v>0</v>
      </c>
      <c r="AP33" s="38" t="n">
        <f aca="false">IF(OR($C33="",$D33="",$F33=0),0,IF(OR(AP$5&lt;=Projects!$C$2,((YEAR(AP$5)-YEAR($C33))*12+MONTH(AP$5)-MONTH($C33)+1)&lt;1,((YEAR(AP$5)-YEAR($C33))*12+MONTH(AP$5)-MONTH($C33)+1)&gt;$D33),0,$E33*IF($G33,1,N(INDEX(Phasing!$I33:$AF33,((YEAR(AP$5)-YEAR($C33))*12+MONTH(AP$5)-MONTH($C33)+1))))/$F33))</f>
        <v>0</v>
      </c>
      <c r="AQ33" s="38" t="n">
        <f aca="false">IF(OR($C33="",$D33="",$F33=0),0,IF(OR(AQ$5&lt;=Projects!$C$2,((YEAR(AQ$5)-YEAR($C33))*12+MONTH(AQ$5)-MONTH($C33)+1)&lt;1,((YEAR(AQ$5)-YEAR($C33))*12+MONTH(AQ$5)-MONTH($C33)+1)&gt;$D33),0,$E33*IF($G33,1,N(INDEX(Phasing!$I33:$AF33,((YEAR(AQ$5)-YEAR($C33))*12+MONTH(AQ$5)-MONTH($C33)+1))))/$F33))</f>
        <v>0</v>
      </c>
    </row>
    <row r="34" customFormat="false" ht="15" hidden="false" customHeight="false" outlineLevel="0" collapsed="false">
      <c r="A34" s="11" t="n">
        <v>29</v>
      </c>
      <c r="B34" s="21" t="str">
        <f aca="false">IF(Projects!B34="","",Projects!B34)</f>
        <v/>
      </c>
      <c r="C34" s="31" t="str">
        <f aca="false">IF(Projects!D34="","",Projects!D34)</f>
        <v/>
      </c>
      <c r="D34" s="21" t="str">
        <f aca="false">IF(Projects!E34="","",Projects!E34)</f>
        <v/>
      </c>
      <c r="E34" s="33" t="n">
        <f aca="false">IF(Projects!B34="",0,N(Projects!I34))</f>
        <v>0</v>
      </c>
      <c r="F34" s="21" t="n">
        <f aca="false">Phasing!G34</f>
        <v>0</v>
      </c>
      <c r="G34" s="48" t="b">
        <f aca="false">Phasing!D34=0</f>
        <v>1</v>
      </c>
      <c r="H34" s="38" t="n">
        <f aca="false">IF(OR($C34="",$D34="",$F34=0),0,IF(OR(H$5&lt;=Projects!$C$2,((YEAR(H$5)-YEAR($C34))*12+MONTH(H$5)-MONTH($C34)+1)&lt;1,((YEAR(H$5)-YEAR($C34))*12+MONTH(H$5)-MONTH($C34)+1)&gt;$D34),0,$E34*IF($G34,1,N(INDEX(Phasing!$I34:$AF34,((YEAR(H$5)-YEAR($C34))*12+MONTH(H$5)-MONTH($C34)+1))))/$F34))</f>
        <v>0</v>
      </c>
      <c r="I34" s="38" t="n">
        <f aca="false">IF(OR($C34="",$D34="",$F34=0),0,IF(OR(I$5&lt;=Projects!$C$2,((YEAR(I$5)-YEAR($C34))*12+MONTH(I$5)-MONTH($C34)+1)&lt;1,((YEAR(I$5)-YEAR($C34))*12+MONTH(I$5)-MONTH($C34)+1)&gt;$D34),0,$E34*IF($G34,1,N(INDEX(Phasing!$I34:$AF34,((YEAR(I$5)-YEAR($C34))*12+MONTH(I$5)-MONTH($C34)+1))))/$F34))</f>
        <v>0</v>
      </c>
      <c r="J34" s="38" t="n">
        <f aca="false">IF(OR($C34="",$D34="",$F34=0),0,IF(OR(J$5&lt;=Projects!$C$2,((YEAR(J$5)-YEAR($C34))*12+MONTH(J$5)-MONTH($C34)+1)&lt;1,((YEAR(J$5)-YEAR($C34))*12+MONTH(J$5)-MONTH($C34)+1)&gt;$D34),0,$E34*IF($G34,1,N(INDEX(Phasing!$I34:$AF34,((YEAR(J$5)-YEAR($C34))*12+MONTH(J$5)-MONTH($C34)+1))))/$F34))</f>
        <v>0</v>
      </c>
      <c r="K34" s="38" t="n">
        <f aca="false">IF(OR($C34="",$D34="",$F34=0),0,IF(OR(K$5&lt;=Projects!$C$2,((YEAR(K$5)-YEAR($C34))*12+MONTH(K$5)-MONTH($C34)+1)&lt;1,((YEAR(K$5)-YEAR($C34))*12+MONTH(K$5)-MONTH($C34)+1)&gt;$D34),0,$E34*IF($G34,1,N(INDEX(Phasing!$I34:$AF34,((YEAR(K$5)-YEAR($C34))*12+MONTH(K$5)-MONTH($C34)+1))))/$F34))</f>
        <v>0</v>
      </c>
      <c r="L34" s="38" t="n">
        <f aca="false">IF(OR($C34="",$D34="",$F34=0),0,IF(OR(L$5&lt;=Projects!$C$2,((YEAR(L$5)-YEAR($C34))*12+MONTH(L$5)-MONTH($C34)+1)&lt;1,((YEAR(L$5)-YEAR($C34))*12+MONTH(L$5)-MONTH($C34)+1)&gt;$D34),0,$E34*IF($G34,1,N(INDEX(Phasing!$I34:$AF34,((YEAR(L$5)-YEAR($C34))*12+MONTH(L$5)-MONTH($C34)+1))))/$F34))</f>
        <v>0</v>
      </c>
      <c r="M34" s="38" t="n">
        <f aca="false">IF(OR($C34="",$D34="",$F34=0),0,IF(OR(M$5&lt;=Projects!$C$2,((YEAR(M$5)-YEAR($C34))*12+MONTH(M$5)-MONTH($C34)+1)&lt;1,((YEAR(M$5)-YEAR($C34))*12+MONTH(M$5)-MONTH($C34)+1)&gt;$D34),0,$E34*IF($G34,1,N(INDEX(Phasing!$I34:$AF34,((YEAR(M$5)-YEAR($C34))*12+MONTH(M$5)-MONTH($C34)+1))))/$F34))</f>
        <v>0</v>
      </c>
      <c r="N34" s="38" t="n">
        <f aca="false">IF(OR($C34="",$D34="",$F34=0),0,IF(OR(N$5&lt;=Projects!$C$2,((YEAR(N$5)-YEAR($C34))*12+MONTH(N$5)-MONTH($C34)+1)&lt;1,((YEAR(N$5)-YEAR($C34))*12+MONTH(N$5)-MONTH($C34)+1)&gt;$D34),0,$E34*IF($G34,1,N(INDEX(Phasing!$I34:$AF34,((YEAR(N$5)-YEAR($C34))*12+MONTH(N$5)-MONTH($C34)+1))))/$F34))</f>
        <v>0</v>
      </c>
      <c r="O34" s="38" t="n">
        <f aca="false">IF(OR($C34="",$D34="",$F34=0),0,IF(OR(O$5&lt;=Projects!$C$2,((YEAR(O$5)-YEAR($C34))*12+MONTH(O$5)-MONTH($C34)+1)&lt;1,((YEAR(O$5)-YEAR($C34))*12+MONTH(O$5)-MONTH($C34)+1)&gt;$D34),0,$E34*IF($G34,1,N(INDEX(Phasing!$I34:$AF34,((YEAR(O$5)-YEAR($C34))*12+MONTH(O$5)-MONTH($C34)+1))))/$F34))</f>
        <v>0</v>
      </c>
      <c r="P34" s="38" t="n">
        <f aca="false">IF(OR($C34="",$D34="",$F34=0),0,IF(OR(P$5&lt;=Projects!$C$2,((YEAR(P$5)-YEAR($C34))*12+MONTH(P$5)-MONTH($C34)+1)&lt;1,((YEAR(P$5)-YEAR($C34))*12+MONTH(P$5)-MONTH($C34)+1)&gt;$D34),0,$E34*IF($G34,1,N(INDEX(Phasing!$I34:$AF34,((YEAR(P$5)-YEAR($C34))*12+MONTH(P$5)-MONTH($C34)+1))))/$F34))</f>
        <v>0</v>
      </c>
      <c r="Q34" s="38" t="n">
        <f aca="false">IF(OR($C34="",$D34="",$F34=0),0,IF(OR(Q$5&lt;=Projects!$C$2,((YEAR(Q$5)-YEAR($C34))*12+MONTH(Q$5)-MONTH($C34)+1)&lt;1,((YEAR(Q$5)-YEAR($C34))*12+MONTH(Q$5)-MONTH($C34)+1)&gt;$D34),0,$E34*IF($G34,1,N(INDEX(Phasing!$I34:$AF34,((YEAR(Q$5)-YEAR($C34))*12+MONTH(Q$5)-MONTH($C34)+1))))/$F34))</f>
        <v>0</v>
      </c>
      <c r="R34" s="38" t="n">
        <f aca="false">IF(OR($C34="",$D34="",$F34=0),0,IF(OR(R$5&lt;=Projects!$C$2,((YEAR(R$5)-YEAR($C34))*12+MONTH(R$5)-MONTH($C34)+1)&lt;1,((YEAR(R$5)-YEAR($C34))*12+MONTH(R$5)-MONTH($C34)+1)&gt;$D34),0,$E34*IF($G34,1,N(INDEX(Phasing!$I34:$AF34,((YEAR(R$5)-YEAR($C34))*12+MONTH(R$5)-MONTH($C34)+1))))/$F34))</f>
        <v>0</v>
      </c>
      <c r="S34" s="38" t="n">
        <f aca="false">IF(OR($C34="",$D34="",$F34=0),0,IF(OR(S$5&lt;=Projects!$C$2,((YEAR(S$5)-YEAR($C34))*12+MONTH(S$5)-MONTH($C34)+1)&lt;1,((YEAR(S$5)-YEAR($C34))*12+MONTH(S$5)-MONTH($C34)+1)&gt;$D34),0,$E34*IF($G34,1,N(INDEX(Phasing!$I34:$AF34,((YEAR(S$5)-YEAR($C34))*12+MONTH(S$5)-MONTH($C34)+1))))/$F34))</f>
        <v>0</v>
      </c>
      <c r="T34" s="38" t="n">
        <f aca="false">IF(OR($C34="",$D34="",$F34=0),0,IF(OR(T$5&lt;=Projects!$C$2,((YEAR(T$5)-YEAR($C34))*12+MONTH(T$5)-MONTH($C34)+1)&lt;1,((YEAR(T$5)-YEAR($C34))*12+MONTH(T$5)-MONTH($C34)+1)&gt;$D34),0,$E34*IF($G34,1,N(INDEX(Phasing!$I34:$AF34,((YEAR(T$5)-YEAR($C34))*12+MONTH(T$5)-MONTH($C34)+1))))/$F34))</f>
        <v>0</v>
      </c>
      <c r="U34" s="38" t="n">
        <f aca="false">IF(OR($C34="",$D34="",$F34=0),0,IF(OR(U$5&lt;=Projects!$C$2,((YEAR(U$5)-YEAR($C34))*12+MONTH(U$5)-MONTH($C34)+1)&lt;1,((YEAR(U$5)-YEAR($C34))*12+MONTH(U$5)-MONTH($C34)+1)&gt;$D34),0,$E34*IF($G34,1,N(INDEX(Phasing!$I34:$AF34,((YEAR(U$5)-YEAR($C34))*12+MONTH(U$5)-MONTH($C34)+1))))/$F34))</f>
        <v>0</v>
      </c>
      <c r="V34" s="38" t="n">
        <f aca="false">IF(OR($C34="",$D34="",$F34=0),0,IF(OR(V$5&lt;=Projects!$C$2,((YEAR(V$5)-YEAR($C34))*12+MONTH(V$5)-MONTH($C34)+1)&lt;1,((YEAR(V$5)-YEAR($C34))*12+MONTH(V$5)-MONTH($C34)+1)&gt;$D34),0,$E34*IF($G34,1,N(INDEX(Phasing!$I34:$AF34,((YEAR(V$5)-YEAR($C34))*12+MONTH(V$5)-MONTH($C34)+1))))/$F34))</f>
        <v>0</v>
      </c>
      <c r="W34" s="38" t="n">
        <f aca="false">IF(OR($C34="",$D34="",$F34=0),0,IF(OR(W$5&lt;=Projects!$C$2,((YEAR(W$5)-YEAR($C34))*12+MONTH(W$5)-MONTH($C34)+1)&lt;1,((YEAR(W$5)-YEAR($C34))*12+MONTH(W$5)-MONTH($C34)+1)&gt;$D34),0,$E34*IF($G34,1,N(INDEX(Phasing!$I34:$AF34,((YEAR(W$5)-YEAR($C34))*12+MONTH(W$5)-MONTH($C34)+1))))/$F34))</f>
        <v>0</v>
      </c>
      <c r="X34" s="38" t="n">
        <f aca="false">IF(OR($C34="",$D34="",$F34=0),0,IF(OR(X$5&lt;=Projects!$C$2,((YEAR(X$5)-YEAR($C34))*12+MONTH(X$5)-MONTH($C34)+1)&lt;1,((YEAR(X$5)-YEAR($C34))*12+MONTH(X$5)-MONTH($C34)+1)&gt;$D34),0,$E34*IF($G34,1,N(INDEX(Phasing!$I34:$AF34,((YEAR(X$5)-YEAR($C34))*12+MONTH(X$5)-MONTH($C34)+1))))/$F34))</f>
        <v>0</v>
      </c>
      <c r="Y34" s="38" t="n">
        <f aca="false">IF(OR($C34="",$D34="",$F34=0),0,IF(OR(Y$5&lt;=Projects!$C$2,((YEAR(Y$5)-YEAR($C34))*12+MONTH(Y$5)-MONTH($C34)+1)&lt;1,((YEAR(Y$5)-YEAR($C34))*12+MONTH(Y$5)-MONTH($C34)+1)&gt;$D34),0,$E34*IF($G34,1,N(INDEX(Phasing!$I34:$AF34,((YEAR(Y$5)-YEAR($C34))*12+MONTH(Y$5)-MONTH($C34)+1))))/$F34))</f>
        <v>0</v>
      </c>
      <c r="Z34" s="38" t="n">
        <f aca="false">IF(OR($C34="",$D34="",$F34=0),0,IF(OR(Z$5&lt;=Projects!$C$2,((YEAR(Z$5)-YEAR($C34))*12+MONTH(Z$5)-MONTH($C34)+1)&lt;1,((YEAR(Z$5)-YEAR($C34))*12+MONTH(Z$5)-MONTH($C34)+1)&gt;$D34),0,$E34*IF($G34,1,N(INDEX(Phasing!$I34:$AF34,((YEAR(Z$5)-YEAR($C34))*12+MONTH(Z$5)-MONTH($C34)+1))))/$F34))</f>
        <v>0</v>
      </c>
      <c r="AA34" s="38" t="n">
        <f aca="false">IF(OR($C34="",$D34="",$F34=0),0,IF(OR(AA$5&lt;=Projects!$C$2,((YEAR(AA$5)-YEAR($C34))*12+MONTH(AA$5)-MONTH($C34)+1)&lt;1,((YEAR(AA$5)-YEAR($C34))*12+MONTH(AA$5)-MONTH($C34)+1)&gt;$D34),0,$E34*IF($G34,1,N(INDEX(Phasing!$I34:$AF34,((YEAR(AA$5)-YEAR($C34))*12+MONTH(AA$5)-MONTH($C34)+1))))/$F34))</f>
        <v>0</v>
      </c>
      <c r="AB34" s="38" t="n">
        <f aca="false">IF(OR($C34="",$D34="",$F34=0),0,IF(OR(AB$5&lt;=Projects!$C$2,((YEAR(AB$5)-YEAR($C34))*12+MONTH(AB$5)-MONTH($C34)+1)&lt;1,((YEAR(AB$5)-YEAR($C34))*12+MONTH(AB$5)-MONTH($C34)+1)&gt;$D34),0,$E34*IF($G34,1,N(INDEX(Phasing!$I34:$AF34,((YEAR(AB$5)-YEAR($C34))*12+MONTH(AB$5)-MONTH($C34)+1))))/$F34))</f>
        <v>0</v>
      </c>
      <c r="AC34" s="38" t="n">
        <f aca="false">IF(OR($C34="",$D34="",$F34=0),0,IF(OR(AC$5&lt;=Projects!$C$2,((YEAR(AC$5)-YEAR($C34))*12+MONTH(AC$5)-MONTH($C34)+1)&lt;1,((YEAR(AC$5)-YEAR($C34))*12+MONTH(AC$5)-MONTH($C34)+1)&gt;$D34),0,$E34*IF($G34,1,N(INDEX(Phasing!$I34:$AF34,((YEAR(AC$5)-YEAR($C34))*12+MONTH(AC$5)-MONTH($C34)+1))))/$F34))</f>
        <v>0</v>
      </c>
      <c r="AD34" s="38" t="n">
        <f aca="false">IF(OR($C34="",$D34="",$F34=0),0,IF(OR(AD$5&lt;=Projects!$C$2,((YEAR(AD$5)-YEAR($C34))*12+MONTH(AD$5)-MONTH($C34)+1)&lt;1,((YEAR(AD$5)-YEAR($C34))*12+MONTH(AD$5)-MONTH($C34)+1)&gt;$D34),0,$E34*IF($G34,1,N(INDEX(Phasing!$I34:$AF34,((YEAR(AD$5)-YEAR($C34))*12+MONTH(AD$5)-MONTH($C34)+1))))/$F34))</f>
        <v>0</v>
      </c>
      <c r="AE34" s="38" t="n">
        <f aca="false">IF(OR($C34="",$D34="",$F34=0),0,IF(OR(AE$5&lt;=Projects!$C$2,((YEAR(AE$5)-YEAR($C34))*12+MONTH(AE$5)-MONTH($C34)+1)&lt;1,((YEAR(AE$5)-YEAR($C34))*12+MONTH(AE$5)-MONTH($C34)+1)&gt;$D34),0,$E34*IF($G34,1,N(INDEX(Phasing!$I34:$AF34,((YEAR(AE$5)-YEAR($C34))*12+MONTH(AE$5)-MONTH($C34)+1))))/$F34))</f>
        <v>0</v>
      </c>
      <c r="AF34" s="38" t="n">
        <f aca="false">IF(OR($C34="",$D34="",$F34=0),0,IF(OR(AF$5&lt;=Projects!$C$2,((YEAR(AF$5)-YEAR($C34))*12+MONTH(AF$5)-MONTH($C34)+1)&lt;1,((YEAR(AF$5)-YEAR($C34))*12+MONTH(AF$5)-MONTH($C34)+1)&gt;$D34),0,$E34*IF($G34,1,N(INDEX(Phasing!$I34:$AF34,((YEAR(AF$5)-YEAR($C34))*12+MONTH(AF$5)-MONTH($C34)+1))))/$F34))</f>
        <v>0</v>
      </c>
      <c r="AG34" s="38" t="n">
        <f aca="false">IF(OR($C34="",$D34="",$F34=0),0,IF(OR(AG$5&lt;=Projects!$C$2,((YEAR(AG$5)-YEAR($C34))*12+MONTH(AG$5)-MONTH($C34)+1)&lt;1,((YEAR(AG$5)-YEAR($C34))*12+MONTH(AG$5)-MONTH($C34)+1)&gt;$D34),0,$E34*IF($G34,1,N(INDEX(Phasing!$I34:$AF34,((YEAR(AG$5)-YEAR($C34))*12+MONTH(AG$5)-MONTH($C34)+1))))/$F34))</f>
        <v>0</v>
      </c>
      <c r="AH34" s="38" t="n">
        <f aca="false">IF(OR($C34="",$D34="",$F34=0),0,IF(OR(AH$5&lt;=Projects!$C$2,((YEAR(AH$5)-YEAR($C34))*12+MONTH(AH$5)-MONTH($C34)+1)&lt;1,((YEAR(AH$5)-YEAR($C34))*12+MONTH(AH$5)-MONTH($C34)+1)&gt;$D34),0,$E34*IF($G34,1,N(INDEX(Phasing!$I34:$AF34,((YEAR(AH$5)-YEAR($C34))*12+MONTH(AH$5)-MONTH($C34)+1))))/$F34))</f>
        <v>0</v>
      </c>
      <c r="AI34" s="38" t="n">
        <f aca="false">IF(OR($C34="",$D34="",$F34=0),0,IF(OR(AI$5&lt;=Projects!$C$2,((YEAR(AI$5)-YEAR($C34))*12+MONTH(AI$5)-MONTH($C34)+1)&lt;1,((YEAR(AI$5)-YEAR($C34))*12+MONTH(AI$5)-MONTH($C34)+1)&gt;$D34),0,$E34*IF($G34,1,N(INDEX(Phasing!$I34:$AF34,((YEAR(AI$5)-YEAR($C34))*12+MONTH(AI$5)-MONTH($C34)+1))))/$F34))</f>
        <v>0</v>
      </c>
      <c r="AJ34" s="38" t="n">
        <f aca="false">IF(OR($C34="",$D34="",$F34=0),0,IF(OR(AJ$5&lt;=Projects!$C$2,((YEAR(AJ$5)-YEAR($C34))*12+MONTH(AJ$5)-MONTH($C34)+1)&lt;1,((YEAR(AJ$5)-YEAR($C34))*12+MONTH(AJ$5)-MONTH($C34)+1)&gt;$D34),0,$E34*IF($G34,1,N(INDEX(Phasing!$I34:$AF34,((YEAR(AJ$5)-YEAR($C34))*12+MONTH(AJ$5)-MONTH($C34)+1))))/$F34))</f>
        <v>0</v>
      </c>
      <c r="AK34" s="38" t="n">
        <f aca="false">IF(OR($C34="",$D34="",$F34=0),0,IF(OR(AK$5&lt;=Projects!$C$2,((YEAR(AK$5)-YEAR($C34))*12+MONTH(AK$5)-MONTH($C34)+1)&lt;1,((YEAR(AK$5)-YEAR($C34))*12+MONTH(AK$5)-MONTH($C34)+1)&gt;$D34),0,$E34*IF($G34,1,N(INDEX(Phasing!$I34:$AF34,((YEAR(AK$5)-YEAR($C34))*12+MONTH(AK$5)-MONTH($C34)+1))))/$F34))</f>
        <v>0</v>
      </c>
      <c r="AL34" s="38" t="n">
        <f aca="false">IF(OR($C34="",$D34="",$F34=0),0,IF(OR(AL$5&lt;=Projects!$C$2,((YEAR(AL$5)-YEAR($C34))*12+MONTH(AL$5)-MONTH($C34)+1)&lt;1,((YEAR(AL$5)-YEAR($C34))*12+MONTH(AL$5)-MONTH($C34)+1)&gt;$D34),0,$E34*IF($G34,1,N(INDEX(Phasing!$I34:$AF34,((YEAR(AL$5)-YEAR($C34))*12+MONTH(AL$5)-MONTH($C34)+1))))/$F34))</f>
        <v>0</v>
      </c>
      <c r="AM34" s="38" t="n">
        <f aca="false">IF(OR($C34="",$D34="",$F34=0),0,IF(OR(AM$5&lt;=Projects!$C$2,((YEAR(AM$5)-YEAR($C34))*12+MONTH(AM$5)-MONTH($C34)+1)&lt;1,((YEAR(AM$5)-YEAR($C34))*12+MONTH(AM$5)-MONTH($C34)+1)&gt;$D34),0,$E34*IF($G34,1,N(INDEX(Phasing!$I34:$AF34,((YEAR(AM$5)-YEAR($C34))*12+MONTH(AM$5)-MONTH($C34)+1))))/$F34))</f>
        <v>0</v>
      </c>
      <c r="AN34" s="38" t="n">
        <f aca="false">IF(OR($C34="",$D34="",$F34=0),0,IF(OR(AN$5&lt;=Projects!$C$2,((YEAR(AN$5)-YEAR($C34))*12+MONTH(AN$5)-MONTH($C34)+1)&lt;1,((YEAR(AN$5)-YEAR($C34))*12+MONTH(AN$5)-MONTH($C34)+1)&gt;$D34),0,$E34*IF($G34,1,N(INDEX(Phasing!$I34:$AF34,((YEAR(AN$5)-YEAR($C34))*12+MONTH(AN$5)-MONTH($C34)+1))))/$F34))</f>
        <v>0</v>
      </c>
      <c r="AO34" s="38" t="n">
        <f aca="false">IF(OR($C34="",$D34="",$F34=0),0,IF(OR(AO$5&lt;=Projects!$C$2,((YEAR(AO$5)-YEAR($C34))*12+MONTH(AO$5)-MONTH($C34)+1)&lt;1,((YEAR(AO$5)-YEAR($C34))*12+MONTH(AO$5)-MONTH($C34)+1)&gt;$D34),0,$E34*IF($G34,1,N(INDEX(Phasing!$I34:$AF34,((YEAR(AO$5)-YEAR($C34))*12+MONTH(AO$5)-MONTH($C34)+1))))/$F34))</f>
        <v>0</v>
      </c>
      <c r="AP34" s="38" t="n">
        <f aca="false">IF(OR($C34="",$D34="",$F34=0),0,IF(OR(AP$5&lt;=Projects!$C$2,((YEAR(AP$5)-YEAR($C34))*12+MONTH(AP$5)-MONTH($C34)+1)&lt;1,((YEAR(AP$5)-YEAR($C34))*12+MONTH(AP$5)-MONTH($C34)+1)&gt;$D34),0,$E34*IF($G34,1,N(INDEX(Phasing!$I34:$AF34,((YEAR(AP$5)-YEAR($C34))*12+MONTH(AP$5)-MONTH($C34)+1))))/$F34))</f>
        <v>0</v>
      </c>
      <c r="AQ34" s="38" t="n">
        <f aca="false">IF(OR($C34="",$D34="",$F34=0),0,IF(OR(AQ$5&lt;=Projects!$C$2,((YEAR(AQ$5)-YEAR($C34))*12+MONTH(AQ$5)-MONTH($C34)+1)&lt;1,((YEAR(AQ$5)-YEAR($C34))*12+MONTH(AQ$5)-MONTH($C34)+1)&gt;$D34),0,$E34*IF($G34,1,N(INDEX(Phasing!$I34:$AF34,((YEAR(AQ$5)-YEAR($C34))*12+MONTH(AQ$5)-MONTH($C34)+1))))/$F34))</f>
        <v>0</v>
      </c>
    </row>
    <row r="35" customFormat="false" ht="15" hidden="false" customHeight="false" outlineLevel="0" collapsed="false">
      <c r="A35" s="11" t="n">
        <v>30</v>
      </c>
      <c r="B35" s="21" t="str">
        <f aca="false">IF(Projects!B35="","",Projects!B35)</f>
        <v/>
      </c>
      <c r="C35" s="31" t="str">
        <f aca="false">IF(Projects!D35="","",Projects!D35)</f>
        <v/>
      </c>
      <c r="D35" s="21" t="str">
        <f aca="false">IF(Projects!E35="","",Projects!E35)</f>
        <v/>
      </c>
      <c r="E35" s="33" t="n">
        <f aca="false">IF(Projects!B35="",0,N(Projects!I35))</f>
        <v>0</v>
      </c>
      <c r="F35" s="21" t="n">
        <f aca="false">Phasing!G35</f>
        <v>0</v>
      </c>
      <c r="G35" s="48" t="b">
        <f aca="false">Phasing!D35=0</f>
        <v>1</v>
      </c>
      <c r="H35" s="38" t="n">
        <f aca="false">IF(OR($C35="",$D35="",$F35=0),0,IF(OR(H$5&lt;=Projects!$C$2,((YEAR(H$5)-YEAR($C35))*12+MONTH(H$5)-MONTH($C35)+1)&lt;1,((YEAR(H$5)-YEAR($C35))*12+MONTH(H$5)-MONTH($C35)+1)&gt;$D35),0,$E35*IF($G35,1,N(INDEX(Phasing!$I35:$AF35,((YEAR(H$5)-YEAR($C35))*12+MONTH(H$5)-MONTH($C35)+1))))/$F35))</f>
        <v>0</v>
      </c>
      <c r="I35" s="38" t="n">
        <f aca="false">IF(OR($C35="",$D35="",$F35=0),0,IF(OR(I$5&lt;=Projects!$C$2,((YEAR(I$5)-YEAR($C35))*12+MONTH(I$5)-MONTH($C35)+1)&lt;1,((YEAR(I$5)-YEAR($C35))*12+MONTH(I$5)-MONTH($C35)+1)&gt;$D35),0,$E35*IF($G35,1,N(INDEX(Phasing!$I35:$AF35,((YEAR(I$5)-YEAR($C35))*12+MONTH(I$5)-MONTH($C35)+1))))/$F35))</f>
        <v>0</v>
      </c>
      <c r="J35" s="38" t="n">
        <f aca="false">IF(OR($C35="",$D35="",$F35=0),0,IF(OR(J$5&lt;=Projects!$C$2,((YEAR(J$5)-YEAR($C35))*12+MONTH(J$5)-MONTH($C35)+1)&lt;1,((YEAR(J$5)-YEAR($C35))*12+MONTH(J$5)-MONTH($C35)+1)&gt;$D35),0,$E35*IF($G35,1,N(INDEX(Phasing!$I35:$AF35,((YEAR(J$5)-YEAR($C35))*12+MONTH(J$5)-MONTH($C35)+1))))/$F35))</f>
        <v>0</v>
      </c>
      <c r="K35" s="38" t="n">
        <f aca="false">IF(OR($C35="",$D35="",$F35=0),0,IF(OR(K$5&lt;=Projects!$C$2,((YEAR(K$5)-YEAR($C35))*12+MONTH(K$5)-MONTH($C35)+1)&lt;1,((YEAR(K$5)-YEAR($C35))*12+MONTH(K$5)-MONTH($C35)+1)&gt;$D35),0,$E35*IF($G35,1,N(INDEX(Phasing!$I35:$AF35,((YEAR(K$5)-YEAR($C35))*12+MONTH(K$5)-MONTH($C35)+1))))/$F35))</f>
        <v>0</v>
      </c>
      <c r="L35" s="38" t="n">
        <f aca="false">IF(OR($C35="",$D35="",$F35=0),0,IF(OR(L$5&lt;=Projects!$C$2,((YEAR(L$5)-YEAR($C35))*12+MONTH(L$5)-MONTH($C35)+1)&lt;1,((YEAR(L$5)-YEAR($C35))*12+MONTH(L$5)-MONTH($C35)+1)&gt;$D35),0,$E35*IF($G35,1,N(INDEX(Phasing!$I35:$AF35,((YEAR(L$5)-YEAR($C35))*12+MONTH(L$5)-MONTH($C35)+1))))/$F35))</f>
        <v>0</v>
      </c>
      <c r="M35" s="38" t="n">
        <f aca="false">IF(OR($C35="",$D35="",$F35=0),0,IF(OR(M$5&lt;=Projects!$C$2,((YEAR(M$5)-YEAR($C35))*12+MONTH(M$5)-MONTH($C35)+1)&lt;1,((YEAR(M$5)-YEAR($C35))*12+MONTH(M$5)-MONTH($C35)+1)&gt;$D35),0,$E35*IF($G35,1,N(INDEX(Phasing!$I35:$AF35,((YEAR(M$5)-YEAR($C35))*12+MONTH(M$5)-MONTH($C35)+1))))/$F35))</f>
        <v>0</v>
      </c>
      <c r="N35" s="38" t="n">
        <f aca="false">IF(OR($C35="",$D35="",$F35=0),0,IF(OR(N$5&lt;=Projects!$C$2,((YEAR(N$5)-YEAR($C35))*12+MONTH(N$5)-MONTH($C35)+1)&lt;1,((YEAR(N$5)-YEAR($C35))*12+MONTH(N$5)-MONTH($C35)+1)&gt;$D35),0,$E35*IF($G35,1,N(INDEX(Phasing!$I35:$AF35,((YEAR(N$5)-YEAR($C35))*12+MONTH(N$5)-MONTH($C35)+1))))/$F35))</f>
        <v>0</v>
      </c>
      <c r="O35" s="38" t="n">
        <f aca="false">IF(OR($C35="",$D35="",$F35=0),0,IF(OR(O$5&lt;=Projects!$C$2,((YEAR(O$5)-YEAR($C35))*12+MONTH(O$5)-MONTH($C35)+1)&lt;1,((YEAR(O$5)-YEAR($C35))*12+MONTH(O$5)-MONTH($C35)+1)&gt;$D35),0,$E35*IF($G35,1,N(INDEX(Phasing!$I35:$AF35,((YEAR(O$5)-YEAR($C35))*12+MONTH(O$5)-MONTH($C35)+1))))/$F35))</f>
        <v>0</v>
      </c>
      <c r="P35" s="38" t="n">
        <f aca="false">IF(OR($C35="",$D35="",$F35=0),0,IF(OR(P$5&lt;=Projects!$C$2,((YEAR(P$5)-YEAR($C35))*12+MONTH(P$5)-MONTH($C35)+1)&lt;1,((YEAR(P$5)-YEAR($C35))*12+MONTH(P$5)-MONTH($C35)+1)&gt;$D35),0,$E35*IF($G35,1,N(INDEX(Phasing!$I35:$AF35,((YEAR(P$5)-YEAR($C35))*12+MONTH(P$5)-MONTH($C35)+1))))/$F35))</f>
        <v>0</v>
      </c>
      <c r="Q35" s="38" t="n">
        <f aca="false">IF(OR($C35="",$D35="",$F35=0),0,IF(OR(Q$5&lt;=Projects!$C$2,((YEAR(Q$5)-YEAR($C35))*12+MONTH(Q$5)-MONTH($C35)+1)&lt;1,((YEAR(Q$5)-YEAR($C35))*12+MONTH(Q$5)-MONTH($C35)+1)&gt;$D35),0,$E35*IF($G35,1,N(INDEX(Phasing!$I35:$AF35,((YEAR(Q$5)-YEAR($C35))*12+MONTH(Q$5)-MONTH($C35)+1))))/$F35))</f>
        <v>0</v>
      </c>
      <c r="R35" s="38" t="n">
        <f aca="false">IF(OR($C35="",$D35="",$F35=0),0,IF(OR(R$5&lt;=Projects!$C$2,((YEAR(R$5)-YEAR($C35))*12+MONTH(R$5)-MONTH($C35)+1)&lt;1,((YEAR(R$5)-YEAR($C35))*12+MONTH(R$5)-MONTH($C35)+1)&gt;$D35),0,$E35*IF($G35,1,N(INDEX(Phasing!$I35:$AF35,((YEAR(R$5)-YEAR($C35))*12+MONTH(R$5)-MONTH($C35)+1))))/$F35))</f>
        <v>0</v>
      </c>
      <c r="S35" s="38" t="n">
        <f aca="false">IF(OR($C35="",$D35="",$F35=0),0,IF(OR(S$5&lt;=Projects!$C$2,((YEAR(S$5)-YEAR($C35))*12+MONTH(S$5)-MONTH($C35)+1)&lt;1,((YEAR(S$5)-YEAR($C35))*12+MONTH(S$5)-MONTH($C35)+1)&gt;$D35),0,$E35*IF($G35,1,N(INDEX(Phasing!$I35:$AF35,((YEAR(S$5)-YEAR($C35))*12+MONTH(S$5)-MONTH($C35)+1))))/$F35))</f>
        <v>0</v>
      </c>
      <c r="T35" s="38" t="n">
        <f aca="false">IF(OR($C35="",$D35="",$F35=0),0,IF(OR(T$5&lt;=Projects!$C$2,((YEAR(T$5)-YEAR($C35))*12+MONTH(T$5)-MONTH($C35)+1)&lt;1,((YEAR(T$5)-YEAR($C35))*12+MONTH(T$5)-MONTH($C35)+1)&gt;$D35),0,$E35*IF($G35,1,N(INDEX(Phasing!$I35:$AF35,((YEAR(T$5)-YEAR($C35))*12+MONTH(T$5)-MONTH($C35)+1))))/$F35))</f>
        <v>0</v>
      </c>
      <c r="U35" s="38" t="n">
        <f aca="false">IF(OR($C35="",$D35="",$F35=0),0,IF(OR(U$5&lt;=Projects!$C$2,((YEAR(U$5)-YEAR($C35))*12+MONTH(U$5)-MONTH($C35)+1)&lt;1,((YEAR(U$5)-YEAR($C35))*12+MONTH(U$5)-MONTH($C35)+1)&gt;$D35),0,$E35*IF($G35,1,N(INDEX(Phasing!$I35:$AF35,((YEAR(U$5)-YEAR($C35))*12+MONTH(U$5)-MONTH($C35)+1))))/$F35))</f>
        <v>0</v>
      </c>
      <c r="V35" s="38" t="n">
        <f aca="false">IF(OR($C35="",$D35="",$F35=0),0,IF(OR(V$5&lt;=Projects!$C$2,((YEAR(V$5)-YEAR($C35))*12+MONTH(V$5)-MONTH($C35)+1)&lt;1,((YEAR(V$5)-YEAR($C35))*12+MONTH(V$5)-MONTH($C35)+1)&gt;$D35),0,$E35*IF($G35,1,N(INDEX(Phasing!$I35:$AF35,((YEAR(V$5)-YEAR($C35))*12+MONTH(V$5)-MONTH($C35)+1))))/$F35))</f>
        <v>0</v>
      </c>
      <c r="W35" s="38" t="n">
        <f aca="false">IF(OR($C35="",$D35="",$F35=0),0,IF(OR(W$5&lt;=Projects!$C$2,((YEAR(W$5)-YEAR($C35))*12+MONTH(W$5)-MONTH($C35)+1)&lt;1,((YEAR(W$5)-YEAR($C35))*12+MONTH(W$5)-MONTH($C35)+1)&gt;$D35),0,$E35*IF($G35,1,N(INDEX(Phasing!$I35:$AF35,((YEAR(W$5)-YEAR($C35))*12+MONTH(W$5)-MONTH($C35)+1))))/$F35))</f>
        <v>0</v>
      </c>
      <c r="X35" s="38" t="n">
        <f aca="false">IF(OR($C35="",$D35="",$F35=0),0,IF(OR(X$5&lt;=Projects!$C$2,((YEAR(X$5)-YEAR($C35))*12+MONTH(X$5)-MONTH($C35)+1)&lt;1,((YEAR(X$5)-YEAR($C35))*12+MONTH(X$5)-MONTH($C35)+1)&gt;$D35),0,$E35*IF($G35,1,N(INDEX(Phasing!$I35:$AF35,((YEAR(X$5)-YEAR($C35))*12+MONTH(X$5)-MONTH($C35)+1))))/$F35))</f>
        <v>0</v>
      </c>
      <c r="Y35" s="38" t="n">
        <f aca="false">IF(OR($C35="",$D35="",$F35=0),0,IF(OR(Y$5&lt;=Projects!$C$2,((YEAR(Y$5)-YEAR($C35))*12+MONTH(Y$5)-MONTH($C35)+1)&lt;1,((YEAR(Y$5)-YEAR($C35))*12+MONTH(Y$5)-MONTH($C35)+1)&gt;$D35),0,$E35*IF($G35,1,N(INDEX(Phasing!$I35:$AF35,((YEAR(Y$5)-YEAR($C35))*12+MONTH(Y$5)-MONTH($C35)+1))))/$F35))</f>
        <v>0</v>
      </c>
      <c r="Z35" s="38" t="n">
        <f aca="false">IF(OR($C35="",$D35="",$F35=0),0,IF(OR(Z$5&lt;=Projects!$C$2,((YEAR(Z$5)-YEAR($C35))*12+MONTH(Z$5)-MONTH($C35)+1)&lt;1,((YEAR(Z$5)-YEAR($C35))*12+MONTH(Z$5)-MONTH($C35)+1)&gt;$D35),0,$E35*IF($G35,1,N(INDEX(Phasing!$I35:$AF35,((YEAR(Z$5)-YEAR($C35))*12+MONTH(Z$5)-MONTH($C35)+1))))/$F35))</f>
        <v>0</v>
      </c>
      <c r="AA35" s="38" t="n">
        <f aca="false">IF(OR($C35="",$D35="",$F35=0),0,IF(OR(AA$5&lt;=Projects!$C$2,((YEAR(AA$5)-YEAR($C35))*12+MONTH(AA$5)-MONTH($C35)+1)&lt;1,((YEAR(AA$5)-YEAR($C35))*12+MONTH(AA$5)-MONTH($C35)+1)&gt;$D35),0,$E35*IF($G35,1,N(INDEX(Phasing!$I35:$AF35,((YEAR(AA$5)-YEAR($C35))*12+MONTH(AA$5)-MONTH($C35)+1))))/$F35))</f>
        <v>0</v>
      </c>
      <c r="AB35" s="38" t="n">
        <f aca="false">IF(OR($C35="",$D35="",$F35=0),0,IF(OR(AB$5&lt;=Projects!$C$2,((YEAR(AB$5)-YEAR($C35))*12+MONTH(AB$5)-MONTH($C35)+1)&lt;1,((YEAR(AB$5)-YEAR($C35))*12+MONTH(AB$5)-MONTH($C35)+1)&gt;$D35),0,$E35*IF($G35,1,N(INDEX(Phasing!$I35:$AF35,((YEAR(AB$5)-YEAR($C35))*12+MONTH(AB$5)-MONTH($C35)+1))))/$F35))</f>
        <v>0</v>
      </c>
      <c r="AC35" s="38" t="n">
        <f aca="false">IF(OR($C35="",$D35="",$F35=0),0,IF(OR(AC$5&lt;=Projects!$C$2,((YEAR(AC$5)-YEAR($C35))*12+MONTH(AC$5)-MONTH($C35)+1)&lt;1,((YEAR(AC$5)-YEAR($C35))*12+MONTH(AC$5)-MONTH($C35)+1)&gt;$D35),0,$E35*IF($G35,1,N(INDEX(Phasing!$I35:$AF35,((YEAR(AC$5)-YEAR($C35))*12+MONTH(AC$5)-MONTH($C35)+1))))/$F35))</f>
        <v>0</v>
      </c>
      <c r="AD35" s="38" t="n">
        <f aca="false">IF(OR($C35="",$D35="",$F35=0),0,IF(OR(AD$5&lt;=Projects!$C$2,((YEAR(AD$5)-YEAR($C35))*12+MONTH(AD$5)-MONTH($C35)+1)&lt;1,((YEAR(AD$5)-YEAR($C35))*12+MONTH(AD$5)-MONTH($C35)+1)&gt;$D35),0,$E35*IF($G35,1,N(INDEX(Phasing!$I35:$AF35,((YEAR(AD$5)-YEAR($C35))*12+MONTH(AD$5)-MONTH($C35)+1))))/$F35))</f>
        <v>0</v>
      </c>
      <c r="AE35" s="38" t="n">
        <f aca="false">IF(OR($C35="",$D35="",$F35=0),0,IF(OR(AE$5&lt;=Projects!$C$2,((YEAR(AE$5)-YEAR($C35))*12+MONTH(AE$5)-MONTH($C35)+1)&lt;1,((YEAR(AE$5)-YEAR($C35))*12+MONTH(AE$5)-MONTH($C35)+1)&gt;$D35),0,$E35*IF($G35,1,N(INDEX(Phasing!$I35:$AF35,((YEAR(AE$5)-YEAR($C35))*12+MONTH(AE$5)-MONTH($C35)+1))))/$F35))</f>
        <v>0</v>
      </c>
      <c r="AF35" s="38" t="n">
        <f aca="false">IF(OR($C35="",$D35="",$F35=0),0,IF(OR(AF$5&lt;=Projects!$C$2,((YEAR(AF$5)-YEAR($C35))*12+MONTH(AF$5)-MONTH($C35)+1)&lt;1,((YEAR(AF$5)-YEAR($C35))*12+MONTH(AF$5)-MONTH($C35)+1)&gt;$D35),0,$E35*IF($G35,1,N(INDEX(Phasing!$I35:$AF35,((YEAR(AF$5)-YEAR($C35))*12+MONTH(AF$5)-MONTH($C35)+1))))/$F35))</f>
        <v>0</v>
      </c>
      <c r="AG35" s="38" t="n">
        <f aca="false">IF(OR($C35="",$D35="",$F35=0),0,IF(OR(AG$5&lt;=Projects!$C$2,((YEAR(AG$5)-YEAR($C35))*12+MONTH(AG$5)-MONTH($C35)+1)&lt;1,((YEAR(AG$5)-YEAR($C35))*12+MONTH(AG$5)-MONTH($C35)+1)&gt;$D35),0,$E35*IF($G35,1,N(INDEX(Phasing!$I35:$AF35,((YEAR(AG$5)-YEAR($C35))*12+MONTH(AG$5)-MONTH($C35)+1))))/$F35))</f>
        <v>0</v>
      </c>
      <c r="AH35" s="38" t="n">
        <f aca="false">IF(OR($C35="",$D35="",$F35=0),0,IF(OR(AH$5&lt;=Projects!$C$2,((YEAR(AH$5)-YEAR($C35))*12+MONTH(AH$5)-MONTH($C35)+1)&lt;1,((YEAR(AH$5)-YEAR($C35))*12+MONTH(AH$5)-MONTH($C35)+1)&gt;$D35),0,$E35*IF($G35,1,N(INDEX(Phasing!$I35:$AF35,((YEAR(AH$5)-YEAR($C35))*12+MONTH(AH$5)-MONTH($C35)+1))))/$F35))</f>
        <v>0</v>
      </c>
      <c r="AI35" s="38" t="n">
        <f aca="false">IF(OR($C35="",$D35="",$F35=0),0,IF(OR(AI$5&lt;=Projects!$C$2,((YEAR(AI$5)-YEAR($C35))*12+MONTH(AI$5)-MONTH($C35)+1)&lt;1,((YEAR(AI$5)-YEAR($C35))*12+MONTH(AI$5)-MONTH($C35)+1)&gt;$D35),0,$E35*IF($G35,1,N(INDEX(Phasing!$I35:$AF35,((YEAR(AI$5)-YEAR($C35))*12+MONTH(AI$5)-MONTH($C35)+1))))/$F35))</f>
        <v>0</v>
      </c>
      <c r="AJ35" s="38" t="n">
        <f aca="false">IF(OR($C35="",$D35="",$F35=0),0,IF(OR(AJ$5&lt;=Projects!$C$2,((YEAR(AJ$5)-YEAR($C35))*12+MONTH(AJ$5)-MONTH($C35)+1)&lt;1,((YEAR(AJ$5)-YEAR($C35))*12+MONTH(AJ$5)-MONTH($C35)+1)&gt;$D35),0,$E35*IF($G35,1,N(INDEX(Phasing!$I35:$AF35,((YEAR(AJ$5)-YEAR($C35))*12+MONTH(AJ$5)-MONTH($C35)+1))))/$F35))</f>
        <v>0</v>
      </c>
      <c r="AK35" s="38" t="n">
        <f aca="false">IF(OR($C35="",$D35="",$F35=0),0,IF(OR(AK$5&lt;=Projects!$C$2,((YEAR(AK$5)-YEAR($C35))*12+MONTH(AK$5)-MONTH($C35)+1)&lt;1,((YEAR(AK$5)-YEAR($C35))*12+MONTH(AK$5)-MONTH($C35)+1)&gt;$D35),0,$E35*IF($G35,1,N(INDEX(Phasing!$I35:$AF35,((YEAR(AK$5)-YEAR($C35))*12+MONTH(AK$5)-MONTH($C35)+1))))/$F35))</f>
        <v>0</v>
      </c>
      <c r="AL35" s="38" t="n">
        <f aca="false">IF(OR($C35="",$D35="",$F35=0),0,IF(OR(AL$5&lt;=Projects!$C$2,((YEAR(AL$5)-YEAR($C35))*12+MONTH(AL$5)-MONTH($C35)+1)&lt;1,((YEAR(AL$5)-YEAR($C35))*12+MONTH(AL$5)-MONTH($C35)+1)&gt;$D35),0,$E35*IF($G35,1,N(INDEX(Phasing!$I35:$AF35,((YEAR(AL$5)-YEAR($C35))*12+MONTH(AL$5)-MONTH($C35)+1))))/$F35))</f>
        <v>0</v>
      </c>
      <c r="AM35" s="38" t="n">
        <f aca="false">IF(OR($C35="",$D35="",$F35=0),0,IF(OR(AM$5&lt;=Projects!$C$2,((YEAR(AM$5)-YEAR($C35))*12+MONTH(AM$5)-MONTH($C35)+1)&lt;1,((YEAR(AM$5)-YEAR($C35))*12+MONTH(AM$5)-MONTH($C35)+1)&gt;$D35),0,$E35*IF($G35,1,N(INDEX(Phasing!$I35:$AF35,((YEAR(AM$5)-YEAR($C35))*12+MONTH(AM$5)-MONTH($C35)+1))))/$F35))</f>
        <v>0</v>
      </c>
      <c r="AN35" s="38" t="n">
        <f aca="false">IF(OR($C35="",$D35="",$F35=0),0,IF(OR(AN$5&lt;=Projects!$C$2,((YEAR(AN$5)-YEAR($C35))*12+MONTH(AN$5)-MONTH($C35)+1)&lt;1,((YEAR(AN$5)-YEAR($C35))*12+MONTH(AN$5)-MONTH($C35)+1)&gt;$D35),0,$E35*IF($G35,1,N(INDEX(Phasing!$I35:$AF35,((YEAR(AN$5)-YEAR($C35))*12+MONTH(AN$5)-MONTH($C35)+1))))/$F35))</f>
        <v>0</v>
      </c>
      <c r="AO35" s="38" t="n">
        <f aca="false">IF(OR($C35="",$D35="",$F35=0),0,IF(OR(AO$5&lt;=Projects!$C$2,((YEAR(AO$5)-YEAR($C35))*12+MONTH(AO$5)-MONTH($C35)+1)&lt;1,((YEAR(AO$5)-YEAR($C35))*12+MONTH(AO$5)-MONTH($C35)+1)&gt;$D35),0,$E35*IF($G35,1,N(INDEX(Phasing!$I35:$AF35,((YEAR(AO$5)-YEAR($C35))*12+MONTH(AO$5)-MONTH($C35)+1))))/$F35))</f>
        <v>0</v>
      </c>
      <c r="AP35" s="38" t="n">
        <f aca="false">IF(OR($C35="",$D35="",$F35=0),0,IF(OR(AP$5&lt;=Projects!$C$2,((YEAR(AP$5)-YEAR($C35))*12+MONTH(AP$5)-MONTH($C35)+1)&lt;1,((YEAR(AP$5)-YEAR($C35))*12+MONTH(AP$5)-MONTH($C35)+1)&gt;$D35),0,$E35*IF($G35,1,N(INDEX(Phasing!$I35:$AF35,((YEAR(AP$5)-YEAR($C35))*12+MONTH(AP$5)-MONTH($C35)+1))))/$F35))</f>
        <v>0</v>
      </c>
      <c r="AQ35" s="38" t="n">
        <f aca="false">IF(OR($C35="",$D35="",$F35=0),0,IF(OR(AQ$5&lt;=Projects!$C$2,((YEAR(AQ$5)-YEAR($C35))*12+MONTH(AQ$5)-MONTH($C35)+1)&lt;1,((YEAR(AQ$5)-YEAR($C35))*12+MONTH(AQ$5)-MONTH($C35)+1)&gt;$D35),0,$E35*IF($G35,1,N(INDEX(Phasing!$I35:$AF35,((YEAR(AQ$5)-YEAR($C35))*12+MONTH(AQ$5)-MONTH($C35)+1))))/$F35))</f>
        <v>0</v>
      </c>
    </row>
    <row r="36" customFormat="false" ht="15" hidden="false" customHeight="false" outlineLevel="0" collapsed="false">
      <c r="A36" s="11" t="n">
        <v>31</v>
      </c>
      <c r="B36" s="21" t="str">
        <f aca="false">IF(Projects!B36="","",Projects!B36)</f>
        <v/>
      </c>
      <c r="C36" s="31" t="str">
        <f aca="false">IF(Projects!D36="","",Projects!D36)</f>
        <v/>
      </c>
      <c r="D36" s="21" t="str">
        <f aca="false">IF(Projects!E36="","",Projects!E36)</f>
        <v/>
      </c>
      <c r="E36" s="33" t="n">
        <f aca="false">IF(Projects!B36="",0,N(Projects!I36))</f>
        <v>0</v>
      </c>
      <c r="F36" s="21" t="n">
        <f aca="false">Phasing!G36</f>
        <v>0</v>
      </c>
      <c r="G36" s="48" t="b">
        <f aca="false">Phasing!D36=0</f>
        <v>1</v>
      </c>
      <c r="H36" s="38" t="n">
        <f aca="false">IF(OR($C36="",$D36="",$F36=0),0,IF(OR(H$5&lt;=Projects!$C$2,((YEAR(H$5)-YEAR($C36))*12+MONTH(H$5)-MONTH($C36)+1)&lt;1,((YEAR(H$5)-YEAR($C36))*12+MONTH(H$5)-MONTH($C36)+1)&gt;$D36),0,$E36*IF($G36,1,N(INDEX(Phasing!$I36:$AF36,((YEAR(H$5)-YEAR($C36))*12+MONTH(H$5)-MONTH($C36)+1))))/$F36))</f>
        <v>0</v>
      </c>
      <c r="I36" s="38" t="n">
        <f aca="false">IF(OR($C36="",$D36="",$F36=0),0,IF(OR(I$5&lt;=Projects!$C$2,((YEAR(I$5)-YEAR($C36))*12+MONTH(I$5)-MONTH($C36)+1)&lt;1,((YEAR(I$5)-YEAR($C36))*12+MONTH(I$5)-MONTH($C36)+1)&gt;$D36),0,$E36*IF($G36,1,N(INDEX(Phasing!$I36:$AF36,((YEAR(I$5)-YEAR($C36))*12+MONTH(I$5)-MONTH($C36)+1))))/$F36))</f>
        <v>0</v>
      </c>
      <c r="J36" s="38" t="n">
        <f aca="false">IF(OR($C36="",$D36="",$F36=0),0,IF(OR(J$5&lt;=Projects!$C$2,((YEAR(J$5)-YEAR($C36))*12+MONTH(J$5)-MONTH($C36)+1)&lt;1,((YEAR(J$5)-YEAR($C36))*12+MONTH(J$5)-MONTH($C36)+1)&gt;$D36),0,$E36*IF($G36,1,N(INDEX(Phasing!$I36:$AF36,((YEAR(J$5)-YEAR($C36))*12+MONTH(J$5)-MONTH($C36)+1))))/$F36))</f>
        <v>0</v>
      </c>
      <c r="K36" s="38" t="n">
        <f aca="false">IF(OR($C36="",$D36="",$F36=0),0,IF(OR(K$5&lt;=Projects!$C$2,((YEAR(K$5)-YEAR($C36))*12+MONTH(K$5)-MONTH($C36)+1)&lt;1,((YEAR(K$5)-YEAR($C36))*12+MONTH(K$5)-MONTH($C36)+1)&gt;$D36),0,$E36*IF($G36,1,N(INDEX(Phasing!$I36:$AF36,((YEAR(K$5)-YEAR($C36))*12+MONTH(K$5)-MONTH($C36)+1))))/$F36))</f>
        <v>0</v>
      </c>
      <c r="L36" s="38" t="n">
        <f aca="false">IF(OR($C36="",$D36="",$F36=0),0,IF(OR(L$5&lt;=Projects!$C$2,((YEAR(L$5)-YEAR($C36))*12+MONTH(L$5)-MONTH($C36)+1)&lt;1,((YEAR(L$5)-YEAR($C36))*12+MONTH(L$5)-MONTH($C36)+1)&gt;$D36),0,$E36*IF($G36,1,N(INDEX(Phasing!$I36:$AF36,((YEAR(L$5)-YEAR($C36))*12+MONTH(L$5)-MONTH($C36)+1))))/$F36))</f>
        <v>0</v>
      </c>
      <c r="M36" s="38" t="n">
        <f aca="false">IF(OR($C36="",$D36="",$F36=0),0,IF(OR(M$5&lt;=Projects!$C$2,((YEAR(M$5)-YEAR($C36))*12+MONTH(M$5)-MONTH($C36)+1)&lt;1,((YEAR(M$5)-YEAR($C36))*12+MONTH(M$5)-MONTH($C36)+1)&gt;$D36),0,$E36*IF($G36,1,N(INDEX(Phasing!$I36:$AF36,((YEAR(M$5)-YEAR($C36))*12+MONTH(M$5)-MONTH($C36)+1))))/$F36))</f>
        <v>0</v>
      </c>
      <c r="N36" s="38" t="n">
        <f aca="false">IF(OR($C36="",$D36="",$F36=0),0,IF(OR(N$5&lt;=Projects!$C$2,((YEAR(N$5)-YEAR($C36))*12+MONTH(N$5)-MONTH($C36)+1)&lt;1,((YEAR(N$5)-YEAR($C36))*12+MONTH(N$5)-MONTH($C36)+1)&gt;$D36),0,$E36*IF($G36,1,N(INDEX(Phasing!$I36:$AF36,((YEAR(N$5)-YEAR($C36))*12+MONTH(N$5)-MONTH($C36)+1))))/$F36))</f>
        <v>0</v>
      </c>
      <c r="O36" s="38" t="n">
        <f aca="false">IF(OR($C36="",$D36="",$F36=0),0,IF(OR(O$5&lt;=Projects!$C$2,((YEAR(O$5)-YEAR($C36))*12+MONTH(O$5)-MONTH($C36)+1)&lt;1,((YEAR(O$5)-YEAR($C36))*12+MONTH(O$5)-MONTH($C36)+1)&gt;$D36),0,$E36*IF($G36,1,N(INDEX(Phasing!$I36:$AF36,((YEAR(O$5)-YEAR($C36))*12+MONTH(O$5)-MONTH($C36)+1))))/$F36))</f>
        <v>0</v>
      </c>
      <c r="P36" s="38" t="n">
        <f aca="false">IF(OR($C36="",$D36="",$F36=0),0,IF(OR(P$5&lt;=Projects!$C$2,((YEAR(P$5)-YEAR($C36))*12+MONTH(P$5)-MONTH($C36)+1)&lt;1,((YEAR(P$5)-YEAR($C36))*12+MONTH(P$5)-MONTH($C36)+1)&gt;$D36),0,$E36*IF($G36,1,N(INDEX(Phasing!$I36:$AF36,((YEAR(P$5)-YEAR($C36))*12+MONTH(P$5)-MONTH($C36)+1))))/$F36))</f>
        <v>0</v>
      </c>
      <c r="Q36" s="38" t="n">
        <f aca="false">IF(OR($C36="",$D36="",$F36=0),0,IF(OR(Q$5&lt;=Projects!$C$2,((YEAR(Q$5)-YEAR($C36))*12+MONTH(Q$5)-MONTH($C36)+1)&lt;1,((YEAR(Q$5)-YEAR($C36))*12+MONTH(Q$5)-MONTH($C36)+1)&gt;$D36),0,$E36*IF($G36,1,N(INDEX(Phasing!$I36:$AF36,((YEAR(Q$5)-YEAR($C36))*12+MONTH(Q$5)-MONTH($C36)+1))))/$F36))</f>
        <v>0</v>
      </c>
      <c r="R36" s="38" t="n">
        <f aca="false">IF(OR($C36="",$D36="",$F36=0),0,IF(OR(R$5&lt;=Projects!$C$2,((YEAR(R$5)-YEAR($C36))*12+MONTH(R$5)-MONTH($C36)+1)&lt;1,((YEAR(R$5)-YEAR($C36))*12+MONTH(R$5)-MONTH($C36)+1)&gt;$D36),0,$E36*IF($G36,1,N(INDEX(Phasing!$I36:$AF36,((YEAR(R$5)-YEAR($C36))*12+MONTH(R$5)-MONTH($C36)+1))))/$F36))</f>
        <v>0</v>
      </c>
      <c r="S36" s="38" t="n">
        <f aca="false">IF(OR($C36="",$D36="",$F36=0),0,IF(OR(S$5&lt;=Projects!$C$2,((YEAR(S$5)-YEAR($C36))*12+MONTH(S$5)-MONTH($C36)+1)&lt;1,((YEAR(S$5)-YEAR($C36))*12+MONTH(S$5)-MONTH($C36)+1)&gt;$D36),0,$E36*IF($G36,1,N(INDEX(Phasing!$I36:$AF36,((YEAR(S$5)-YEAR($C36))*12+MONTH(S$5)-MONTH($C36)+1))))/$F36))</f>
        <v>0</v>
      </c>
      <c r="T36" s="38" t="n">
        <f aca="false">IF(OR($C36="",$D36="",$F36=0),0,IF(OR(T$5&lt;=Projects!$C$2,((YEAR(T$5)-YEAR($C36))*12+MONTH(T$5)-MONTH($C36)+1)&lt;1,((YEAR(T$5)-YEAR($C36))*12+MONTH(T$5)-MONTH($C36)+1)&gt;$D36),0,$E36*IF($G36,1,N(INDEX(Phasing!$I36:$AF36,((YEAR(T$5)-YEAR($C36))*12+MONTH(T$5)-MONTH($C36)+1))))/$F36))</f>
        <v>0</v>
      </c>
      <c r="U36" s="38" t="n">
        <f aca="false">IF(OR($C36="",$D36="",$F36=0),0,IF(OR(U$5&lt;=Projects!$C$2,((YEAR(U$5)-YEAR($C36))*12+MONTH(U$5)-MONTH($C36)+1)&lt;1,((YEAR(U$5)-YEAR($C36))*12+MONTH(U$5)-MONTH($C36)+1)&gt;$D36),0,$E36*IF($G36,1,N(INDEX(Phasing!$I36:$AF36,((YEAR(U$5)-YEAR($C36))*12+MONTH(U$5)-MONTH($C36)+1))))/$F36))</f>
        <v>0</v>
      </c>
      <c r="V36" s="38" t="n">
        <f aca="false">IF(OR($C36="",$D36="",$F36=0),0,IF(OR(V$5&lt;=Projects!$C$2,((YEAR(V$5)-YEAR($C36))*12+MONTH(V$5)-MONTH($C36)+1)&lt;1,((YEAR(V$5)-YEAR($C36))*12+MONTH(V$5)-MONTH($C36)+1)&gt;$D36),0,$E36*IF($G36,1,N(INDEX(Phasing!$I36:$AF36,((YEAR(V$5)-YEAR($C36))*12+MONTH(V$5)-MONTH($C36)+1))))/$F36))</f>
        <v>0</v>
      </c>
      <c r="W36" s="38" t="n">
        <f aca="false">IF(OR($C36="",$D36="",$F36=0),0,IF(OR(W$5&lt;=Projects!$C$2,((YEAR(W$5)-YEAR($C36))*12+MONTH(W$5)-MONTH($C36)+1)&lt;1,((YEAR(W$5)-YEAR($C36))*12+MONTH(W$5)-MONTH($C36)+1)&gt;$D36),0,$E36*IF($G36,1,N(INDEX(Phasing!$I36:$AF36,((YEAR(W$5)-YEAR($C36))*12+MONTH(W$5)-MONTH($C36)+1))))/$F36))</f>
        <v>0</v>
      </c>
      <c r="X36" s="38" t="n">
        <f aca="false">IF(OR($C36="",$D36="",$F36=0),0,IF(OR(X$5&lt;=Projects!$C$2,((YEAR(X$5)-YEAR($C36))*12+MONTH(X$5)-MONTH($C36)+1)&lt;1,((YEAR(X$5)-YEAR($C36))*12+MONTH(X$5)-MONTH($C36)+1)&gt;$D36),0,$E36*IF($G36,1,N(INDEX(Phasing!$I36:$AF36,((YEAR(X$5)-YEAR($C36))*12+MONTH(X$5)-MONTH($C36)+1))))/$F36))</f>
        <v>0</v>
      </c>
      <c r="Y36" s="38" t="n">
        <f aca="false">IF(OR($C36="",$D36="",$F36=0),0,IF(OR(Y$5&lt;=Projects!$C$2,((YEAR(Y$5)-YEAR($C36))*12+MONTH(Y$5)-MONTH($C36)+1)&lt;1,((YEAR(Y$5)-YEAR($C36))*12+MONTH(Y$5)-MONTH($C36)+1)&gt;$D36),0,$E36*IF($G36,1,N(INDEX(Phasing!$I36:$AF36,((YEAR(Y$5)-YEAR($C36))*12+MONTH(Y$5)-MONTH($C36)+1))))/$F36))</f>
        <v>0</v>
      </c>
      <c r="Z36" s="38" t="n">
        <f aca="false">IF(OR($C36="",$D36="",$F36=0),0,IF(OR(Z$5&lt;=Projects!$C$2,((YEAR(Z$5)-YEAR($C36))*12+MONTH(Z$5)-MONTH($C36)+1)&lt;1,((YEAR(Z$5)-YEAR($C36))*12+MONTH(Z$5)-MONTH($C36)+1)&gt;$D36),0,$E36*IF($G36,1,N(INDEX(Phasing!$I36:$AF36,((YEAR(Z$5)-YEAR($C36))*12+MONTH(Z$5)-MONTH($C36)+1))))/$F36))</f>
        <v>0</v>
      </c>
      <c r="AA36" s="38" t="n">
        <f aca="false">IF(OR($C36="",$D36="",$F36=0),0,IF(OR(AA$5&lt;=Projects!$C$2,((YEAR(AA$5)-YEAR($C36))*12+MONTH(AA$5)-MONTH($C36)+1)&lt;1,((YEAR(AA$5)-YEAR($C36))*12+MONTH(AA$5)-MONTH($C36)+1)&gt;$D36),0,$E36*IF($G36,1,N(INDEX(Phasing!$I36:$AF36,((YEAR(AA$5)-YEAR($C36))*12+MONTH(AA$5)-MONTH($C36)+1))))/$F36))</f>
        <v>0</v>
      </c>
      <c r="AB36" s="38" t="n">
        <f aca="false">IF(OR($C36="",$D36="",$F36=0),0,IF(OR(AB$5&lt;=Projects!$C$2,((YEAR(AB$5)-YEAR($C36))*12+MONTH(AB$5)-MONTH($C36)+1)&lt;1,((YEAR(AB$5)-YEAR($C36))*12+MONTH(AB$5)-MONTH($C36)+1)&gt;$D36),0,$E36*IF($G36,1,N(INDEX(Phasing!$I36:$AF36,((YEAR(AB$5)-YEAR($C36))*12+MONTH(AB$5)-MONTH($C36)+1))))/$F36))</f>
        <v>0</v>
      </c>
      <c r="AC36" s="38" t="n">
        <f aca="false">IF(OR($C36="",$D36="",$F36=0),0,IF(OR(AC$5&lt;=Projects!$C$2,((YEAR(AC$5)-YEAR($C36))*12+MONTH(AC$5)-MONTH($C36)+1)&lt;1,((YEAR(AC$5)-YEAR($C36))*12+MONTH(AC$5)-MONTH($C36)+1)&gt;$D36),0,$E36*IF($G36,1,N(INDEX(Phasing!$I36:$AF36,((YEAR(AC$5)-YEAR($C36))*12+MONTH(AC$5)-MONTH($C36)+1))))/$F36))</f>
        <v>0</v>
      </c>
      <c r="AD36" s="38" t="n">
        <f aca="false">IF(OR($C36="",$D36="",$F36=0),0,IF(OR(AD$5&lt;=Projects!$C$2,((YEAR(AD$5)-YEAR($C36))*12+MONTH(AD$5)-MONTH($C36)+1)&lt;1,((YEAR(AD$5)-YEAR($C36))*12+MONTH(AD$5)-MONTH($C36)+1)&gt;$D36),0,$E36*IF($G36,1,N(INDEX(Phasing!$I36:$AF36,((YEAR(AD$5)-YEAR($C36))*12+MONTH(AD$5)-MONTH($C36)+1))))/$F36))</f>
        <v>0</v>
      </c>
      <c r="AE36" s="38" t="n">
        <f aca="false">IF(OR($C36="",$D36="",$F36=0),0,IF(OR(AE$5&lt;=Projects!$C$2,((YEAR(AE$5)-YEAR($C36))*12+MONTH(AE$5)-MONTH($C36)+1)&lt;1,((YEAR(AE$5)-YEAR($C36))*12+MONTH(AE$5)-MONTH($C36)+1)&gt;$D36),0,$E36*IF($G36,1,N(INDEX(Phasing!$I36:$AF36,((YEAR(AE$5)-YEAR($C36))*12+MONTH(AE$5)-MONTH($C36)+1))))/$F36))</f>
        <v>0</v>
      </c>
      <c r="AF36" s="38" t="n">
        <f aca="false">IF(OR($C36="",$D36="",$F36=0),0,IF(OR(AF$5&lt;=Projects!$C$2,((YEAR(AF$5)-YEAR($C36))*12+MONTH(AF$5)-MONTH($C36)+1)&lt;1,((YEAR(AF$5)-YEAR($C36))*12+MONTH(AF$5)-MONTH($C36)+1)&gt;$D36),0,$E36*IF($G36,1,N(INDEX(Phasing!$I36:$AF36,((YEAR(AF$5)-YEAR($C36))*12+MONTH(AF$5)-MONTH($C36)+1))))/$F36))</f>
        <v>0</v>
      </c>
      <c r="AG36" s="38" t="n">
        <f aca="false">IF(OR($C36="",$D36="",$F36=0),0,IF(OR(AG$5&lt;=Projects!$C$2,((YEAR(AG$5)-YEAR($C36))*12+MONTH(AG$5)-MONTH($C36)+1)&lt;1,((YEAR(AG$5)-YEAR($C36))*12+MONTH(AG$5)-MONTH($C36)+1)&gt;$D36),0,$E36*IF($G36,1,N(INDEX(Phasing!$I36:$AF36,((YEAR(AG$5)-YEAR($C36))*12+MONTH(AG$5)-MONTH($C36)+1))))/$F36))</f>
        <v>0</v>
      </c>
      <c r="AH36" s="38" t="n">
        <f aca="false">IF(OR($C36="",$D36="",$F36=0),0,IF(OR(AH$5&lt;=Projects!$C$2,((YEAR(AH$5)-YEAR($C36))*12+MONTH(AH$5)-MONTH($C36)+1)&lt;1,((YEAR(AH$5)-YEAR($C36))*12+MONTH(AH$5)-MONTH($C36)+1)&gt;$D36),0,$E36*IF($G36,1,N(INDEX(Phasing!$I36:$AF36,((YEAR(AH$5)-YEAR($C36))*12+MONTH(AH$5)-MONTH($C36)+1))))/$F36))</f>
        <v>0</v>
      </c>
      <c r="AI36" s="38" t="n">
        <f aca="false">IF(OR($C36="",$D36="",$F36=0),0,IF(OR(AI$5&lt;=Projects!$C$2,((YEAR(AI$5)-YEAR($C36))*12+MONTH(AI$5)-MONTH($C36)+1)&lt;1,((YEAR(AI$5)-YEAR($C36))*12+MONTH(AI$5)-MONTH($C36)+1)&gt;$D36),0,$E36*IF($G36,1,N(INDEX(Phasing!$I36:$AF36,((YEAR(AI$5)-YEAR($C36))*12+MONTH(AI$5)-MONTH($C36)+1))))/$F36))</f>
        <v>0</v>
      </c>
      <c r="AJ36" s="38" t="n">
        <f aca="false">IF(OR($C36="",$D36="",$F36=0),0,IF(OR(AJ$5&lt;=Projects!$C$2,((YEAR(AJ$5)-YEAR($C36))*12+MONTH(AJ$5)-MONTH($C36)+1)&lt;1,((YEAR(AJ$5)-YEAR($C36))*12+MONTH(AJ$5)-MONTH($C36)+1)&gt;$D36),0,$E36*IF($G36,1,N(INDEX(Phasing!$I36:$AF36,((YEAR(AJ$5)-YEAR($C36))*12+MONTH(AJ$5)-MONTH($C36)+1))))/$F36))</f>
        <v>0</v>
      </c>
      <c r="AK36" s="38" t="n">
        <f aca="false">IF(OR($C36="",$D36="",$F36=0),0,IF(OR(AK$5&lt;=Projects!$C$2,((YEAR(AK$5)-YEAR($C36))*12+MONTH(AK$5)-MONTH($C36)+1)&lt;1,((YEAR(AK$5)-YEAR($C36))*12+MONTH(AK$5)-MONTH($C36)+1)&gt;$D36),0,$E36*IF($G36,1,N(INDEX(Phasing!$I36:$AF36,((YEAR(AK$5)-YEAR($C36))*12+MONTH(AK$5)-MONTH($C36)+1))))/$F36))</f>
        <v>0</v>
      </c>
      <c r="AL36" s="38" t="n">
        <f aca="false">IF(OR($C36="",$D36="",$F36=0),0,IF(OR(AL$5&lt;=Projects!$C$2,((YEAR(AL$5)-YEAR($C36))*12+MONTH(AL$5)-MONTH($C36)+1)&lt;1,((YEAR(AL$5)-YEAR($C36))*12+MONTH(AL$5)-MONTH($C36)+1)&gt;$D36),0,$E36*IF($G36,1,N(INDEX(Phasing!$I36:$AF36,((YEAR(AL$5)-YEAR($C36))*12+MONTH(AL$5)-MONTH($C36)+1))))/$F36))</f>
        <v>0</v>
      </c>
      <c r="AM36" s="38" t="n">
        <f aca="false">IF(OR($C36="",$D36="",$F36=0),0,IF(OR(AM$5&lt;=Projects!$C$2,((YEAR(AM$5)-YEAR($C36))*12+MONTH(AM$5)-MONTH($C36)+1)&lt;1,((YEAR(AM$5)-YEAR($C36))*12+MONTH(AM$5)-MONTH($C36)+1)&gt;$D36),0,$E36*IF($G36,1,N(INDEX(Phasing!$I36:$AF36,((YEAR(AM$5)-YEAR($C36))*12+MONTH(AM$5)-MONTH($C36)+1))))/$F36))</f>
        <v>0</v>
      </c>
      <c r="AN36" s="38" t="n">
        <f aca="false">IF(OR($C36="",$D36="",$F36=0),0,IF(OR(AN$5&lt;=Projects!$C$2,((YEAR(AN$5)-YEAR($C36))*12+MONTH(AN$5)-MONTH($C36)+1)&lt;1,((YEAR(AN$5)-YEAR($C36))*12+MONTH(AN$5)-MONTH($C36)+1)&gt;$D36),0,$E36*IF($G36,1,N(INDEX(Phasing!$I36:$AF36,((YEAR(AN$5)-YEAR($C36))*12+MONTH(AN$5)-MONTH($C36)+1))))/$F36))</f>
        <v>0</v>
      </c>
      <c r="AO36" s="38" t="n">
        <f aca="false">IF(OR($C36="",$D36="",$F36=0),0,IF(OR(AO$5&lt;=Projects!$C$2,((YEAR(AO$5)-YEAR($C36))*12+MONTH(AO$5)-MONTH($C36)+1)&lt;1,((YEAR(AO$5)-YEAR($C36))*12+MONTH(AO$5)-MONTH($C36)+1)&gt;$D36),0,$E36*IF($G36,1,N(INDEX(Phasing!$I36:$AF36,((YEAR(AO$5)-YEAR($C36))*12+MONTH(AO$5)-MONTH($C36)+1))))/$F36))</f>
        <v>0</v>
      </c>
      <c r="AP36" s="38" t="n">
        <f aca="false">IF(OR($C36="",$D36="",$F36=0),0,IF(OR(AP$5&lt;=Projects!$C$2,((YEAR(AP$5)-YEAR($C36))*12+MONTH(AP$5)-MONTH($C36)+1)&lt;1,((YEAR(AP$5)-YEAR($C36))*12+MONTH(AP$5)-MONTH($C36)+1)&gt;$D36),0,$E36*IF($G36,1,N(INDEX(Phasing!$I36:$AF36,((YEAR(AP$5)-YEAR($C36))*12+MONTH(AP$5)-MONTH($C36)+1))))/$F36))</f>
        <v>0</v>
      </c>
      <c r="AQ36" s="38" t="n">
        <f aca="false">IF(OR($C36="",$D36="",$F36=0),0,IF(OR(AQ$5&lt;=Projects!$C$2,((YEAR(AQ$5)-YEAR($C36))*12+MONTH(AQ$5)-MONTH($C36)+1)&lt;1,((YEAR(AQ$5)-YEAR($C36))*12+MONTH(AQ$5)-MONTH($C36)+1)&gt;$D36),0,$E36*IF($G36,1,N(INDEX(Phasing!$I36:$AF36,((YEAR(AQ$5)-YEAR($C36))*12+MONTH(AQ$5)-MONTH($C36)+1))))/$F36))</f>
        <v>0</v>
      </c>
    </row>
    <row r="37" customFormat="false" ht="15" hidden="false" customHeight="false" outlineLevel="0" collapsed="false">
      <c r="A37" s="11" t="n">
        <v>32</v>
      </c>
      <c r="B37" s="21" t="str">
        <f aca="false">IF(Projects!B37="","",Projects!B37)</f>
        <v/>
      </c>
      <c r="C37" s="31" t="str">
        <f aca="false">IF(Projects!D37="","",Projects!D37)</f>
        <v/>
      </c>
      <c r="D37" s="21" t="str">
        <f aca="false">IF(Projects!E37="","",Projects!E37)</f>
        <v/>
      </c>
      <c r="E37" s="33" t="n">
        <f aca="false">IF(Projects!B37="",0,N(Projects!I37))</f>
        <v>0</v>
      </c>
      <c r="F37" s="21" t="n">
        <f aca="false">Phasing!G37</f>
        <v>0</v>
      </c>
      <c r="G37" s="48" t="b">
        <f aca="false">Phasing!D37=0</f>
        <v>1</v>
      </c>
      <c r="H37" s="38" t="n">
        <f aca="false">IF(OR($C37="",$D37="",$F37=0),0,IF(OR(H$5&lt;=Projects!$C$2,((YEAR(H$5)-YEAR($C37))*12+MONTH(H$5)-MONTH($C37)+1)&lt;1,((YEAR(H$5)-YEAR($C37))*12+MONTH(H$5)-MONTH($C37)+1)&gt;$D37),0,$E37*IF($G37,1,N(INDEX(Phasing!$I37:$AF37,((YEAR(H$5)-YEAR($C37))*12+MONTH(H$5)-MONTH($C37)+1))))/$F37))</f>
        <v>0</v>
      </c>
      <c r="I37" s="38" t="n">
        <f aca="false">IF(OR($C37="",$D37="",$F37=0),0,IF(OR(I$5&lt;=Projects!$C$2,((YEAR(I$5)-YEAR($C37))*12+MONTH(I$5)-MONTH($C37)+1)&lt;1,((YEAR(I$5)-YEAR($C37))*12+MONTH(I$5)-MONTH($C37)+1)&gt;$D37),0,$E37*IF($G37,1,N(INDEX(Phasing!$I37:$AF37,((YEAR(I$5)-YEAR($C37))*12+MONTH(I$5)-MONTH($C37)+1))))/$F37))</f>
        <v>0</v>
      </c>
      <c r="J37" s="38" t="n">
        <f aca="false">IF(OR($C37="",$D37="",$F37=0),0,IF(OR(J$5&lt;=Projects!$C$2,((YEAR(J$5)-YEAR($C37))*12+MONTH(J$5)-MONTH($C37)+1)&lt;1,((YEAR(J$5)-YEAR($C37))*12+MONTH(J$5)-MONTH($C37)+1)&gt;$D37),0,$E37*IF($G37,1,N(INDEX(Phasing!$I37:$AF37,((YEAR(J$5)-YEAR($C37))*12+MONTH(J$5)-MONTH($C37)+1))))/$F37))</f>
        <v>0</v>
      </c>
      <c r="K37" s="38" t="n">
        <f aca="false">IF(OR($C37="",$D37="",$F37=0),0,IF(OR(K$5&lt;=Projects!$C$2,((YEAR(K$5)-YEAR($C37))*12+MONTH(K$5)-MONTH($C37)+1)&lt;1,((YEAR(K$5)-YEAR($C37))*12+MONTH(K$5)-MONTH($C37)+1)&gt;$D37),0,$E37*IF($G37,1,N(INDEX(Phasing!$I37:$AF37,((YEAR(K$5)-YEAR($C37))*12+MONTH(K$5)-MONTH($C37)+1))))/$F37))</f>
        <v>0</v>
      </c>
      <c r="L37" s="38" t="n">
        <f aca="false">IF(OR($C37="",$D37="",$F37=0),0,IF(OR(L$5&lt;=Projects!$C$2,((YEAR(L$5)-YEAR($C37))*12+MONTH(L$5)-MONTH($C37)+1)&lt;1,((YEAR(L$5)-YEAR($C37))*12+MONTH(L$5)-MONTH($C37)+1)&gt;$D37),0,$E37*IF($G37,1,N(INDEX(Phasing!$I37:$AF37,((YEAR(L$5)-YEAR($C37))*12+MONTH(L$5)-MONTH($C37)+1))))/$F37))</f>
        <v>0</v>
      </c>
      <c r="M37" s="38" t="n">
        <f aca="false">IF(OR($C37="",$D37="",$F37=0),0,IF(OR(M$5&lt;=Projects!$C$2,((YEAR(M$5)-YEAR($C37))*12+MONTH(M$5)-MONTH($C37)+1)&lt;1,((YEAR(M$5)-YEAR($C37))*12+MONTH(M$5)-MONTH($C37)+1)&gt;$D37),0,$E37*IF($G37,1,N(INDEX(Phasing!$I37:$AF37,((YEAR(M$5)-YEAR($C37))*12+MONTH(M$5)-MONTH($C37)+1))))/$F37))</f>
        <v>0</v>
      </c>
      <c r="N37" s="38" t="n">
        <f aca="false">IF(OR($C37="",$D37="",$F37=0),0,IF(OR(N$5&lt;=Projects!$C$2,((YEAR(N$5)-YEAR($C37))*12+MONTH(N$5)-MONTH($C37)+1)&lt;1,((YEAR(N$5)-YEAR($C37))*12+MONTH(N$5)-MONTH($C37)+1)&gt;$D37),0,$E37*IF($G37,1,N(INDEX(Phasing!$I37:$AF37,((YEAR(N$5)-YEAR($C37))*12+MONTH(N$5)-MONTH($C37)+1))))/$F37))</f>
        <v>0</v>
      </c>
      <c r="O37" s="38" t="n">
        <f aca="false">IF(OR($C37="",$D37="",$F37=0),0,IF(OR(O$5&lt;=Projects!$C$2,((YEAR(O$5)-YEAR($C37))*12+MONTH(O$5)-MONTH($C37)+1)&lt;1,((YEAR(O$5)-YEAR($C37))*12+MONTH(O$5)-MONTH($C37)+1)&gt;$D37),0,$E37*IF($G37,1,N(INDEX(Phasing!$I37:$AF37,((YEAR(O$5)-YEAR($C37))*12+MONTH(O$5)-MONTH($C37)+1))))/$F37))</f>
        <v>0</v>
      </c>
      <c r="P37" s="38" t="n">
        <f aca="false">IF(OR($C37="",$D37="",$F37=0),0,IF(OR(P$5&lt;=Projects!$C$2,((YEAR(P$5)-YEAR($C37))*12+MONTH(P$5)-MONTH($C37)+1)&lt;1,((YEAR(P$5)-YEAR($C37))*12+MONTH(P$5)-MONTH($C37)+1)&gt;$D37),0,$E37*IF($G37,1,N(INDEX(Phasing!$I37:$AF37,((YEAR(P$5)-YEAR($C37))*12+MONTH(P$5)-MONTH($C37)+1))))/$F37))</f>
        <v>0</v>
      </c>
      <c r="Q37" s="38" t="n">
        <f aca="false">IF(OR($C37="",$D37="",$F37=0),0,IF(OR(Q$5&lt;=Projects!$C$2,((YEAR(Q$5)-YEAR($C37))*12+MONTH(Q$5)-MONTH($C37)+1)&lt;1,((YEAR(Q$5)-YEAR($C37))*12+MONTH(Q$5)-MONTH($C37)+1)&gt;$D37),0,$E37*IF($G37,1,N(INDEX(Phasing!$I37:$AF37,((YEAR(Q$5)-YEAR($C37))*12+MONTH(Q$5)-MONTH($C37)+1))))/$F37))</f>
        <v>0</v>
      </c>
      <c r="R37" s="38" t="n">
        <f aca="false">IF(OR($C37="",$D37="",$F37=0),0,IF(OR(R$5&lt;=Projects!$C$2,((YEAR(R$5)-YEAR($C37))*12+MONTH(R$5)-MONTH($C37)+1)&lt;1,((YEAR(R$5)-YEAR($C37))*12+MONTH(R$5)-MONTH($C37)+1)&gt;$D37),0,$E37*IF($G37,1,N(INDEX(Phasing!$I37:$AF37,((YEAR(R$5)-YEAR($C37))*12+MONTH(R$5)-MONTH($C37)+1))))/$F37))</f>
        <v>0</v>
      </c>
      <c r="S37" s="38" t="n">
        <f aca="false">IF(OR($C37="",$D37="",$F37=0),0,IF(OR(S$5&lt;=Projects!$C$2,((YEAR(S$5)-YEAR($C37))*12+MONTH(S$5)-MONTH($C37)+1)&lt;1,((YEAR(S$5)-YEAR($C37))*12+MONTH(S$5)-MONTH($C37)+1)&gt;$D37),0,$E37*IF($G37,1,N(INDEX(Phasing!$I37:$AF37,((YEAR(S$5)-YEAR($C37))*12+MONTH(S$5)-MONTH($C37)+1))))/$F37))</f>
        <v>0</v>
      </c>
      <c r="T37" s="38" t="n">
        <f aca="false">IF(OR($C37="",$D37="",$F37=0),0,IF(OR(T$5&lt;=Projects!$C$2,((YEAR(T$5)-YEAR($C37))*12+MONTH(T$5)-MONTH($C37)+1)&lt;1,((YEAR(T$5)-YEAR($C37))*12+MONTH(T$5)-MONTH($C37)+1)&gt;$D37),0,$E37*IF($G37,1,N(INDEX(Phasing!$I37:$AF37,((YEAR(T$5)-YEAR($C37))*12+MONTH(T$5)-MONTH($C37)+1))))/$F37))</f>
        <v>0</v>
      </c>
      <c r="U37" s="38" t="n">
        <f aca="false">IF(OR($C37="",$D37="",$F37=0),0,IF(OR(U$5&lt;=Projects!$C$2,((YEAR(U$5)-YEAR($C37))*12+MONTH(U$5)-MONTH($C37)+1)&lt;1,((YEAR(U$5)-YEAR($C37))*12+MONTH(U$5)-MONTH($C37)+1)&gt;$D37),0,$E37*IF($G37,1,N(INDEX(Phasing!$I37:$AF37,((YEAR(U$5)-YEAR($C37))*12+MONTH(U$5)-MONTH($C37)+1))))/$F37))</f>
        <v>0</v>
      </c>
      <c r="V37" s="38" t="n">
        <f aca="false">IF(OR($C37="",$D37="",$F37=0),0,IF(OR(V$5&lt;=Projects!$C$2,((YEAR(V$5)-YEAR($C37))*12+MONTH(V$5)-MONTH($C37)+1)&lt;1,((YEAR(V$5)-YEAR($C37))*12+MONTH(V$5)-MONTH($C37)+1)&gt;$D37),0,$E37*IF($G37,1,N(INDEX(Phasing!$I37:$AF37,((YEAR(V$5)-YEAR($C37))*12+MONTH(V$5)-MONTH($C37)+1))))/$F37))</f>
        <v>0</v>
      </c>
      <c r="W37" s="38" t="n">
        <f aca="false">IF(OR($C37="",$D37="",$F37=0),0,IF(OR(W$5&lt;=Projects!$C$2,((YEAR(W$5)-YEAR($C37))*12+MONTH(W$5)-MONTH($C37)+1)&lt;1,((YEAR(W$5)-YEAR($C37))*12+MONTH(W$5)-MONTH($C37)+1)&gt;$D37),0,$E37*IF($G37,1,N(INDEX(Phasing!$I37:$AF37,((YEAR(W$5)-YEAR($C37))*12+MONTH(W$5)-MONTH($C37)+1))))/$F37))</f>
        <v>0</v>
      </c>
      <c r="X37" s="38" t="n">
        <f aca="false">IF(OR($C37="",$D37="",$F37=0),0,IF(OR(X$5&lt;=Projects!$C$2,((YEAR(X$5)-YEAR($C37))*12+MONTH(X$5)-MONTH($C37)+1)&lt;1,((YEAR(X$5)-YEAR($C37))*12+MONTH(X$5)-MONTH($C37)+1)&gt;$D37),0,$E37*IF($G37,1,N(INDEX(Phasing!$I37:$AF37,((YEAR(X$5)-YEAR($C37))*12+MONTH(X$5)-MONTH($C37)+1))))/$F37))</f>
        <v>0</v>
      </c>
      <c r="Y37" s="38" t="n">
        <f aca="false">IF(OR($C37="",$D37="",$F37=0),0,IF(OR(Y$5&lt;=Projects!$C$2,((YEAR(Y$5)-YEAR($C37))*12+MONTH(Y$5)-MONTH($C37)+1)&lt;1,((YEAR(Y$5)-YEAR($C37))*12+MONTH(Y$5)-MONTH($C37)+1)&gt;$D37),0,$E37*IF($G37,1,N(INDEX(Phasing!$I37:$AF37,((YEAR(Y$5)-YEAR($C37))*12+MONTH(Y$5)-MONTH($C37)+1))))/$F37))</f>
        <v>0</v>
      </c>
      <c r="Z37" s="38" t="n">
        <f aca="false">IF(OR($C37="",$D37="",$F37=0),0,IF(OR(Z$5&lt;=Projects!$C$2,((YEAR(Z$5)-YEAR($C37))*12+MONTH(Z$5)-MONTH($C37)+1)&lt;1,((YEAR(Z$5)-YEAR($C37))*12+MONTH(Z$5)-MONTH($C37)+1)&gt;$D37),0,$E37*IF($G37,1,N(INDEX(Phasing!$I37:$AF37,((YEAR(Z$5)-YEAR($C37))*12+MONTH(Z$5)-MONTH($C37)+1))))/$F37))</f>
        <v>0</v>
      </c>
      <c r="AA37" s="38" t="n">
        <f aca="false">IF(OR($C37="",$D37="",$F37=0),0,IF(OR(AA$5&lt;=Projects!$C$2,((YEAR(AA$5)-YEAR($C37))*12+MONTH(AA$5)-MONTH($C37)+1)&lt;1,((YEAR(AA$5)-YEAR($C37))*12+MONTH(AA$5)-MONTH($C37)+1)&gt;$D37),0,$E37*IF($G37,1,N(INDEX(Phasing!$I37:$AF37,((YEAR(AA$5)-YEAR($C37))*12+MONTH(AA$5)-MONTH($C37)+1))))/$F37))</f>
        <v>0</v>
      </c>
      <c r="AB37" s="38" t="n">
        <f aca="false">IF(OR($C37="",$D37="",$F37=0),0,IF(OR(AB$5&lt;=Projects!$C$2,((YEAR(AB$5)-YEAR($C37))*12+MONTH(AB$5)-MONTH($C37)+1)&lt;1,((YEAR(AB$5)-YEAR($C37))*12+MONTH(AB$5)-MONTH($C37)+1)&gt;$D37),0,$E37*IF($G37,1,N(INDEX(Phasing!$I37:$AF37,((YEAR(AB$5)-YEAR($C37))*12+MONTH(AB$5)-MONTH($C37)+1))))/$F37))</f>
        <v>0</v>
      </c>
      <c r="AC37" s="38" t="n">
        <f aca="false">IF(OR($C37="",$D37="",$F37=0),0,IF(OR(AC$5&lt;=Projects!$C$2,((YEAR(AC$5)-YEAR($C37))*12+MONTH(AC$5)-MONTH($C37)+1)&lt;1,((YEAR(AC$5)-YEAR($C37))*12+MONTH(AC$5)-MONTH($C37)+1)&gt;$D37),0,$E37*IF($G37,1,N(INDEX(Phasing!$I37:$AF37,((YEAR(AC$5)-YEAR($C37))*12+MONTH(AC$5)-MONTH($C37)+1))))/$F37))</f>
        <v>0</v>
      </c>
      <c r="AD37" s="38" t="n">
        <f aca="false">IF(OR($C37="",$D37="",$F37=0),0,IF(OR(AD$5&lt;=Projects!$C$2,((YEAR(AD$5)-YEAR($C37))*12+MONTH(AD$5)-MONTH($C37)+1)&lt;1,((YEAR(AD$5)-YEAR($C37))*12+MONTH(AD$5)-MONTH($C37)+1)&gt;$D37),0,$E37*IF($G37,1,N(INDEX(Phasing!$I37:$AF37,((YEAR(AD$5)-YEAR($C37))*12+MONTH(AD$5)-MONTH($C37)+1))))/$F37))</f>
        <v>0</v>
      </c>
      <c r="AE37" s="38" t="n">
        <f aca="false">IF(OR($C37="",$D37="",$F37=0),0,IF(OR(AE$5&lt;=Projects!$C$2,((YEAR(AE$5)-YEAR($C37))*12+MONTH(AE$5)-MONTH($C37)+1)&lt;1,((YEAR(AE$5)-YEAR($C37))*12+MONTH(AE$5)-MONTH($C37)+1)&gt;$D37),0,$E37*IF($G37,1,N(INDEX(Phasing!$I37:$AF37,((YEAR(AE$5)-YEAR($C37))*12+MONTH(AE$5)-MONTH($C37)+1))))/$F37))</f>
        <v>0</v>
      </c>
      <c r="AF37" s="38" t="n">
        <f aca="false">IF(OR($C37="",$D37="",$F37=0),0,IF(OR(AF$5&lt;=Projects!$C$2,((YEAR(AF$5)-YEAR($C37))*12+MONTH(AF$5)-MONTH($C37)+1)&lt;1,((YEAR(AF$5)-YEAR($C37))*12+MONTH(AF$5)-MONTH($C37)+1)&gt;$D37),0,$E37*IF($G37,1,N(INDEX(Phasing!$I37:$AF37,((YEAR(AF$5)-YEAR($C37))*12+MONTH(AF$5)-MONTH($C37)+1))))/$F37))</f>
        <v>0</v>
      </c>
      <c r="AG37" s="38" t="n">
        <f aca="false">IF(OR($C37="",$D37="",$F37=0),0,IF(OR(AG$5&lt;=Projects!$C$2,((YEAR(AG$5)-YEAR($C37))*12+MONTH(AG$5)-MONTH($C37)+1)&lt;1,((YEAR(AG$5)-YEAR($C37))*12+MONTH(AG$5)-MONTH($C37)+1)&gt;$D37),0,$E37*IF($G37,1,N(INDEX(Phasing!$I37:$AF37,((YEAR(AG$5)-YEAR($C37))*12+MONTH(AG$5)-MONTH($C37)+1))))/$F37))</f>
        <v>0</v>
      </c>
      <c r="AH37" s="38" t="n">
        <f aca="false">IF(OR($C37="",$D37="",$F37=0),0,IF(OR(AH$5&lt;=Projects!$C$2,((YEAR(AH$5)-YEAR($C37))*12+MONTH(AH$5)-MONTH($C37)+1)&lt;1,((YEAR(AH$5)-YEAR($C37))*12+MONTH(AH$5)-MONTH($C37)+1)&gt;$D37),0,$E37*IF($G37,1,N(INDEX(Phasing!$I37:$AF37,((YEAR(AH$5)-YEAR($C37))*12+MONTH(AH$5)-MONTH($C37)+1))))/$F37))</f>
        <v>0</v>
      </c>
      <c r="AI37" s="38" t="n">
        <f aca="false">IF(OR($C37="",$D37="",$F37=0),0,IF(OR(AI$5&lt;=Projects!$C$2,((YEAR(AI$5)-YEAR($C37))*12+MONTH(AI$5)-MONTH($C37)+1)&lt;1,((YEAR(AI$5)-YEAR($C37))*12+MONTH(AI$5)-MONTH($C37)+1)&gt;$D37),0,$E37*IF($G37,1,N(INDEX(Phasing!$I37:$AF37,((YEAR(AI$5)-YEAR($C37))*12+MONTH(AI$5)-MONTH($C37)+1))))/$F37))</f>
        <v>0</v>
      </c>
      <c r="AJ37" s="38" t="n">
        <f aca="false">IF(OR($C37="",$D37="",$F37=0),0,IF(OR(AJ$5&lt;=Projects!$C$2,((YEAR(AJ$5)-YEAR($C37))*12+MONTH(AJ$5)-MONTH($C37)+1)&lt;1,((YEAR(AJ$5)-YEAR($C37))*12+MONTH(AJ$5)-MONTH($C37)+1)&gt;$D37),0,$E37*IF($G37,1,N(INDEX(Phasing!$I37:$AF37,((YEAR(AJ$5)-YEAR($C37))*12+MONTH(AJ$5)-MONTH($C37)+1))))/$F37))</f>
        <v>0</v>
      </c>
      <c r="AK37" s="38" t="n">
        <f aca="false">IF(OR($C37="",$D37="",$F37=0),0,IF(OR(AK$5&lt;=Projects!$C$2,((YEAR(AK$5)-YEAR($C37))*12+MONTH(AK$5)-MONTH($C37)+1)&lt;1,((YEAR(AK$5)-YEAR($C37))*12+MONTH(AK$5)-MONTH($C37)+1)&gt;$D37),0,$E37*IF($G37,1,N(INDEX(Phasing!$I37:$AF37,((YEAR(AK$5)-YEAR($C37))*12+MONTH(AK$5)-MONTH($C37)+1))))/$F37))</f>
        <v>0</v>
      </c>
      <c r="AL37" s="38" t="n">
        <f aca="false">IF(OR($C37="",$D37="",$F37=0),0,IF(OR(AL$5&lt;=Projects!$C$2,((YEAR(AL$5)-YEAR($C37))*12+MONTH(AL$5)-MONTH($C37)+1)&lt;1,((YEAR(AL$5)-YEAR($C37))*12+MONTH(AL$5)-MONTH($C37)+1)&gt;$D37),0,$E37*IF($G37,1,N(INDEX(Phasing!$I37:$AF37,((YEAR(AL$5)-YEAR($C37))*12+MONTH(AL$5)-MONTH($C37)+1))))/$F37))</f>
        <v>0</v>
      </c>
      <c r="AM37" s="38" t="n">
        <f aca="false">IF(OR($C37="",$D37="",$F37=0),0,IF(OR(AM$5&lt;=Projects!$C$2,((YEAR(AM$5)-YEAR($C37))*12+MONTH(AM$5)-MONTH($C37)+1)&lt;1,((YEAR(AM$5)-YEAR($C37))*12+MONTH(AM$5)-MONTH($C37)+1)&gt;$D37),0,$E37*IF($G37,1,N(INDEX(Phasing!$I37:$AF37,((YEAR(AM$5)-YEAR($C37))*12+MONTH(AM$5)-MONTH($C37)+1))))/$F37))</f>
        <v>0</v>
      </c>
      <c r="AN37" s="38" t="n">
        <f aca="false">IF(OR($C37="",$D37="",$F37=0),0,IF(OR(AN$5&lt;=Projects!$C$2,((YEAR(AN$5)-YEAR($C37))*12+MONTH(AN$5)-MONTH($C37)+1)&lt;1,((YEAR(AN$5)-YEAR($C37))*12+MONTH(AN$5)-MONTH($C37)+1)&gt;$D37),0,$E37*IF($G37,1,N(INDEX(Phasing!$I37:$AF37,((YEAR(AN$5)-YEAR($C37))*12+MONTH(AN$5)-MONTH($C37)+1))))/$F37))</f>
        <v>0</v>
      </c>
      <c r="AO37" s="38" t="n">
        <f aca="false">IF(OR($C37="",$D37="",$F37=0),0,IF(OR(AO$5&lt;=Projects!$C$2,((YEAR(AO$5)-YEAR($C37))*12+MONTH(AO$5)-MONTH($C37)+1)&lt;1,((YEAR(AO$5)-YEAR($C37))*12+MONTH(AO$5)-MONTH($C37)+1)&gt;$D37),0,$E37*IF($G37,1,N(INDEX(Phasing!$I37:$AF37,((YEAR(AO$5)-YEAR($C37))*12+MONTH(AO$5)-MONTH($C37)+1))))/$F37))</f>
        <v>0</v>
      </c>
      <c r="AP37" s="38" t="n">
        <f aca="false">IF(OR($C37="",$D37="",$F37=0),0,IF(OR(AP$5&lt;=Projects!$C$2,((YEAR(AP$5)-YEAR($C37))*12+MONTH(AP$5)-MONTH($C37)+1)&lt;1,((YEAR(AP$5)-YEAR($C37))*12+MONTH(AP$5)-MONTH($C37)+1)&gt;$D37),0,$E37*IF($G37,1,N(INDEX(Phasing!$I37:$AF37,((YEAR(AP$5)-YEAR($C37))*12+MONTH(AP$5)-MONTH($C37)+1))))/$F37))</f>
        <v>0</v>
      </c>
      <c r="AQ37" s="38" t="n">
        <f aca="false">IF(OR($C37="",$D37="",$F37=0),0,IF(OR(AQ$5&lt;=Projects!$C$2,((YEAR(AQ$5)-YEAR($C37))*12+MONTH(AQ$5)-MONTH($C37)+1)&lt;1,((YEAR(AQ$5)-YEAR($C37))*12+MONTH(AQ$5)-MONTH($C37)+1)&gt;$D37),0,$E37*IF($G37,1,N(INDEX(Phasing!$I37:$AF37,((YEAR(AQ$5)-YEAR($C37))*12+MONTH(AQ$5)-MONTH($C37)+1))))/$F37))</f>
        <v>0</v>
      </c>
    </row>
    <row r="38" customFormat="false" ht="15" hidden="false" customHeight="false" outlineLevel="0" collapsed="false">
      <c r="A38" s="11" t="n">
        <v>33</v>
      </c>
      <c r="B38" s="21" t="str">
        <f aca="false">IF(Projects!B38="","",Projects!B38)</f>
        <v/>
      </c>
      <c r="C38" s="31" t="str">
        <f aca="false">IF(Projects!D38="","",Projects!D38)</f>
        <v/>
      </c>
      <c r="D38" s="21" t="str">
        <f aca="false">IF(Projects!E38="","",Projects!E38)</f>
        <v/>
      </c>
      <c r="E38" s="33" t="n">
        <f aca="false">IF(Projects!B38="",0,N(Projects!I38))</f>
        <v>0</v>
      </c>
      <c r="F38" s="21" t="n">
        <f aca="false">Phasing!G38</f>
        <v>0</v>
      </c>
      <c r="G38" s="48" t="b">
        <f aca="false">Phasing!D38=0</f>
        <v>1</v>
      </c>
      <c r="H38" s="38" t="n">
        <f aca="false">IF(OR($C38="",$D38="",$F38=0),0,IF(OR(H$5&lt;=Projects!$C$2,((YEAR(H$5)-YEAR($C38))*12+MONTH(H$5)-MONTH($C38)+1)&lt;1,((YEAR(H$5)-YEAR($C38))*12+MONTH(H$5)-MONTH($C38)+1)&gt;$D38),0,$E38*IF($G38,1,N(INDEX(Phasing!$I38:$AF38,((YEAR(H$5)-YEAR($C38))*12+MONTH(H$5)-MONTH($C38)+1))))/$F38))</f>
        <v>0</v>
      </c>
      <c r="I38" s="38" t="n">
        <f aca="false">IF(OR($C38="",$D38="",$F38=0),0,IF(OR(I$5&lt;=Projects!$C$2,((YEAR(I$5)-YEAR($C38))*12+MONTH(I$5)-MONTH($C38)+1)&lt;1,((YEAR(I$5)-YEAR($C38))*12+MONTH(I$5)-MONTH($C38)+1)&gt;$D38),0,$E38*IF($G38,1,N(INDEX(Phasing!$I38:$AF38,((YEAR(I$5)-YEAR($C38))*12+MONTH(I$5)-MONTH($C38)+1))))/$F38))</f>
        <v>0</v>
      </c>
      <c r="J38" s="38" t="n">
        <f aca="false">IF(OR($C38="",$D38="",$F38=0),0,IF(OR(J$5&lt;=Projects!$C$2,((YEAR(J$5)-YEAR($C38))*12+MONTH(J$5)-MONTH($C38)+1)&lt;1,((YEAR(J$5)-YEAR($C38))*12+MONTH(J$5)-MONTH($C38)+1)&gt;$D38),0,$E38*IF($G38,1,N(INDEX(Phasing!$I38:$AF38,((YEAR(J$5)-YEAR($C38))*12+MONTH(J$5)-MONTH($C38)+1))))/$F38))</f>
        <v>0</v>
      </c>
      <c r="K38" s="38" t="n">
        <f aca="false">IF(OR($C38="",$D38="",$F38=0),0,IF(OR(K$5&lt;=Projects!$C$2,((YEAR(K$5)-YEAR($C38))*12+MONTH(K$5)-MONTH($C38)+1)&lt;1,((YEAR(K$5)-YEAR($C38))*12+MONTH(K$5)-MONTH($C38)+1)&gt;$D38),0,$E38*IF($G38,1,N(INDEX(Phasing!$I38:$AF38,((YEAR(K$5)-YEAR($C38))*12+MONTH(K$5)-MONTH($C38)+1))))/$F38))</f>
        <v>0</v>
      </c>
      <c r="L38" s="38" t="n">
        <f aca="false">IF(OR($C38="",$D38="",$F38=0),0,IF(OR(L$5&lt;=Projects!$C$2,((YEAR(L$5)-YEAR($C38))*12+MONTH(L$5)-MONTH($C38)+1)&lt;1,((YEAR(L$5)-YEAR($C38))*12+MONTH(L$5)-MONTH($C38)+1)&gt;$D38),0,$E38*IF($G38,1,N(INDEX(Phasing!$I38:$AF38,((YEAR(L$5)-YEAR($C38))*12+MONTH(L$5)-MONTH($C38)+1))))/$F38))</f>
        <v>0</v>
      </c>
      <c r="M38" s="38" t="n">
        <f aca="false">IF(OR($C38="",$D38="",$F38=0),0,IF(OR(M$5&lt;=Projects!$C$2,((YEAR(M$5)-YEAR($C38))*12+MONTH(M$5)-MONTH($C38)+1)&lt;1,((YEAR(M$5)-YEAR($C38))*12+MONTH(M$5)-MONTH($C38)+1)&gt;$D38),0,$E38*IF($G38,1,N(INDEX(Phasing!$I38:$AF38,((YEAR(M$5)-YEAR($C38))*12+MONTH(M$5)-MONTH($C38)+1))))/$F38))</f>
        <v>0</v>
      </c>
      <c r="N38" s="38" t="n">
        <f aca="false">IF(OR($C38="",$D38="",$F38=0),0,IF(OR(N$5&lt;=Projects!$C$2,((YEAR(N$5)-YEAR($C38))*12+MONTH(N$5)-MONTH($C38)+1)&lt;1,((YEAR(N$5)-YEAR($C38))*12+MONTH(N$5)-MONTH($C38)+1)&gt;$D38),0,$E38*IF($G38,1,N(INDEX(Phasing!$I38:$AF38,((YEAR(N$5)-YEAR($C38))*12+MONTH(N$5)-MONTH($C38)+1))))/$F38))</f>
        <v>0</v>
      </c>
      <c r="O38" s="38" t="n">
        <f aca="false">IF(OR($C38="",$D38="",$F38=0),0,IF(OR(O$5&lt;=Projects!$C$2,((YEAR(O$5)-YEAR($C38))*12+MONTH(O$5)-MONTH($C38)+1)&lt;1,((YEAR(O$5)-YEAR($C38))*12+MONTH(O$5)-MONTH($C38)+1)&gt;$D38),0,$E38*IF($G38,1,N(INDEX(Phasing!$I38:$AF38,((YEAR(O$5)-YEAR($C38))*12+MONTH(O$5)-MONTH($C38)+1))))/$F38))</f>
        <v>0</v>
      </c>
      <c r="P38" s="38" t="n">
        <f aca="false">IF(OR($C38="",$D38="",$F38=0),0,IF(OR(P$5&lt;=Projects!$C$2,((YEAR(P$5)-YEAR($C38))*12+MONTH(P$5)-MONTH($C38)+1)&lt;1,((YEAR(P$5)-YEAR($C38))*12+MONTH(P$5)-MONTH($C38)+1)&gt;$D38),0,$E38*IF($G38,1,N(INDEX(Phasing!$I38:$AF38,((YEAR(P$5)-YEAR($C38))*12+MONTH(P$5)-MONTH($C38)+1))))/$F38))</f>
        <v>0</v>
      </c>
      <c r="Q38" s="38" t="n">
        <f aca="false">IF(OR($C38="",$D38="",$F38=0),0,IF(OR(Q$5&lt;=Projects!$C$2,((YEAR(Q$5)-YEAR($C38))*12+MONTH(Q$5)-MONTH($C38)+1)&lt;1,((YEAR(Q$5)-YEAR($C38))*12+MONTH(Q$5)-MONTH($C38)+1)&gt;$D38),0,$E38*IF($G38,1,N(INDEX(Phasing!$I38:$AF38,((YEAR(Q$5)-YEAR($C38))*12+MONTH(Q$5)-MONTH($C38)+1))))/$F38))</f>
        <v>0</v>
      </c>
      <c r="R38" s="38" t="n">
        <f aca="false">IF(OR($C38="",$D38="",$F38=0),0,IF(OR(R$5&lt;=Projects!$C$2,((YEAR(R$5)-YEAR($C38))*12+MONTH(R$5)-MONTH($C38)+1)&lt;1,((YEAR(R$5)-YEAR($C38))*12+MONTH(R$5)-MONTH($C38)+1)&gt;$D38),0,$E38*IF($G38,1,N(INDEX(Phasing!$I38:$AF38,((YEAR(R$5)-YEAR($C38))*12+MONTH(R$5)-MONTH($C38)+1))))/$F38))</f>
        <v>0</v>
      </c>
      <c r="S38" s="38" t="n">
        <f aca="false">IF(OR($C38="",$D38="",$F38=0),0,IF(OR(S$5&lt;=Projects!$C$2,((YEAR(S$5)-YEAR($C38))*12+MONTH(S$5)-MONTH($C38)+1)&lt;1,((YEAR(S$5)-YEAR($C38))*12+MONTH(S$5)-MONTH($C38)+1)&gt;$D38),0,$E38*IF($G38,1,N(INDEX(Phasing!$I38:$AF38,((YEAR(S$5)-YEAR($C38))*12+MONTH(S$5)-MONTH($C38)+1))))/$F38))</f>
        <v>0</v>
      </c>
      <c r="T38" s="38" t="n">
        <f aca="false">IF(OR($C38="",$D38="",$F38=0),0,IF(OR(T$5&lt;=Projects!$C$2,((YEAR(T$5)-YEAR($C38))*12+MONTH(T$5)-MONTH($C38)+1)&lt;1,((YEAR(T$5)-YEAR($C38))*12+MONTH(T$5)-MONTH($C38)+1)&gt;$D38),0,$E38*IF($G38,1,N(INDEX(Phasing!$I38:$AF38,((YEAR(T$5)-YEAR($C38))*12+MONTH(T$5)-MONTH($C38)+1))))/$F38))</f>
        <v>0</v>
      </c>
      <c r="U38" s="38" t="n">
        <f aca="false">IF(OR($C38="",$D38="",$F38=0),0,IF(OR(U$5&lt;=Projects!$C$2,((YEAR(U$5)-YEAR($C38))*12+MONTH(U$5)-MONTH($C38)+1)&lt;1,((YEAR(U$5)-YEAR($C38))*12+MONTH(U$5)-MONTH($C38)+1)&gt;$D38),0,$E38*IF($G38,1,N(INDEX(Phasing!$I38:$AF38,((YEAR(U$5)-YEAR($C38))*12+MONTH(U$5)-MONTH($C38)+1))))/$F38))</f>
        <v>0</v>
      </c>
      <c r="V38" s="38" t="n">
        <f aca="false">IF(OR($C38="",$D38="",$F38=0),0,IF(OR(V$5&lt;=Projects!$C$2,((YEAR(V$5)-YEAR($C38))*12+MONTH(V$5)-MONTH($C38)+1)&lt;1,((YEAR(V$5)-YEAR($C38))*12+MONTH(V$5)-MONTH($C38)+1)&gt;$D38),0,$E38*IF($G38,1,N(INDEX(Phasing!$I38:$AF38,((YEAR(V$5)-YEAR($C38))*12+MONTH(V$5)-MONTH($C38)+1))))/$F38))</f>
        <v>0</v>
      </c>
      <c r="W38" s="38" t="n">
        <f aca="false">IF(OR($C38="",$D38="",$F38=0),0,IF(OR(W$5&lt;=Projects!$C$2,((YEAR(W$5)-YEAR($C38))*12+MONTH(W$5)-MONTH($C38)+1)&lt;1,((YEAR(W$5)-YEAR($C38))*12+MONTH(W$5)-MONTH($C38)+1)&gt;$D38),0,$E38*IF($G38,1,N(INDEX(Phasing!$I38:$AF38,((YEAR(W$5)-YEAR($C38))*12+MONTH(W$5)-MONTH($C38)+1))))/$F38))</f>
        <v>0</v>
      </c>
      <c r="X38" s="38" t="n">
        <f aca="false">IF(OR($C38="",$D38="",$F38=0),0,IF(OR(X$5&lt;=Projects!$C$2,((YEAR(X$5)-YEAR($C38))*12+MONTH(X$5)-MONTH($C38)+1)&lt;1,((YEAR(X$5)-YEAR($C38))*12+MONTH(X$5)-MONTH($C38)+1)&gt;$D38),0,$E38*IF($G38,1,N(INDEX(Phasing!$I38:$AF38,((YEAR(X$5)-YEAR($C38))*12+MONTH(X$5)-MONTH($C38)+1))))/$F38))</f>
        <v>0</v>
      </c>
      <c r="Y38" s="38" t="n">
        <f aca="false">IF(OR($C38="",$D38="",$F38=0),0,IF(OR(Y$5&lt;=Projects!$C$2,((YEAR(Y$5)-YEAR($C38))*12+MONTH(Y$5)-MONTH($C38)+1)&lt;1,((YEAR(Y$5)-YEAR($C38))*12+MONTH(Y$5)-MONTH($C38)+1)&gt;$D38),0,$E38*IF($G38,1,N(INDEX(Phasing!$I38:$AF38,((YEAR(Y$5)-YEAR($C38))*12+MONTH(Y$5)-MONTH($C38)+1))))/$F38))</f>
        <v>0</v>
      </c>
      <c r="Z38" s="38" t="n">
        <f aca="false">IF(OR($C38="",$D38="",$F38=0),0,IF(OR(Z$5&lt;=Projects!$C$2,((YEAR(Z$5)-YEAR($C38))*12+MONTH(Z$5)-MONTH($C38)+1)&lt;1,((YEAR(Z$5)-YEAR($C38))*12+MONTH(Z$5)-MONTH($C38)+1)&gt;$D38),0,$E38*IF($G38,1,N(INDEX(Phasing!$I38:$AF38,((YEAR(Z$5)-YEAR($C38))*12+MONTH(Z$5)-MONTH($C38)+1))))/$F38))</f>
        <v>0</v>
      </c>
      <c r="AA38" s="38" t="n">
        <f aca="false">IF(OR($C38="",$D38="",$F38=0),0,IF(OR(AA$5&lt;=Projects!$C$2,((YEAR(AA$5)-YEAR($C38))*12+MONTH(AA$5)-MONTH($C38)+1)&lt;1,((YEAR(AA$5)-YEAR($C38))*12+MONTH(AA$5)-MONTH($C38)+1)&gt;$D38),0,$E38*IF($G38,1,N(INDEX(Phasing!$I38:$AF38,((YEAR(AA$5)-YEAR($C38))*12+MONTH(AA$5)-MONTH($C38)+1))))/$F38))</f>
        <v>0</v>
      </c>
      <c r="AB38" s="38" t="n">
        <f aca="false">IF(OR($C38="",$D38="",$F38=0),0,IF(OR(AB$5&lt;=Projects!$C$2,((YEAR(AB$5)-YEAR($C38))*12+MONTH(AB$5)-MONTH($C38)+1)&lt;1,((YEAR(AB$5)-YEAR($C38))*12+MONTH(AB$5)-MONTH($C38)+1)&gt;$D38),0,$E38*IF($G38,1,N(INDEX(Phasing!$I38:$AF38,((YEAR(AB$5)-YEAR($C38))*12+MONTH(AB$5)-MONTH($C38)+1))))/$F38))</f>
        <v>0</v>
      </c>
      <c r="AC38" s="38" t="n">
        <f aca="false">IF(OR($C38="",$D38="",$F38=0),0,IF(OR(AC$5&lt;=Projects!$C$2,((YEAR(AC$5)-YEAR($C38))*12+MONTH(AC$5)-MONTH($C38)+1)&lt;1,((YEAR(AC$5)-YEAR($C38))*12+MONTH(AC$5)-MONTH($C38)+1)&gt;$D38),0,$E38*IF($G38,1,N(INDEX(Phasing!$I38:$AF38,((YEAR(AC$5)-YEAR($C38))*12+MONTH(AC$5)-MONTH($C38)+1))))/$F38))</f>
        <v>0</v>
      </c>
      <c r="AD38" s="38" t="n">
        <f aca="false">IF(OR($C38="",$D38="",$F38=0),0,IF(OR(AD$5&lt;=Projects!$C$2,((YEAR(AD$5)-YEAR($C38))*12+MONTH(AD$5)-MONTH($C38)+1)&lt;1,((YEAR(AD$5)-YEAR($C38))*12+MONTH(AD$5)-MONTH($C38)+1)&gt;$D38),0,$E38*IF($G38,1,N(INDEX(Phasing!$I38:$AF38,((YEAR(AD$5)-YEAR($C38))*12+MONTH(AD$5)-MONTH($C38)+1))))/$F38))</f>
        <v>0</v>
      </c>
      <c r="AE38" s="38" t="n">
        <f aca="false">IF(OR($C38="",$D38="",$F38=0),0,IF(OR(AE$5&lt;=Projects!$C$2,((YEAR(AE$5)-YEAR($C38))*12+MONTH(AE$5)-MONTH($C38)+1)&lt;1,((YEAR(AE$5)-YEAR($C38))*12+MONTH(AE$5)-MONTH($C38)+1)&gt;$D38),0,$E38*IF($G38,1,N(INDEX(Phasing!$I38:$AF38,((YEAR(AE$5)-YEAR($C38))*12+MONTH(AE$5)-MONTH($C38)+1))))/$F38))</f>
        <v>0</v>
      </c>
      <c r="AF38" s="38" t="n">
        <f aca="false">IF(OR($C38="",$D38="",$F38=0),0,IF(OR(AF$5&lt;=Projects!$C$2,((YEAR(AF$5)-YEAR($C38))*12+MONTH(AF$5)-MONTH($C38)+1)&lt;1,((YEAR(AF$5)-YEAR($C38))*12+MONTH(AF$5)-MONTH($C38)+1)&gt;$D38),0,$E38*IF($G38,1,N(INDEX(Phasing!$I38:$AF38,((YEAR(AF$5)-YEAR($C38))*12+MONTH(AF$5)-MONTH($C38)+1))))/$F38))</f>
        <v>0</v>
      </c>
      <c r="AG38" s="38" t="n">
        <f aca="false">IF(OR($C38="",$D38="",$F38=0),0,IF(OR(AG$5&lt;=Projects!$C$2,((YEAR(AG$5)-YEAR($C38))*12+MONTH(AG$5)-MONTH($C38)+1)&lt;1,((YEAR(AG$5)-YEAR($C38))*12+MONTH(AG$5)-MONTH($C38)+1)&gt;$D38),0,$E38*IF($G38,1,N(INDEX(Phasing!$I38:$AF38,((YEAR(AG$5)-YEAR($C38))*12+MONTH(AG$5)-MONTH($C38)+1))))/$F38))</f>
        <v>0</v>
      </c>
      <c r="AH38" s="38" t="n">
        <f aca="false">IF(OR($C38="",$D38="",$F38=0),0,IF(OR(AH$5&lt;=Projects!$C$2,((YEAR(AH$5)-YEAR($C38))*12+MONTH(AH$5)-MONTH($C38)+1)&lt;1,((YEAR(AH$5)-YEAR($C38))*12+MONTH(AH$5)-MONTH($C38)+1)&gt;$D38),0,$E38*IF($G38,1,N(INDEX(Phasing!$I38:$AF38,((YEAR(AH$5)-YEAR($C38))*12+MONTH(AH$5)-MONTH($C38)+1))))/$F38))</f>
        <v>0</v>
      </c>
      <c r="AI38" s="38" t="n">
        <f aca="false">IF(OR($C38="",$D38="",$F38=0),0,IF(OR(AI$5&lt;=Projects!$C$2,((YEAR(AI$5)-YEAR($C38))*12+MONTH(AI$5)-MONTH($C38)+1)&lt;1,((YEAR(AI$5)-YEAR($C38))*12+MONTH(AI$5)-MONTH($C38)+1)&gt;$D38),0,$E38*IF($G38,1,N(INDEX(Phasing!$I38:$AF38,((YEAR(AI$5)-YEAR($C38))*12+MONTH(AI$5)-MONTH($C38)+1))))/$F38))</f>
        <v>0</v>
      </c>
      <c r="AJ38" s="38" t="n">
        <f aca="false">IF(OR($C38="",$D38="",$F38=0),0,IF(OR(AJ$5&lt;=Projects!$C$2,((YEAR(AJ$5)-YEAR($C38))*12+MONTH(AJ$5)-MONTH($C38)+1)&lt;1,((YEAR(AJ$5)-YEAR($C38))*12+MONTH(AJ$5)-MONTH($C38)+1)&gt;$D38),0,$E38*IF($G38,1,N(INDEX(Phasing!$I38:$AF38,((YEAR(AJ$5)-YEAR($C38))*12+MONTH(AJ$5)-MONTH($C38)+1))))/$F38))</f>
        <v>0</v>
      </c>
      <c r="AK38" s="38" t="n">
        <f aca="false">IF(OR($C38="",$D38="",$F38=0),0,IF(OR(AK$5&lt;=Projects!$C$2,((YEAR(AK$5)-YEAR($C38))*12+MONTH(AK$5)-MONTH($C38)+1)&lt;1,((YEAR(AK$5)-YEAR($C38))*12+MONTH(AK$5)-MONTH($C38)+1)&gt;$D38),0,$E38*IF($G38,1,N(INDEX(Phasing!$I38:$AF38,((YEAR(AK$5)-YEAR($C38))*12+MONTH(AK$5)-MONTH($C38)+1))))/$F38))</f>
        <v>0</v>
      </c>
      <c r="AL38" s="38" t="n">
        <f aca="false">IF(OR($C38="",$D38="",$F38=0),0,IF(OR(AL$5&lt;=Projects!$C$2,((YEAR(AL$5)-YEAR($C38))*12+MONTH(AL$5)-MONTH($C38)+1)&lt;1,((YEAR(AL$5)-YEAR($C38))*12+MONTH(AL$5)-MONTH($C38)+1)&gt;$D38),0,$E38*IF($G38,1,N(INDEX(Phasing!$I38:$AF38,((YEAR(AL$5)-YEAR($C38))*12+MONTH(AL$5)-MONTH($C38)+1))))/$F38))</f>
        <v>0</v>
      </c>
      <c r="AM38" s="38" t="n">
        <f aca="false">IF(OR($C38="",$D38="",$F38=0),0,IF(OR(AM$5&lt;=Projects!$C$2,((YEAR(AM$5)-YEAR($C38))*12+MONTH(AM$5)-MONTH($C38)+1)&lt;1,((YEAR(AM$5)-YEAR($C38))*12+MONTH(AM$5)-MONTH($C38)+1)&gt;$D38),0,$E38*IF($G38,1,N(INDEX(Phasing!$I38:$AF38,((YEAR(AM$5)-YEAR($C38))*12+MONTH(AM$5)-MONTH($C38)+1))))/$F38))</f>
        <v>0</v>
      </c>
      <c r="AN38" s="38" t="n">
        <f aca="false">IF(OR($C38="",$D38="",$F38=0),0,IF(OR(AN$5&lt;=Projects!$C$2,((YEAR(AN$5)-YEAR($C38))*12+MONTH(AN$5)-MONTH($C38)+1)&lt;1,((YEAR(AN$5)-YEAR($C38))*12+MONTH(AN$5)-MONTH($C38)+1)&gt;$D38),0,$E38*IF($G38,1,N(INDEX(Phasing!$I38:$AF38,((YEAR(AN$5)-YEAR($C38))*12+MONTH(AN$5)-MONTH($C38)+1))))/$F38))</f>
        <v>0</v>
      </c>
      <c r="AO38" s="38" t="n">
        <f aca="false">IF(OR($C38="",$D38="",$F38=0),0,IF(OR(AO$5&lt;=Projects!$C$2,((YEAR(AO$5)-YEAR($C38))*12+MONTH(AO$5)-MONTH($C38)+1)&lt;1,((YEAR(AO$5)-YEAR($C38))*12+MONTH(AO$5)-MONTH($C38)+1)&gt;$D38),0,$E38*IF($G38,1,N(INDEX(Phasing!$I38:$AF38,((YEAR(AO$5)-YEAR($C38))*12+MONTH(AO$5)-MONTH($C38)+1))))/$F38))</f>
        <v>0</v>
      </c>
      <c r="AP38" s="38" t="n">
        <f aca="false">IF(OR($C38="",$D38="",$F38=0),0,IF(OR(AP$5&lt;=Projects!$C$2,((YEAR(AP$5)-YEAR($C38))*12+MONTH(AP$5)-MONTH($C38)+1)&lt;1,((YEAR(AP$5)-YEAR($C38))*12+MONTH(AP$5)-MONTH($C38)+1)&gt;$D38),0,$E38*IF($G38,1,N(INDEX(Phasing!$I38:$AF38,((YEAR(AP$5)-YEAR($C38))*12+MONTH(AP$5)-MONTH($C38)+1))))/$F38))</f>
        <v>0</v>
      </c>
      <c r="AQ38" s="38" t="n">
        <f aca="false">IF(OR($C38="",$D38="",$F38=0),0,IF(OR(AQ$5&lt;=Projects!$C$2,((YEAR(AQ$5)-YEAR($C38))*12+MONTH(AQ$5)-MONTH($C38)+1)&lt;1,((YEAR(AQ$5)-YEAR($C38))*12+MONTH(AQ$5)-MONTH($C38)+1)&gt;$D38),0,$E38*IF($G38,1,N(INDEX(Phasing!$I38:$AF38,((YEAR(AQ$5)-YEAR($C38))*12+MONTH(AQ$5)-MONTH($C38)+1))))/$F38))</f>
        <v>0</v>
      </c>
    </row>
    <row r="39" customFormat="false" ht="15" hidden="false" customHeight="false" outlineLevel="0" collapsed="false">
      <c r="A39" s="11" t="n">
        <v>34</v>
      </c>
      <c r="B39" s="21" t="str">
        <f aca="false">IF(Projects!B39="","",Projects!B39)</f>
        <v/>
      </c>
      <c r="C39" s="31" t="str">
        <f aca="false">IF(Projects!D39="","",Projects!D39)</f>
        <v/>
      </c>
      <c r="D39" s="21" t="str">
        <f aca="false">IF(Projects!E39="","",Projects!E39)</f>
        <v/>
      </c>
      <c r="E39" s="33" t="n">
        <f aca="false">IF(Projects!B39="",0,N(Projects!I39))</f>
        <v>0</v>
      </c>
      <c r="F39" s="21" t="n">
        <f aca="false">Phasing!G39</f>
        <v>0</v>
      </c>
      <c r="G39" s="48" t="b">
        <f aca="false">Phasing!D39=0</f>
        <v>1</v>
      </c>
      <c r="H39" s="38" t="n">
        <f aca="false">IF(OR($C39="",$D39="",$F39=0),0,IF(OR(H$5&lt;=Projects!$C$2,((YEAR(H$5)-YEAR($C39))*12+MONTH(H$5)-MONTH($C39)+1)&lt;1,((YEAR(H$5)-YEAR($C39))*12+MONTH(H$5)-MONTH($C39)+1)&gt;$D39),0,$E39*IF($G39,1,N(INDEX(Phasing!$I39:$AF39,((YEAR(H$5)-YEAR($C39))*12+MONTH(H$5)-MONTH($C39)+1))))/$F39))</f>
        <v>0</v>
      </c>
      <c r="I39" s="38" t="n">
        <f aca="false">IF(OR($C39="",$D39="",$F39=0),0,IF(OR(I$5&lt;=Projects!$C$2,((YEAR(I$5)-YEAR($C39))*12+MONTH(I$5)-MONTH($C39)+1)&lt;1,((YEAR(I$5)-YEAR($C39))*12+MONTH(I$5)-MONTH($C39)+1)&gt;$D39),0,$E39*IF($G39,1,N(INDEX(Phasing!$I39:$AF39,((YEAR(I$5)-YEAR($C39))*12+MONTH(I$5)-MONTH($C39)+1))))/$F39))</f>
        <v>0</v>
      </c>
      <c r="J39" s="38" t="n">
        <f aca="false">IF(OR($C39="",$D39="",$F39=0),0,IF(OR(J$5&lt;=Projects!$C$2,((YEAR(J$5)-YEAR($C39))*12+MONTH(J$5)-MONTH($C39)+1)&lt;1,((YEAR(J$5)-YEAR($C39))*12+MONTH(J$5)-MONTH($C39)+1)&gt;$D39),0,$E39*IF($G39,1,N(INDEX(Phasing!$I39:$AF39,((YEAR(J$5)-YEAR($C39))*12+MONTH(J$5)-MONTH($C39)+1))))/$F39))</f>
        <v>0</v>
      </c>
      <c r="K39" s="38" t="n">
        <f aca="false">IF(OR($C39="",$D39="",$F39=0),0,IF(OR(K$5&lt;=Projects!$C$2,((YEAR(K$5)-YEAR($C39))*12+MONTH(K$5)-MONTH($C39)+1)&lt;1,((YEAR(K$5)-YEAR($C39))*12+MONTH(K$5)-MONTH($C39)+1)&gt;$D39),0,$E39*IF($G39,1,N(INDEX(Phasing!$I39:$AF39,((YEAR(K$5)-YEAR($C39))*12+MONTH(K$5)-MONTH($C39)+1))))/$F39))</f>
        <v>0</v>
      </c>
      <c r="L39" s="38" t="n">
        <f aca="false">IF(OR($C39="",$D39="",$F39=0),0,IF(OR(L$5&lt;=Projects!$C$2,((YEAR(L$5)-YEAR($C39))*12+MONTH(L$5)-MONTH($C39)+1)&lt;1,((YEAR(L$5)-YEAR($C39))*12+MONTH(L$5)-MONTH($C39)+1)&gt;$D39),0,$E39*IF($G39,1,N(INDEX(Phasing!$I39:$AF39,((YEAR(L$5)-YEAR($C39))*12+MONTH(L$5)-MONTH($C39)+1))))/$F39))</f>
        <v>0</v>
      </c>
      <c r="M39" s="38" t="n">
        <f aca="false">IF(OR($C39="",$D39="",$F39=0),0,IF(OR(M$5&lt;=Projects!$C$2,((YEAR(M$5)-YEAR($C39))*12+MONTH(M$5)-MONTH($C39)+1)&lt;1,((YEAR(M$5)-YEAR($C39))*12+MONTH(M$5)-MONTH($C39)+1)&gt;$D39),0,$E39*IF($G39,1,N(INDEX(Phasing!$I39:$AF39,((YEAR(M$5)-YEAR($C39))*12+MONTH(M$5)-MONTH($C39)+1))))/$F39))</f>
        <v>0</v>
      </c>
      <c r="N39" s="38" t="n">
        <f aca="false">IF(OR($C39="",$D39="",$F39=0),0,IF(OR(N$5&lt;=Projects!$C$2,((YEAR(N$5)-YEAR($C39))*12+MONTH(N$5)-MONTH($C39)+1)&lt;1,((YEAR(N$5)-YEAR($C39))*12+MONTH(N$5)-MONTH($C39)+1)&gt;$D39),0,$E39*IF($G39,1,N(INDEX(Phasing!$I39:$AF39,((YEAR(N$5)-YEAR($C39))*12+MONTH(N$5)-MONTH($C39)+1))))/$F39))</f>
        <v>0</v>
      </c>
      <c r="O39" s="38" t="n">
        <f aca="false">IF(OR($C39="",$D39="",$F39=0),0,IF(OR(O$5&lt;=Projects!$C$2,((YEAR(O$5)-YEAR($C39))*12+MONTH(O$5)-MONTH($C39)+1)&lt;1,((YEAR(O$5)-YEAR($C39))*12+MONTH(O$5)-MONTH($C39)+1)&gt;$D39),0,$E39*IF($G39,1,N(INDEX(Phasing!$I39:$AF39,((YEAR(O$5)-YEAR($C39))*12+MONTH(O$5)-MONTH($C39)+1))))/$F39))</f>
        <v>0</v>
      </c>
      <c r="P39" s="38" t="n">
        <f aca="false">IF(OR($C39="",$D39="",$F39=0),0,IF(OR(P$5&lt;=Projects!$C$2,((YEAR(P$5)-YEAR($C39))*12+MONTH(P$5)-MONTH($C39)+1)&lt;1,((YEAR(P$5)-YEAR($C39))*12+MONTH(P$5)-MONTH($C39)+1)&gt;$D39),0,$E39*IF($G39,1,N(INDEX(Phasing!$I39:$AF39,((YEAR(P$5)-YEAR($C39))*12+MONTH(P$5)-MONTH($C39)+1))))/$F39))</f>
        <v>0</v>
      </c>
      <c r="Q39" s="38" t="n">
        <f aca="false">IF(OR($C39="",$D39="",$F39=0),0,IF(OR(Q$5&lt;=Projects!$C$2,((YEAR(Q$5)-YEAR($C39))*12+MONTH(Q$5)-MONTH($C39)+1)&lt;1,((YEAR(Q$5)-YEAR($C39))*12+MONTH(Q$5)-MONTH($C39)+1)&gt;$D39),0,$E39*IF($G39,1,N(INDEX(Phasing!$I39:$AF39,((YEAR(Q$5)-YEAR($C39))*12+MONTH(Q$5)-MONTH($C39)+1))))/$F39))</f>
        <v>0</v>
      </c>
      <c r="R39" s="38" t="n">
        <f aca="false">IF(OR($C39="",$D39="",$F39=0),0,IF(OR(R$5&lt;=Projects!$C$2,((YEAR(R$5)-YEAR($C39))*12+MONTH(R$5)-MONTH($C39)+1)&lt;1,((YEAR(R$5)-YEAR($C39))*12+MONTH(R$5)-MONTH($C39)+1)&gt;$D39),0,$E39*IF($G39,1,N(INDEX(Phasing!$I39:$AF39,((YEAR(R$5)-YEAR($C39))*12+MONTH(R$5)-MONTH($C39)+1))))/$F39))</f>
        <v>0</v>
      </c>
      <c r="S39" s="38" t="n">
        <f aca="false">IF(OR($C39="",$D39="",$F39=0),0,IF(OR(S$5&lt;=Projects!$C$2,((YEAR(S$5)-YEAR($C39))*12+MONTH(S$5)-MONTH($C39)+1)&lt;1,((YEAR(S$5)-YEAR($C39))*12+MONTH(S$5)-MONTH($C39)+1)&gt;$D39),0,$E39*IF($G39,1,N(INDEX(Phasing!$I39:$AF39,((YEAR(S$5)-YEAR($C39))*12+MONTH(S$5)-MONTH($C39)+1))))/$F39))</f>
        <v>0</v>
      </c>
      <c r="T39" s="38" t="n">
        <f aca="false">IF(OR($C39="",$D39="",$F39=0),0,IF(OR(T$5&lt;=Projects!$C$2,((YEAR(T$5)-YEAR($C39))*12+MONTH(T$5)-MONTH($C39)+1)&lt;1,((YEAR(T$5)-YEAR($C39))*12+MONTH(T$5)-MONTH($C39)+1)&gt;$D39),0,$E39*IF($G39,1,N(INDEX(Phasing!$I39:$AF39,((YEAR(T$5)-YEAR($C39))*12+MONTH(T$5)-MONTH($C39)+1))))/$F39))</f>
        <v>0</v>
      </c>
      <c r="U39" s="38" t="n">
        <f aca="false">IF(OR($C39="",$D39="",$F39=0),0,IF(OR(U$5&lt;=Projects!$C$2,((YEAR(U$5)-YEAR($C39))*12+MONTH(U$5)-MONTH($C39)+1)&lt;1,((YEAR(U$5)-YEAR($C39))*12+MONTH(U$5)-MONTH($C39)+1)&gt;$D39),0,$E39*IF($G39,1,N(INDEX(Phasing!$I39:$AF39,((YEAR(U$5)-YEAR($C39))*12+MONTH(U$5)-MONTH($C39)+1))))/$F39))</f>
        <v>0</v>
      </c>
      <c r="V39" s="38" t="n">
        <f aca="false">IF(OR($C39="",$D39="",$F39=0),0,IF(OR(V$5&lt;=Projects!$C$2,((YEAR(V$5)-YEAR($C39))*12+MONTH(V$5)-MONTH($C39)+1)&lt;1,((YEAR(V$5)-YEAR($C39))*12+MONTH(V$5)-MONTH($C39)+1)&gt;$D39),0,$E39*IF($G39,1,N(INDEX(Phasing!$I39:$AF39,((YEAR(V$5)-YEAR($C39))*12+MONTH(V$5)-MONTH($C39)+1))))/$F39))</f>
        <v>0</v>
      </c>
      <c r="W39" s="38" t="n">
        <f aca="false">IF(OR($C39="",$D39="",$F39=0),0,IF(OR(W$5&lt;=Projects!$C$2,((YEAR(W$5)-YEAR($C39))*12+MONTH(W$5)-MONTH($C39)+1)&lt;1,((YEAR(W$5)-YEAR($C39))*12+MONTH(W$5)-MONTH($C39)+1)&gt;$D39),0,$E39*IF($G39,1,N(INDEX(Phasing!$I39:$AF39,((YEAR(W$5)-YEAR($C39))*12+MONTH(W$5)-MONTH($C39)+1))))/$F39))</f>
        <v>0</v>
      </c>
      <c r="X39" s="38" t="n">
        <f aca="false">IF(OR($C39="",$D39="",$F39=0),0,IF(OR(X$5&lt;=Projects!$C$2,((YEAR(X$5)-YEAR($C39))*12+MONTH(X$5)-MONTH($C39)+1)&lt;1,((YEAR(X$5)-YEAR($C39))*12+MONTH(X$5)-MONTH($C39)+1)&gt;$D39),0,$E39*IF($G39,1,N(INDEX(Phasing!$I39:$AF39,((YEAR(X$5)-YEAR($C39))*12+MONTH(X$5)-MONTH($C39)+1))))/$F39))</f>
        <v>0</v>
      </c>
      <c r="Y39" s="38" t="n">
        <f aca="false">IF(OR($C39="",$D39="",$F39=0),0,IF(OR(Y$5&lt;=Projects!$C$2,((YEAR(Y$5)-YEAR($C39))*12+MONTH(Y$5)-MONTH($C39)+1)&lt;1,((YEAR(Y$5)-YEAR($C39))*12+MONTH(Y$5)-MONTH($C39)+1)&gt;$D39),0,$E39*IF($G39,1,N(INDEX(Phasing!$I39:$AF39,((YEAR(Y$5)-YEAR($C39))*12+MONTH(Y$5)-MONTH($C39)+1))))/$F39))</f>
        <v>0</v>
      </c>
      <c r="Z39" s="38" t="n">
        <f aca="false">IF(OR($C39="",$D39="",$F39=0),0,IF(OR(Z$5&lt;=Projects!$C$2,((YEAR(Z$5)-YEAR($C39))*12+MONTH(Z$5)-MONTH($C39)+1)&lt;1,((YEAR(Z$5)-YEAR($C39))*12+MONTH(Z$5)-MONTH($C39)+1)&gt;$D39),0,$E39*IF($G39,1,N(INDEX(Phasing!$I39:$AF39,((YEAR(Z$5)-YEAR($C39))*12+MONTH(Z$5)-MONTH($C39)+1))))/$F39))</f>
        <v>0</v>
      </c>
      <c r="AA39" s="38" t="n">
        <f aca="false">IF(OR($C39="",$D39="",$F39=0),0,IF(OR(AA$5&lt;=Projects!$C$2,((YEAR(AA$5)-YEAR($C39))*12+MONTH(AA$5)-MONTH($C39)+1)&lt;1,((YEAR(AA$5)-YEAR($C39))*12+MONTH(AA$5)-MONTH($C39)+1)&gt;$D39),0,$E39*IF($G39,1,N(INDEX(Phasing!$I39:$AF39,((YEAR(AA$5)-YEAR($C39))*12+MONTH(AA$5)-MONTH($C39)+1))))/$F39))</f>
        <v>0</v>
      </c>
      <c r="AB39" s="38" t="n">
        <f aca="false">IF(OR($C39="",$D39="",$F39=0),0,IF(OR(AB$5&lt;=Projects!$C$2,((YEAR(AB$5)-YEAR($C39))*12+MONTH(AB$5)-MONTH($C39)+1)&lt;1,((YEAR(AB$5)-YEAR($C39))*12+MONTH(AB$5)-MONTH($C39)+1)&gt;$D39),0,$E39*IF($G39,1,N(INDEX(Phasing!$I39:$AF39,((YEAR(AB$5)-YEAR($C39))*12+MONTH(AB$5)-MONTH($C39)+1))))/$F39))</f>
        <v>0</v>
      </c>
      <c r="AC39" s="38" t="n">
        <f aca="false">IF(OR($C39="",$D39="",$F39=0),0,IF(OR(AC$5&lt;=Projects!$C$2,((YEAR(AC$5)-YEAR($C39))*12+MONTH(AC$5)-MONTH($C39)+1)&lt;1,((YEAR(AC$5)-YEAR($C39))*12+MONTH(AC$5)-MONTH($C39)+1)&gt;$D39),0,$E39*IF($G39,1,N(INDEX(Phasing!$I39:$AF39,((YEAR(AC$5)-YEAR($C39))*12+MONTH(AC$5)-MONTH($C39)+1))))/$F39))</f>
        <v>0</v>
      </c>
      <c r="AD39" s="38" t="n">
        <f aca="false">IF(OR($C39="",$D39="",$F39=0),0,IF(OR(AD$5&lt;=Projects!$C$2,((YEAR(AD$5)-YEAR($C39))*12+MONTH(AD$5)-MONTH($C39)+1)&lt;1,((YEAR(AD$5)-YEAR($C39))*12+MONTH(AD$5)-MONTH($C39)+1)&gt;$D39),0,$E39*IF($G39,1,N(INDEX(Phasing!$I39:$AF39,((YEAR(AD$5)-YEAR($C39))*12+MONTH(AD$5)-MONTH($C39)+1))))/$F39))</f>
        <v>0</v>
      </c>
      <c r="AE39" s="38" t="n">
        <f aca="false">IF(OR($C39="",$D39="",$F39=0),0,IF(OR(AE$5&lt;=Projects!$C$2,((YEAR(AE$5)-YEAR($C39))*12+MONTH(AE$5)-MONTH($C39)+1)&lt;1,((YEAR(AE$5)-YEAR($C39))*12+MONTH(AE$5)-MONTH($C39)+1)&gt;$D39),0,$E39*IF($G39,1,N(INDEX(Phasing!$I39:$AF39,((YEAR(AE$5)-YEAR($C39))*12+MONTH(AE$5)-MONTH($C39)+1))))/$F39))</f>
        <v>0</v>
      </c>
      <c r="AF39" s="38" t="n">
        <f aca="false">IF(OR($C39="",$D39="",$F39=0),0,IF(OR(AF$5&lt;=Projects!$C$2,((YEAR(AF$5)-YEAR($C39))*12+MONTH(AF$5)-MONTH($C39)+1)&lt;1,((YEAR(AF$5)-YEAR($C39))*12+MONTH(AF$5)-MONTH($C39)+1)&gt;$D39),0,$E39*IF($G39,1,N(INDEX(Phasing!$I39:$AF39,((YEAR(AF$5)-YEAR($C39))*12+MONTH(AF$5)-MONTH($C39)+1))))/$F39))</f>
        <v>0</v>
      </c>
      <c r="AG39" s="38" t="n">
        <f aca="false">IF(OR($C39="",$D39="",$F39=0),0,IF(OR(AG$5&lt;=Projects!$C$2,((YEAR(AG$5)-YEAR($C39))*12+MONTH(AG$5)-MONTH($C39)+1)&lt;1,((YEAR(AG$5)-YEAR($C39))*12+MONTH(AG$5)-MONTH($C39)+1)&gt;$D39),0,$E39*IF($G39,1,N(INDEX(Phasing!$I39:$AF39,((YEAR(AG$5)-YEAR($C39))*12+MONTH(AG$5)-MONTH($C39)+1))))/$F39))</f>
        <v>0</v>
      </c>
      <c r="AH39" s="38" t="n">
        <f aca="false">IF(OR($C39="",$D39="",$F39=0),0,IF(OR(AH$5&lt;=Projects!$C$2,((YEAR(AH$5)-YEAR($C39))*12+MONTH(AH$5)-MONTH($C39)+1)&lt;1,((YEAR(AH$5)-YEAR($C39))*12+MONTH(AH$5)-MONTH($C39)+1)&gt;$D39),0,$E39*IF($G39,1,N(INDEX(Phasing!$I39:$AF39,((YEAR(AH$5)-YEAR($C39))*12+MONTH(AH$5)-MONTH($C39)+1))))/$F39))</f>
        <v>0</v>
      </c>
      <c r="AI39" s="38" t="n">
        <f aca="false">IF(OR($C39="",$D39="",$F39=0),0,IF(OR(AI$5&lt;=Projects!$C$2,((YEAR(AI$5)-YEAR($C39))*12+MONTH(AI$5)-MONTH($C39)+1)&lt;1,((YEAR(AI$5)-YEAR($C39))*12+MONTH(AI$5)-MONTH($C39)+1)&gt;$D39),0,$E39*IF($G39,1,N(INDEX(Phasing!$I39:$AF39,((YEAR(AI$5)-YEAR($C39))*12+MONTH(AI$5)-MONTH($C39)+1))))/$F39))</f>
        <v>0</v>
      </c>
      <c r="AJ39" s="38" t="n">
        <f aca="false">IF(OR($C39="",$D39="",$F39=0),0,IF(OR(AJ$5&lt;=Projects!$C$2,((YEAR(AJ$5)-YEAR($C39))*12+MONTH(AJ$5)-MONTH($C39)+1)&lt;1,((YEAR(AJ$5)-YEAR($C39))*12+MONTH(AJ$5)-MONTH($C39)+1)&gt;$D39),0,$E39*IF($G39,1,N(INDEX(Phasing!$I39:$AF39,((YEAR(AJ$5)-YEAR($C39))*12+MONTH(AJ$5)-MONTH($C39)+1))))/$F39))</f>
        <v>0</v>
      </c>
      <c r="AK39" s="38" t="n">
        <f aca="false">IF(OR($C39="",$D39="",$F39=0),0,IF(OR(AK$5&lt;=Projects!$C$2,((YEAR(AK$5)-YEAR($C39))*12+MONTH(AK$5)-MONTH($C39)+1)&lt;1,((YEAR(AK$5)-YEAR($C39))*12+MONTH(AK$5)-MONTH($C39)+1)&gt;$D39),0,$E39*IF($G39,1,N(INDEX(Phasing!$I39:$AF39,((YEAR(AK$5)-YEAR($C39))*12+MONTH(AK$5)-MONTH($C39)+1))))/$F39))</f>
        <v>0</v>
      </c>
      <c r="AL39" s="38" t="n">
        <f aca="false">IF(OR($C39="",$D39="",$F39=0),0,IF(OR(AL$5&lt;=Projects!$C$2,((YEAR(AL$5)-YEAR($C39))*12+MONTH(AL$5)-MONTH($C39)+1)&lt;1,((YEAR(AL$5)-YEAR($C39))*12+MONTH(AL$5)-MONTH($C39)+1)&gt;$D39),0,$E39*IF($G39,1,N(INDEX(Phasing!$I39:$AF39,((YEAR(AL$5)-YEAR($C39))*12+MONTH(AL$5)-MONTH($C39)+1))))/$F39))</f>
        <v>0</v>
      </c>
      <c r="AM39" s="38" t="n">
        <f aca="false">IF(OR($C39="",$D39="",$F39=0),0,IF(OR(AM$5&lt;=Projects!$C$2,((YEAR(AM$5)-YEAR($C39))*12+MONTH(AM$5)-MONTH($C39)+1)&lt;1,((YEAR(AM$5)-YEAR($C39))*12+MONTH(AM$5)-MONTH($C39)+1)&gt;$D39),0,$E39*IF($G39,1,N(INDEX(Phasing!$I39:$AF39,((YEAR(AM$5)-YEAR($C39))*12+MONTH(AM$5)-MONTH($C39)+1))))/$F39))</f>
        <v>0</v>
      </c>
      <c r="AN39" s="38" t="n">
        <f aca="false">IF(OR($C39="",$D39="",$F39=0),0,IF(OR(AN$5&lt;=Projects!$C$2,((YEAR(AN$5)-YEAR($C39))*12+MONTH(AN$5)-MONTH($C39)+1)&lt;1,((YEAR(AN$5)-YEAR($C39))*12+MONTH(AN$5)-MONTH($C39)+1)&gt;$D39),0,$E39*IF($G39,1,N(INDEX(Phasing!$I39:$AF39,((YEAR(AN$5)-YEAR($C39))*12+MONTH(AN$5)-MONTH($C39)+1))))/$F39))</f>
        <v>0</v>
      </c>
      <c r="AO39" s="38" t="n">
        <f aca="false">IF(OR($C39="",$D39="",$F39=0),0,IF(OR(AO$5&lt;=Projects!$C$2,((YEAR(AO$5)-YEAR($C39))*12+MONTH(AO$5)-MONTH($C39)+1)&lt;1,((YEAR(AO$5)-YEAR($C39))*12+MONTH(AO$5)-MONTH($C39)+1)&gt;$D39),0,$E39*IF($G39,1,N(INDEX(Phasing!$I39:$AF39,((YEAR(AO$5)-YEAR($C39))*12+MONTH(AO$5)-MONTH($C39)+1))))/$F39))</f>
        <v>0</v>
      </c>
      <c r="AP39" s="38" t="n">
        <f aca="false">IF(OR($C39="",$D39="",$F39=0),0,IF(OR(AP$5&lt;=Projects!$C$2,((YEAR(AP$5)-YEAR($C39))*12+MONTH(AP$5)-MONTH($C39)+1)&lt;1,((YEAR(AP$5)-YEAR($C39))*12+MONTH(AP$5)-MONTH($C39)+1)&gt;$D39),0,$E39*IF($G39,1,N(INDEX(Phasing!$I39:$AF39,((YEAR(AP$5)-YEAR($C39))*12+MONTH(AP$5)-MONTH($C39)+1))))/$F39))</f>
        <v>0</v>
      </c>
      <c r="AQ39" s="38" t="n">
        <f aca="false">IF(OR($C39="",$D39="",$F39=0),0,IF(OR(AQ$5&lt;=Projects!$C$2,((YEAR(AQ$5)-YEAR($C39))*12+MONTH(AQ$5)-MONTH($C39)+1)&lt;1,((YEAR(AQ$5)-YEAR($C39))*12+MONTH(AQ$5)-MONTH($C39)+1)&gt;$D39),0,$E39*IF($G39,1,N(INDEX(Phasing!$I39:$AF39,((YEAR(AQ$5)-YEAR($C39))*12+MONTH(AQ$5)-MONTH($C39)+1))))/$F39))</f>
        <v>0</v>
      </c>
    </row>
    <row r="40" customFormat="false" ht="15" hidden="false" customHeight="false" outlineLevel="0" collapsed="false">
      <c r="A40" s="11" t="n">
        <v>35</v>
      </c>
      <c r="B40" s="21" t="str">
        <f aca="false">IF(Projects!B40="","",Projects!B40)</f>
        <v/>
      </c>
      <c r="C40" s="31" t="str">
        <f aca="false">IF(Projects!D40="","",Projects!D40)</f>
        <v/>
      </c>
      <c r="D40" s="21" t="str">
        <f aca="false">IF(Projects!E40="","",Projects!E40)</f>
        <v/>
      </c>
      <c r="E40" s="33" t="n">
        <f aca="false">IF(Projects!B40="",0,N(Projects!I40))</f>
        <v>0</v>
      </c>
      <c r="F40" s="21" t="n">
        <f aca="false">Phasing!G40</f>
        <v>0</v>
      </c>
      <c r="G40" s="48" t="b">
        <f aca="false">Phasing!D40=0</f>
        <v>1</v>
      </c>
      <c r="H40" s="38" t="n">
        <f aca="false">IF(OR($C40="",$D40="",$F40=0),0,IF(OR(H$5&lt;=Projects!$C$2,((YEAR(H$5)-YEAR($C40))*12+MONTH(H$5)-MONTH($C40)+1)&lt;1,((YEAR(H$5)-YEAR($C40))*12+MONTH(H$5)-MONTH($C40)+1)&gt;$D40),0,$E40*IF($G40,1,N(INDEX(Phasing!$I40:$AF40,((YEAR(H$5)-YEAR($C40))*12+MONTH(H$5)-MONTH($C40)+1))))/$F40))</f>
        <v>0</v>
      </c>
      <c r="I40" s="38" t="n">
        <f aca="false">IF(OR($C40="",$D40="",$F40=0),0,IF(OR(I$5&lt;=Projects!$C$2,((YEAR(I$5)-YEAR($C40))*12+MONTH(I$5)-MONTH($C40)+1)&lt;1,((YEAR(I$5)-YEAR($C40))*12+MONTH(I$5)-MONTH($C40)+1)&gt;$D40),0,$E40*IF($G40,1,N(INDEX(Phasing!$I40:$AF40,((YEAR(I$5)-YEAR($C40))*12+MONTH(I$5)-MONTH($C40)+1))))/$F40))</f>
        <v>0</v>
      </c>
      <c r="J40" s="38" t="n">
        <f aca="false">IF(OR($C40="",$D40="",$F40=0),0,IF(OR(J$5&lt;=Projects!$C$2,((YEAR(J$5)-YEAR($C40))*12+MONTH(J$5)-MONTH($C40)+1)&lt;1,((YEAR(J$5)-YEAR($C40))*12+MONTH(J$5)-MONTH($C40)+1)&gt;$D40),0,$E40*IF($G40,1,N(INDEX(Phasing!$I40:$AF40,((YEAR(J$5)-YEAR($C40))*12+MONTH(J$5)-MONTH($C40)+1))))/$F40))</f>
        <v>0</v>
      </c>
      <c r="K40" s="38" t="n">
        <f aca="false">IF(OR($C40="",$D40="",$F40=0),0,IF(OR(K$5&lt;=Projects!$C$2,((YEAR(K$5)-YEAR($C40))*12+MONTH(K$5)-MONTH($C40)+1)&lt;1,((YEAR(K$5)-YEAR($C40))*12+MONTH(K$5)-MONTH($C40)+1)&gt;$D40),0,$E40*IF($G40,1,N(INDEX(Phasing!$I40:$AF40,((YEAR(K$5)-YEAR($C40))*12+MONTH(K$5)-MONTH($C40)+1))))/$F40))</f>
        <v>0</v>
      </c>
      <c r="L40" s="38" t="n">
        <f aca="false">IF(OR($C40="",$D40="",$F40=0),0,IF(OR(L$5&lt;=Projects!$C$2,((YEAR(L$5)-YEAR($C40))*12+MONTH(L$5)-MONTH($C40)+1)&lt;1,((YEAR(L$5)-YEAR($C40))*12+MONTH(L$5)-MONTH($C40)+1)&gt;$D40),0,$E40*IF($G40,1,N(INDEX(Phasing!$I40:$AF40,((YEAR(L$5)-YEAR($C40))*12+MONTH(L$5)-MONTH($C40)+1))))/$F40))</f>
        <v>0</v>
      </c>
      <c r="M40" s="38" t="n">
        <f aca="false">IF(OR($C40="",$D40="",$F40=0),0,IF(OR(M$5&lt;=Projects!$C$2,((YEAR(M$5)-YEAR($C40))*12+MONTH(M$5)-MONTH($C40)+1)&lt;1,((YEAR(M$5)-YEAR($C40))*12+MONTH(M$5)-MONTH($C40)+1)&gt;$D40),0,$E40*IF($G40,1,N(INDEX(Phasing!$I40:$AF40,((YEAR(M$5)-YEAR($C40))*12+MONTH(M$5)-MONTH($C40)+1))))/$F40))</f>
        <v>0</v>
      </c>
      <c r="N40" s="38" t="n">
        <f aca="false">IF(OR($C40="",$D40="",$F40=0),0,IF(OR(N$5&lt;=Projects!$C$2,((YEAR(N$5)-YEAR($C40))*12+MONTH(N$5)-MONTH($C40)+1)&lt;1,((YEAR(N$5)-YEAR($C40))*12+MONTH(N$5)-MONTH($C40)+1)&gt;$D40),0,$E40*IF($G40,1,N(INDEX(Phasing!$I40:$AF40,((YEAR(N$5)-YEAR($C40))*12+MONTH(N$5)-MONTH($C40)+1))))/$F40))</f>
        <v>0</v>
      </c>
      <c r="O40" s="38" t="n">
        <f aca="false">IF(OR($C40="",$D40="",$F40=0),0,IF(OR(O$5&lt;=Projects!$C$2,((YEAR(O$5)-YEAR($C40))*12+MONTH(O$5)-MONTH($C40)+1)&lt;1,((YEAR(O$5)-YEAR($C40))*12+MONTH(O$5)-MONTH($C40)+1)&gt;$D40),0,$E40*IF($G40,1,N(INDEX(Phasing!$I40:$AF40,((YEAR(O$5)-YEAR($C40))*12+MONTH(O$5)-MONTH($C40)+1))))/$F40))</f>
        <v>0</v>
      </c>
      <c r="P40" s="38" t="n">
        <f aca="false">IF(OR($C40="",$D40="",$F40=0),0,IF(OR(P$5&lt;=Projects!$C$2,((YEAR(P$5)-YEAR($C40))*12+MONTH(P$5)-MONTH($C40)+1)&lt;1,((YEAR(P$5)-YEAR($C40))*12+MONTH(P$5)-MONTH($C40)+1)&gt;$D40),0,$E40*IF($G40,1,N(INDEX(Phasing!$I40:$AF40,((YEAR(P$5)-YEAR($C40))*12+MONTH(P$5)-MONTH($C40)+1))))/$F40))</f>
        <v>0</v>
      </c>
      <c r="Q40" s="38" t="n">
        <f aca="false">IF(OR($C40="",$D40="",$F40=0),0,IF(OR(Q$5&lt;=Projects!$C$2,((YEAR(Q$5)-YEAR($C40))*12+MONTH(Q$5)-MONTH($C40)+1)&lt;1,((YEAR(Q$5)-YEAR($C40))*12+MONTH(Q$5)-MONTH($C40)+1)&gt;$D40),0,$E40*IF($G40,1,N(INDEX(Phasing!$I40:$AF40,((YEAR(Q$5)-YEAR($C40))*12+MONTH(Q$5)-MONTH($C40)+1))))/$F40))</f>
        <v>0</v>
      </c>
      <c r="R40" s="38" t="n">
        <f aca="false">IF(OR($C40="",$D40="",$F40=0),0,IF(OR(R$5&lt;=Projects!$C$2,((YEAR(R$5)-YEAR($C40))*12+MONTH(R$5)-MONTH($C40)+1)&lt;1,((YEAR(R$5)-YEAR($C40))*12+MONTH(R$5)-MONTH($C40)+1)&gt;$D40),0,$E40*IF($G40,1,N(INDEX(Phasing!$I40:$AF40,((YEAR(R$5)-YEAR($C40))*12+MONTH(R$5)-MONTH($C40)+1))))/$F40))</f>
        <v>0</v>
      </c>
      <c r="S40" s="38" t="n">
        <f aca="false">IF(OR($C40="",$D40="",$F40=0),0,IF(OR(S$5&lt;=Projects!$C$2,((YEAR(S$5)-YEAR($C40))*12+MONTH(S$5)-MONTH($C40)+1)&lt;1,((YEAR(S$5)-YEAR($C40))*12+MONTH(S$5)-MONTH($C40)+1)&gt;$D40),0,$E40*IF($G40,1,N(INDEX(Phasing!$I40:$AF40,((YEAR(S$5)-YEAR($C40))*12+MONTH(S$5)-MONTH($C40)+1))))/$F40))</f>
        <v>0</v>
      </c>
      <c r="T40" s="38" t="n">
        <f aca="false">IF(OR($C40="",$D40="",$F40=0),0,IF(OR(T$5&lt;=Projects!$C$2,((YEAR(T$5)-YEAR($C40))*12+MONTH(T$5)-MONTH($C40)+1)&lt;1,((YEAR(T$5)-YEAR($C40))*12+MONTH(T$5)-MONTH($C40)+1)&gt;$D40),0,$E40*IF($G40,1,N(INDEX(Phasing!$I40:$AF40,((YEAR(T$5)-YEAR($C40))*12+MONTH(T$5)-MONTH($C40)+1))))/$F40))</f>
        <v>0</v>
      </c>
      <c r="U40" s="38" t="n">
        <f aca="false">IF(OR($C40="",$D40="",$F40=0),0,IF(OR(U$5&lt;=Projects!$C$2,((YEAR(U$5)-YEAR($C40))*12+MONTH(U$5)-MONTH($C40)+1)&lt;1,((YEAR(U$5)-YEAR($C40))*12+MONTH(U$5)-MONTH($C40)+1)&gt;$D40),0,$E40*IF($G40,1,N(INDEX(Phasing!$I40:$AF40,((YEAR(U$5)-YEAR($C40))*12+MONTH(U$5)-MONTH($C40)+1))))/$F40))</f>
        <v>0</v>
      </c>
      <c r="V40" s="38" t="n">
        <f aca="false">IF(OR($C40="",$D40="",$F40=0),0,IF(OR(V$5&lt;=Projects!$C$2,((YEAR(V$5)-YEAR($C40))*12+MONTH(V$5)-MONTH($C40)+1)&lt;1,((YEAR(V$5)-YEAR($C40))*12+MONTH(V$5)-MONTH($C40)+1)&gt;$D40),0,$E40*IF($G40,1,N(INDEX(Phasing!$I40:$AF40,((YEAR(V$5)-YEAR($C40))*12+MONTH(V$5)-MONTH($C40)+1))))/$F40))</f>
        <v>0</v>
      </c>
      <c r="W40" s="38" t="n">
        <f aca="false">IF(OR($C40="",$D40="",$F40=0),0,IF(OR(W$5&lt;=Projects!$C$2,((YEAR(W$5)-YEAR($C40))*12+MONTH(W$5)-MONTH($C40)+1)&lt;1,((YEAR(W$5)-YEAR($C40))*12+MONTH(W$5)-MONTH($C40)+1)&gt;$D40),0,$E40*IF($G40,1,N(INDEX(Phasing!$I40:$AF40,((YEAR(W$5)-YEAR($C40))*12+MONTH(W$5)-MONTH($C40)+1))))/$F40))</f>
        <v>0</v>
      </c>
      <c r="X40" s="38" t="n">
        <f aca="false">IF(OR($C40="",$D40="",$F40=0),0,IF(OR(X$5&lt;=Projects!$C$2,((YEAR(X$5)-YEAR($C40))*12+MONTH(X$5)-MONTH($C40)+1)&lt;1,((YEAR(X$5)-YEAR($C40))*12+MONTH(X$5)-MONTH($C40)+1)&gt;$D40),0,$E40*IF($G40,1,N(INDEX(Phasing!$I40:$AF40,((YEAR(X$5)-YEAR($C40))*12+MONTH(X$5)-MONTH($C40)+1))))/$F40))</f>
        <v>0</v>
      </c>
      <c r="Y40" s="38" t="n">
        <f aca="false">IF(OR($C40="",$D40="",$F40=0),0,IF(OR(Y$5&lt;=Projects!$C$2,((YEAR(Y$5)-YEAR($C40))*12+MONTH(Y$5)-MONTH($C40)+1)&lt;1,((YEAR(Y$5)-YEAR($C40))*12+MONTH(Y$5)-MONTH($C40)+1)&gt;$D40),0,$E40*IF($G40,1,N(INDEX(Phasing!$I40:$AF40,((YEAR(Y$5)-YEAR($C40))*12+MONTH(Y$5)-MONTH($C40)+1))))/$F40))</f>
        <v>0</v>
      </c>
      <c r="Z40" s="38" t="n">
        <f aca="false">IF(OR($C40="",$D40="",$F40=0),0,IF(OR(Z$5&lt;=Projects!$C$2,((YEAR(Z$5)-YEAR($C40))*12+MONTH(Z$5)-MONTH($C40)+1)&lt;1,((YEAR(Z$5)-YEAR($C40))*12+MONTH(Z$5)-MONTH($C40)+1)&gt;$D40),0,$E40*IF($G40,1,N(INDEX(Phasing!$I40:$AF40,((YEAR(Z$5)-YEAR($C40))*12+MONTH(Z$5)-MONTH($C40)+1))))/$F40))</f>
        <v>0</v>
      </c>
      <c r="AA40" s="38" t="n">
        <f aca="false">IF(OR($C40="",$D40="",$F40=0),0,IF(OR(AA$5&lt;=Projects!$C$2,((YEAR(AA$5)-YEAR($C40))*12+MONTH(AA$5)-MONTH($C40)+1)&lt;1,((YEAR(AA$5)-YEAR($C40))*12+MONTH(AA$5)-MONTH($C40)+1)&gt;$D40),0,$E40*IF($G40,1,N(INDEX(Phasing!$I40:$AF40,((YEAR(AA$5)-YEAR($C40))*12+MONTH(AA$5)-MONTH($C40)+1))))/$F40))</f>
        <v>0</v>
      </c>
      <c r="AB40" s="38" t="n">
        <f aca="false">IF(OR($C40="",$D40="",$F40=0),0,IF(OR(AB$5&lt;=Projects!$C$2,((YEAR(AB$5)-YEAR($C40))*12+MONTH(AB$5)-MONTH($C40)+1)&lt;1,((YEAR(AB$5)-YEAR($C40))*12+MONTH(AB$5)-MONTH($C40)+1)&gt;$D40),0,$E40*IF($G40,1,N(INDEX(Phasing!$I40:$AF40,((YEAR(AB$5)-YEAR($C40))*12+MONTH(AB$5)-MONTH($C40)+1))))/$F40))</f>
        <v>0</v>
      </c>
      <c r="AC40" s="38" t="n">
        <f aca="false">IF(OR($C40="",$D40="",$F40=0),0,IF(OR(AC$5&lt;=Projects!$C$2,((YEAR(AC$5)-YEAR($C40))*12+MONTH(AC$5)-MONTH($C40)+1)&lt;1,((YEAR(AC$5)-YEAR($C40))*12+MONTH(AC$5)-MONTH($C40)+1)&gt;$D40),0,$E40*IF($G40,1,N(INDEX(Phasing!$I40:$AF40,((YEAR(AC$5)-YEAR($C40))*12+MONTH(AC$5)-MONTH($C40)+1))))/$F40))</f>
        <v>0</v>
      </c>
      <c r="AD40" s="38" t="n">
        <f aca="false">IF(OR($C40="",$D40="",$F40=0),0,IF(OR(AD$5&lt;=Projects!$C$2,((YEAR(AD$5)-YEAR($C40))*12+MONTH(AD$5)-MONTH($C40)+1)&lt;1,((YEAR(AD$5)-YEAR($C40))*12+MONTH(AD$5)-MONTH($C40)+1)&gt;$D40),0,$E40*IF($G40,1,N(INDEX(Phasing!$I40:$AF40,((YEAR(AD$5)-YEAR($C40))*12+MONTH(AD$5)-MONTH($C40)+1))))/$F40))</f>
        <v>0</v>
      </c>
      <c r="AE40" s="38" t="n">
        <f aca="false">IF(OR($C40="",$D40="",$F40=0),0,IF(OR(AE$5&lt;=Projects!$C$2,((YEAR(AE$5)-YEAR($C40))*12+MONTH(AE$5)-MONTH($C40)+1)&lt;1,((YEAR(AE$5)-YEAR($C40))*12+MONTH(AE$5)-MONTH($C40)+1)&gt;$D40),0,$E40*IF($G40,1,N(INDEX(Phasing!$I40:$AF40,((YEAR(AE$5)-YEAR($C40))*12+MONTH(AE$5)-MONTH($C40)+1))))/$F40))</f>
        <v>0</v>
      </c>
      <c r="AF40" s="38" t="n">
        <f aca="false">IF(OR($C40="",$D40="",$F40=0),0,IF(OR(AF$5&lt;=Projects!$C$2,((YEAR(AF$5)-YEAR($C40))*12+MONTH(AF$5)-MONTH($C40)+1)&lt;1,((YEAR(AF$5)-YEAR($C40))*12+MONTH(AF$5)-MONTH($C40)+1)&gt;$D40),0,$E40*IF($G40,1,N(INDEX(Phasing!$I40:$AF40,((YEAR(AF$5)-YEAR($C40))*12+MONTH(AF$5)-MONTH($C40)+1))))/$F40))</f>
        <v>0</v>
      </c>
      <c r="AG40" s="38" t="n">
        <f aca="false">IF(OR($C40="",$D40="",$F40=0),0,IF(OR(AG$5&lt;=Projects!$C$2,((YEAR(AG$5)-YEAR($C40))*12+MONTH(AG$5)-MONTH($C40)+1)&lt;1,((YEAR(AG$5)-YEAR($C40))*12+MONTH(AG$5)-MONTH($C40)+1)&gt;$D40),0,$E40*IF($G40,1,N(INDEX(Phasing!$I40:$AF40,((YEAR(AG$5)-YEAR($C40))*12+MONTH(AG$5)-MONTH($C40)+1))))/$F40))</f>
        <v>0</v>
      </c>
      <c r="AH40" s="38" t="n">
        <f aca="false">IF(OR($C40="",$D40="",$F40=0),0,IF(OR(AH$5&lt;=Projects!$C$2,((YEAR(AH$5)-YEAR($C40))*12+MONTH(AH$5)-MONTH($C40)+1)&lt;1,((YEAR(AH$5)-YEAR($C40))*12+MONTH(AH$5)-MONTH($C40)+1)&gt;$D40),0,$E40*IF($G40,1,N(INDEX(Phasing!$I40:$AF40,((YEAR(AH$5)-YEAR($C40))*12+MONTH(AH$5)-MONTH($C40)+1))))/$F40))</f>
        <v>0</v>
      </c>
      <c r="AI40" s="38" t="n">
        <f aca="false">IF(OR($C40="",$D40="",$F40=0),0,IF(OR(AI$5&lt;=Projects!$C$2,((YEAR(AI$5)-YEAR($C40))*12+MONTH(AI$5)-MONTH($C40)+1)&lt;1,((YEAR(AI$5)-YEAR($C40))*12+MONTH(AI$5)-MONTH($C40)+1)&gt;$D40),0,$E40*IF($G40,1,N(INDEX(Phasing!$I40:$AF40,((YEAR(AI$5)-YEAR($C40))*12+MONTH(AI$5)-MONTH($C40)+1))))/$F40))</f>
        <v>0</v>
      </c>
      <c r="AJ40" s="38" t="n">
        <f aca="false">IF(OR($C40="",$D40="",$F40=0),0,IF(OR(AJ$5&lt;=Projects!$C$2,((YEAR(AJ$5)-YEAR($C40))*12+MONTH(AJ$5)-MONTH($C40)+1)&lt;1,((YEAR(AJ$5)-YEAR($C40))*12+MONTH(AJ$5)-MONTH($C40)+1)&gt;$D40),0,$E40*IF($G40,1,N(INDEX(Phasing!$I40:$AF40,((YEAR(AJ$5)-YEAR($C40))*12+MONTH(AJ$5)-MONTH($C40)+1))))/$F40))</f>
        <v>0</v>
      </c>
      <c r="AK40" s="38" t="n">
        <f aca="false">IF(OR($C40="",$D40="",$F40=0),0,IF(OR(AK$5&lt;=Projects!$C$2,((YEAR(AK$5)-YEAR($C40))*12+MONTH(AK$5)-MONTH($C40)+1)&lt;1,((YEAR(AK$5)-YEAR($C40))*12+MONTH(AK$5)-MONTH($C40)+1)&gt;$D40),0,$E40*IF($G40,1,N(INDEX(Phasing!$I40:$AF40,((YEAR(AK$5)-YEAR($C40))*12+MONTH(AK$5)-MONTH($C40)+1))))/$F40))</f>
        <v>0</v>
      </c>
      <c r="AL40" s="38" t="n">
        <f aca="false">IF(OR($C40="",$D40="",$F40=0),0,IF(OR(AL$5&lt;=Projects!$C$2,((YEAR(AL$5)-YEAR($C40))*12+MONTH(AL$5)-MONTH($C40)+1)&lt;1,((YEAR(AL$5)-YEAR($C40))*12+MONTH(AL$5)-MONTH($C40)+1)&gt;$D40),0,$E40*IF($G40,1,N(INDEX(Phasing!$I40:$AF40,((YEAR(AL$5)-YEAR($C40))*12+MONTH(AL$5)-MONTH($C40)+1))))/$F40))</f>
        <v>0</v>
      </c>
      <c r="AM40" s="38" t="n">
        <f aca="false">IF(OR($C40="",$D40="",$F40=0),0,IF(OR(AM$5&lt;=Projects!$C$2,((YEAR(AM$5)-YEAR($C40))*12+MONTH(AM$5)-MONTH($C40)+1)&lt;1,((YEAR(AM$5)-YEAR($C40))*12+MONTH(AM$5)-MONTH($C40)+1)&gt;$D40),0,$E40*IF($G40,1,N(INDEX(Phasing!$I40:$AF40,((YEAR(AM$5)-YEAR($C40))*12+MONTH(AM$5)-MONTH($C40)+1))))/$F40))</f>
        <v>0</v>
      </c>
      <c r="AN40" s="38" t="n">
        <f aca="false">IF(OR($C40="",$D40="",$F40=0),0,IF(OR(AN$5&lt;=Projects!$C$2,((YEAR(AN$5)-YEAR($C40))*12+MONTH(AN$5)-MONTH($C40)+1)&lt;1,((YEAR(AN$5)-YEAR($C40))*12+MONTH(AN$5)-MONTH($C40)+1)&gt;$D40),0,$E40*IF($G40,1,N(INDEX(Phasing!$I40:$AF40,((YEAR(AN$5)-YEAR($C40))*12+MONTH(AN$5)-MONTH($C40)+1))))/$F40))</f>
        <v>0</v>
      </c>
      <c r="AO40" s="38" t="n">
        <f aca="false">IF(OR($C40="",$D40="",$F40=0),0,IF(OR(AO$5&lt;=Projects!$C$2,((YEAR(AO$5)-YEAR($C40))*12+MONTH(AO$5)-MONTH($C40)+1)&lt;1,((YEAR(AO$5)-YEAR($C40))*12+MONTH(AO$5)-MONTH($C40)+1)&gt;$D40),0,$E40*IF($G40,1,N(INDEX(Phasing!$I40:$AF40,((YEAR(AO$5)-YEAR($C40))*12+MONTH(AO$5)-MONTH($C40)+1))))/$F40))</f>
        <v>0</v>
      </c>
      <c r="AP40" s="38" t="n">
        <f aca="false">IF(OR($C40="",$D40="",$F40=0),0,IF(OR(AP$5&lt;=Projects!$C$2,((YEAR(AP$5)-YEAR($C40))*12+MONTH(AP$5)-MONTH($C40)+1)&lt;1,((YEAR(AP$5)-YEAR($C40))*12+MONTH(AP$5)-MONTH($C40)+1)&gt;$D40),0,$E40*IF($G40,1,N(INDEX(Phasing!$I40:$AF40,((YEAR(AP$5)-YEAR($C40))*12+MONTH(AP$5)-MONTH($C40)+1))))/$F40))</f>
        <v>0</v>
      </c>
      <c r="AQ40" s="38" t="n">
        <f aca="false">IF(OR($C40="",$D40="",$F40=0),0,IF(OR(AQ$5&lt;=Projects!$C$2,((YEAR(AQ$5)-YEAR($C40))*12+MONTH(AQ$5)-MONTH($C40)+1)&lt;1,((YEAR(AQ$5)-YEAR($C40))*12+MONTH(AQ$5)-MONTH($C40)+1)&gt;$D40),0,$E40*IF($G40,1,N(INDEX(Phasing!$I40:$AF40,((YEAR(AQ$5)-YEAR($C40))*12+MONTH(AQ$5)-MONTH($C40)+1))))/$F40))</f>
        <v>0</v>
      </c>
    </row>
    <row r="41" customFormat="false" ht="15" hidden="false" customHeight="false" outlineLevel="0" collapsed="false">
      <c r="A41" s="11" t="n">
        <v>36</v>
      </c>
      <c r="B41" s="21" t="str">
        <f aca="false">IF(Projects!B41="","",Projects!B41)</f>
        <v/>
      </c>
      <c r="C41" s="31" t="str">
        <f aca="false">IF(Projects!D41="","",Projects!D41)</f>
        <v/>
      </c>
      <c r="D41" s="21" t="str">
        <f aca="false">IF(Projects!E41="","",Projects!E41)</f>
        <v/>
      </c>
      <c r="E41" s="33" t="n">
        <f aca="false">IF(Projects!B41="",0,N(Projects!I41))</f>
        <v>0</v>
      </c>
      <c r="F41" s="21" t="n">
        <f aca="false">Phasing!G41</f>
        <v>0</v>
      </c>
      <c r="G41" s="48" t="b">
        <f aca="false">Phasing!D41=0</f>
        <v>1</v>
      </c>
      <c r="H41" s="38" t="n">
        <f aca="false">IF(OR($C41="",$D41="",$F41=0),0,IF(OR(H$5&lt;=Projects!$C$2,((YEAR(H$5)-YEAR($C41))*12+MONTH(H$5)-MONTH($C41)+1)&lt;1,((YEAR(H$5)-YEAR($C41))*12+MONTH(H$5)-MONTH($C41)+1)&gt;$D41),0,$E41*IF($G41,1,N(INDEX(Phasing!$I41:$AF41,((YEAR(H$5)-YEAR($C41))*12+MONTH(H$5)-MONTH($C41)+1))))/$F41))</f>
        <v>0</v>
      </c>
      <c r="I41" s="38" t="n">
        <f aca="false">IF(OR($C41="",$D41="",$F41=0),0,IF(OR(I$5&lt;=Projects!$C$2,((YEAR(I$5)-YEAR($C41))*12+MONTH(I$5)-MONTH($C41)+1)&lt;1,((YEAR(I$5)-YEAR($C41))*12+MONTH(I$5)-MONTH($C41)+1)&gt;$D41),0,$E41*IF($G41,1,N(INDEX(Phasing!$I41:$AF41,((YEAR(I$5)-YEAR($C41))*12+MONTH(I$5)-MONTH($C41)+1))))/$F41))</f>
        <v>0</v>
      </c>
      <c r="J41" s="38" t="n">
        <f aca="false">IF(OR($C41="",$D41="",$F41=0),0,IF(OR(J$5&lt;=Projects!$C$2,((YEAR(J$5)-YEAR($C41))*12+MONTH(J$5)-MONTH($C41)+1)&lt;1,((YEAR(J$5)-YEAR($C41))*12+MONTH(J$5)-MONTH($C41)+1)&gt;$D41),0,$E41*IF($G41,1,N(INDEX(Phasing!$I41:$AF41,((YEAR(J$5)-YEAR($C41))*12+MONTH(J$5)-MONTH($C41)+1))))/$F41))</f>
        <v>0</v>
      </c>
      <c r="K41" s="38" t="n">
        <f aca="false">IF(OR($C41="",$D41="",$F41=0),0,IF(OR(K$5&lt;=Projects!$C$2,((YEAR(K$5)-YEAR($C41))*12+MONTH(K$5)-MONTH($C41)+1)&lt;1,((YEAR(K$5)-YEAR($C41))*12+MONTH(K$5)-MONTH($C41)+1)&gt;$D41),0,$E41*IF($G41,1,N(INDEX(Phasing!$I41:$AF41,((YEAR(K$5)-YEAR($C41))*12+MONTH(K$5)-MONTH($C41)+1))))/$F41))</f>
        <v>0</v>
      </c>
      <c r="L41" s="38" t="n">
        <f aca="false">IF(OR($C41="",$D41="",$F41=0),0,IF(OR(L$5&lt;=Projects!$C$2,((YEAR(L$5)-YEAR($C41))*12+MONTH(L$5)-MONTH($C41)+1)&lt;1,((YEAR(L$5)-YEAR($C41))*12+MONTH(L$5)-MONTH($C41)+1)&gt;$D41),0,$E41*IF($G41,1,N(INDEX(Phasing!$I41:$AF41,((YEAR(L$5)-YEAR($C41))*12+MONTH(L$5)-MONTH($C41)+1))))/$F41))</f>
        <v>0</v>
      </c>
      <c r="M41" s="38" t="n">
        <f aca="false">IF(OR($C41="",$D41="",$F41=0),0,IF(OR(M$5&lt;=Projects!$C$2,((YEAR(M$5)-YEAR($C41))*12+MONTH(M$5)-MONTH($C41)+1)&lt;1,((YEAR(M$5)-YEAR($C41))*12+MONTH(M$5)-MONTH($C41)+1)&gt;$D41),0,$E41*IF($G41,1,N(INDEX(Phasing!$I41:$AF41,((YEAR(M$5)-YEAR($C41))*12+MONTH(M$5)-MONTH($C41)+1))))/$F41))</f>
        <v>0</v>
      </c>
      <c r="N41" s="38" t="n">
        <f aca="false">IF(OR($C41="",$D41="",$F41=0),0,IF(OR(N$5&lt;=Projects!$C$2,((YEAR(N$5)-YEAR($C41))*12+MONTH(N$5)-MONTH($C41)+1)&lt;1,((YEAR(N$5)-YEAR($C41))*12+MONTH(N$5)-MONTH($C41)+1)&gt;$D41),0,$E41*IF($G41,1,N(INDEX(Phasing!$I41:$AF41,((YEAR(N$5)-YEAR($C41))*12+MONTH(N$5)-MONTH($C41)+1))))/$F41))</f>
        <v>0</v>
      </c>
      <c r="O41" s="38" t="n">
        <f aca="false">IF(OR($C41="",$D41="",$F41=0),0,IF(OR(O$5&lt;=Projects!$C$2,((YEAR(O$5)-YEAR($C41))*12+MONTH(O$5)-MONTH($C41)+1)&lt;1,((YEAR(O$5)-YEAR($C41))*12+MONTH(O$5)-MONTH($C41)+1)&gt;$D41),0,$E41*IF($G41,1,N(INDEX(Phasing!$I41:$AF41,((YEAR(O$5)-YEAR($C41))*12+MONTH(O$5)-MONTH($C41)+1))))/$F41))</f>
        <v>0</v>
      </c>
      <c r="P41" s="38" t="n">
        <f aca="false">IF(OR($C41="",$D41="",$F41=0),0,IF(OR(P$5&lt;=Projects!$C$2,((YEAR(P$5)-YEAR($C41))*12+MONTH(P$5)-MONTH($C41)+1)&lt;1,((YEAR(P$5)-YEAR($C41))*12+MONTH(P$5)-MONTH($C41)+1)&gt;$D41),0,$E41*IF($G41,1,N(INDEX(Phasing!$I41:$AF41,((YEAR(P$5)-YEAR($C41))*12+MONTH(P$5)-MONTH($C41)+1))))/$F41))</f>
        <v>0</v>
      </c>
      <c r="Q41" s="38" t="n">
        <f aca="false">IF(OR($C41="",$D41="",$F41=0),0,IF(OR(Q$5&lt;=Projects!$C$2,((YEAR(Q$5)-YEAR($C41))*12+MONTH(Q$5)-MONTH($C41)+1)&lt;1,((YEAR(Q$5)-YEAR($C41))*12+MONTH(Q$5)-MONTH($C41)+1)&gt;$D41),0,$E41*IF($G41,1,N(INDEX(Phasing!$I41:$AF41,((YEAR(Q$5)-YEAR($C41))*12+MONTH(Q$5)-MONTH($C41)+1))))/$F41))</f>
        <v>0</v>
      </c>
      <c r="R41" s="38" t="n">
        <f aca="false">IF(OR($C41="",$D41="",$F41=0),0,IF(OR(R$5&lt;=Projects!$C$2,((YEAR(R$5)-YEAR($C41))*12+MONTH(R$5)-MONTH($C41)+1)&lt;1,((YEAR(R$5)-YEAR($C41))*12+MONTH(R$5)-MONTH($C41)+1)&gt;$D41),0,$E41*IF($G41,1,N(INDEX(Phasing!$I41:$AF41,((YEAR(R$5)-YEAR($C41))*12+MONTH(R$5)-MONTH($C41)+1))))/$F41))</f>
        <v>0</v>
      </c>
      <c r="S41" s="38" t="n">
        <f aca="false">IF(OR($C41="",$D41="",$F41=0),0,IF(OR(S$5&lt;=Projects!$C$2,((YEAR(S$5)-YEAR($C41))*12+MONTH(S$5)-MONTH($C41)+1)&lt;1,((YEAR(S$5)-YEAR($C41))*12+MONTH(S$5)-MONTH($C41)+1)&gt;$D41),0,$E41*IF($G41,1,N(INDEX(Phasing!$I41:$AF41,((YEAR(S$5)-YEAR($C41))*12+MONTH(S$5)-MONTH($C41)+1))))/$F41))</f>
        <v>0</v>
      </c>
      <c r="T41" s="38" t="n">
        <f aca="false">IF(OR($C41="",$D41="",$F41=0),0,IF(OR(T$5&lt;=Projects!$C$2,((YEAR(T$5)-YEAR($C41))*12+MONTH(T$5)-MONTH($C41)+1)&lt;1,((YEAR(T$5)-YEAR($C41))*12+MONTH(T$5)-MONTH($C41)+1)&gt;$D41),0,$E41*IF($G41,1,N(INDEX(Phasing!$I41:$AF41,((YEAR(T$5)-YEAR($C41))*12+MONTH(T$5)-MONTH($C41)+1))))/$F41))</f>
        <v>0</v>
      </c>
      <c r="U41" s="38" t="n">
        <f aca="false">IF(OR($C41="",$D41="",$F41=0),0,IF(OR(U$5&lt;=Projects!$C$2,((YEAR(U$5)-YEAR($C41))*12+MONTH(U$5)-MONTH($C41)+1)&lt;1,((YEAR(U$5)-YEAR($C41))*12+MONTH(U$5)-MONTH($C41)+1)&gt;$D41),0,$E41*IF($G41,1,N(INDEX(Phasing!$I41:$AF41,((YEAR(U$5)-YEAR($C41))*12+MONTH(U$5)-MONTH($C41)+1))))/$F41))</f>
        <v>0</v>
      </c>
      <c r="V41" s="38" t="n">
        <f aca="false">IF(OR($C41="",$D41="",$F41=0),0,IF(OR(V$5&lt;=Projects!$C$2,((YEAR(V$5)-YEAR($C41))*12+MONTH(V$5)-MONTH($C41)+1)&lt;1,((YEAR(V$5)-YEAR($C41))*12+MONTH(V$5)-MONTH($C41)+1)&gt;$D41),0,$E41*IF($G41,1,N(INDEX(Phasing!$I41:$AF41,((YEAR(V$5)-YEAR($C41))*12+MONTH(V$5)-MONTH($C41)+1))))/$F41))</f>
        <v>0</v>
      </c>
      <c r="W41" s="38" t="n">
        <f aca="false">IF(OR($C41="",$D41="",$F41=0),0,IF(OR(W$5&lt;=Projects!$C$2,((YEAR(W$5)-YEAR($C41))*12+MONTH(W$5)-MONTH($C41)+1)&lt;1,((YEAR(W$5)-YEAR($C41))*12+MONTH(W$5)-MONTH($C41)+1)&gt;$D41),0,$E41*IF($G41,1,N(INDEX(Phasing!$I41:$AF41,((YEAR(W$5)-YEAR($C41))*12+MONTH(W$5)-MONTH($C41)+1))))/$F41))</f>
        <v>0</v>
      </c>
      <c r="X41" s="38" t="n">
        <f aca="false">IF(OR($C41="",$D41="",$F41=0),0,IF(OR(X$5&lt;=Projects!$C$2,((YEAR(X$5)-YEAR($C41))*12+MONTH(X$5)-MONTH($C41)+1)&lt;1,((YEAR(X$5)-YEAR($C41))*12+MONTH(X$5)-MONTH($C41)+1)&gt;$D41),0,$E41*IF($G41,1,N(INDEX(Phasing!$I41:$AF41,((YEAR(X$5)-YEAR($C41))*12+MONTH(X$5)-MONTH($C41)+1))))/$F41))</f>
        <v>0</v>
      </c>
      <c r="Y41" s="38" t="n">
        <f aca="false">IF(OR($C41="",$D41="",$F41=0),0,IF(OR(Y$5&lt;=Projects!$C$2,((YEAR(Y$5)-YEAR($C41))*12+MONTH(Y$5)-MONTH($C41)+1)&lt;1,((YEAR(Y$5)-YEAR($C41))*12+MONTH(Y$5)-MONTH($C41)+1)&gt;$D41),0,$E41*IF($G41,1,N(INDEX(Phasing!$I41:$AF41,((YEAR(Y$5)-YEAR($C41))*12+MONTH(Y$5)-MONTH($C41)+1))))/$F41))</f>
        <v>0</v>
      </c>
      <c r="Z41" s="38" t="n">
        <f aca="false">IF(OR($C41="",$D41="",$F41=0),0,IF(OR(Z$5&lt;=Projects!$C$2,((YEAR(Z$5)-YEAR($C41))*12+MONTH(Z$5)-MONTH($C41)+1)&lt;1,((YEAR(Z$5)-YEAR($C41))*12+MONTH(Z$5)-MONTH($C41)+1)&gt;$D41),0,$E41*IF($G41,1,N(INDEX(Phasing!$I41:$AF41,((YEAR(Z$5)-YEAR($C41))*12+MONTH(Z$5)-MONTH($C41)+1))))/$F41))</f>
        <v>0</v>
      </c>
      <c r="AA41" s="38" t="n">
        <f aca="false">IF(OR($C41="",$D41="",$F41=0),0,IF(OR(AA$5&lt;=Projects!$C$2,((YEAR(AA$5)-YEAR($C41))*12+MONTH(AA$5)-MONTH($C41)+1)&lt;1,((YEAR(AA$5)-YEAR($C41))*12+MONTH(AA$5)-MONTH($C41)+1)&gt;$D41),0,$E41*IF($G41,1,N(INDEX(Phasing!$I41:$AF41,((YEAR(AA$5)-YEAR($C41))*12+MONTH(AA$5)-MONTH($C41)+1))))/$F41))</f>
        <v>0</v>
      </c>
      <c r="AB41" s="38" t="n">
        <f aca="false">IF(OR($C41="",$D41="",$F41=0),0,IF(OR(AB$5&lt;=Projects!$C$2,((YEAR(AB$5)-YEAR($C41))*12+MONTH(AB$5)-MONTH($C41)+1)&lt;1,((YEAR(AB$5)-YEAR($C41))*12+MONTH(AB$5)-MONTH($C41)+1)&gt;$D41),0,$E41*IF($G41,1,N(INDEX(Phasing!$I41:$AF41,((YEAR(AB$5)-YEAR($C41))*12+MONTH(AB$5)-MONTH($C41)+1))))/$F41))</f>
        <v>0</v>
      </c>
      <c r="AC41" s="38" t="n">
        <f aca="false">IF(OR($C41="",$D41="",$F41=0),0,IF(OR(AC$5&lt;=Projects!$C$2,((YEAR(AC$5)-YEAR($C41))*12+MONTH(AC$5)-MONTH($C41)+1)&lt;1,((YEAR(AC$5)-YEAR($C41))*12+MONTH(AC$5)-MONTH($C41)+1)&gt;$D41),0,$E41*IF($G41,1,N(INDEX(Phasing!$I41:$AF41,((YEAR(AC$5)-YEAR($C41))*12+MONTH(AC$5)-MONTH($C41)+1))))/$F41))</f>
        <v>0</v>
      </c>
      <c r="AD41" s="38" t="n">
        <f aca="false">IF(OR($C41="",$D41="",$F41=0),0,IF(OR(AD$5&lt;=Projects!$C$2,((YEAR(AD$5)-YEAR($C41))*12+MONTH(AD$5)-MONTH($C41)+1)&lt;1,((YEAR(AD$5)-YEAR($C41))*12+MONTH(AD$5)-MONTH($C41)+1)&gt;$D41),0,$E41*IF($G41,1,N(INDEX(Phasing!$I41:$AF41,((YEAR(AD$5)-YEAR($C41))*12+MONTH(AD$5)-MONTH($C41)+1))))/$F41))</f>
        <v>0</v>
      </c>
      <c r="AE41" s="38" t="n">
        <f aca="false">IF(OR($C41="",$D41="",$F41=0),0,IF(OR(AE$5&lt;=Projects!$C$2,((YEAR(AE$5)-YEAR($C41))*12+MONTH(AE$5)-MONTH($C41)+1)&lt;1,((YEAR(AE$5)-YEAR($C41))*12+MONTH(AE$5)-MONTH($C41)+1)&gt;$D41),0,$E41*IF($G41,1,N(INDEX(Phasing!$I41:$AF41,((YEAR(AE$5)-YEAR($C41))*12+MONTH(AE$5)-MONTH($C41)+1))))/$F41))</f>
        <v>0</v>
      </c>
      <c r="AF41" s="38" t="n">
        <f aca="false">IF(OR($C41="",$D41="",$F41=0),0,IF(OR(AF$5&lt;=Projects!$C$2,((YEAR(AF$5)-YEAR($C41))*12+MONTH(AF$5)-MONTH($C41)+1)&lt;1,((YEAR(AF$5)-YEAR($C41))*12+MONTH(AF$5)-MONTH($C41)+1)&gt;$D41),0,$E41*IF($G41,1,N(INDEX(Phasing!$I41:$AF41,((YEAR(AF$5)-YEAR($C41))*12+MONTH(AF$5)-MONTH($C41)+1))))/$F41))</f>
        <v>0</v>
      </c>
      <c r="AG41" s="38" t="n">
        <f aca="false">IF(OR($C41="",$D41="",$F41=0),0,IF(OR(AG$5&lt;=Projects!$C$2,((YEAR(AG$5)-YEAR($C41))*12+MONTH(AG$5)-MONTH($C41)+1)&lt;1,((YEAR(AG$5)-YEAR($C41))*12+MONTH(AG$5)-MONTH($C41)+1)&gt;$D41),0,$E41*IF($G41,1,N(INDEX(Phasing!$I41:$AF41,((YEAR(AG$5)-YEAR($C41))*12+MONTH(AG$5)-MONTH($C41)+1))))/$F41))</f>
        <v>0</v>
      </c>
      <c r="AH41" s="38" t="n">
        <f aca="false">IF(OR($C41="",$D41="",$F41=0),0,IF(OR(AH$5&lt;=Projects!$C$2,((YEAR(AH$5)-YEAR($C41))*12+MONTH(AH$5)-MONTH($C41)+1)&lt;1,((YEAR(AH$5)-YEAR($C41))*12+MONTH(AH$5)-MONTH($C41)+1)&gt;$D41),0,$E41*IF($G41,1,N(INDEX(Phasing!$I41:$AF41,((YEAR(AH$5)-YEAR($C41))*12+MONTH(AH$5)-MONTH($C41)+1))))/$F41))</f>
        <v>0</v>
      </c>
      <c r="AI41" s="38" t="n">
        <f aca="false">IF(OR($C41="",$D41="",$F41=0),0,IF(OR(AI$5&lt;=Projects!$C$2,((YEAR(AI$5)-YEAR($C41))*12+MONTH(AI$5)-MONTH($C41)+1)&lt;1,((YEAR(AI$5)-YEAR($C41))*12+MONTH(AI$5)-MONTH($C41)+1)&gt;$D41),0,$E41*IF($G41,1,N(INDEX(Phasing!$I41:$AF41,((YEAR(AI$5)-YEAR($C41))*12+MONTH(AI$5)-MONTH($C41)+1))))/$F41))</f>
        <v>0</v>
      </c>
      <c r="AJ41" s="38" t="n">
        <f aca="false">IF(OR($C41="",$D41="",$F41=0),0,IF(OR(AJ$5&lt;=Projects!$C$2,((YEAR(AJ$5)-YEAR($C41))*12+MONTH(AJ$5)-MONTH($C41)+1)&lt;1,((YEAR(AJ$5)-YEAR($C41))*12+MONTH(AJ$5)-MONTH($C41)+1)&gt;$D41),0,$E41*IF($G41,1,N(INDEX(Phasing!$I41:$AF41,((YEAR(AJ$5)-YEAR($C41))*12+MONTH(AJ$5)-MONTH($C41)+1))))/$F41))</f>
        <v>0</v>
      </c>
      <c r="AK41" s="38" t="n">
        <f aca="false">IF(OR($C41="",$D41="",$F41=0),0,IF(OR(AK$5&lt;=Projects!$C$2,((YEAR(AK$5)-YEAR($C41))*12+MONTH(AK$5)-MONTH($C41)+1)&lt;1,((YEAR(AK$5)-YEAR($C41))*12+MONTH(AK$5)-MONTH($C41)+1)&gt;$D41),0,$E41*IF($G41,1,N(INDEX(Phasing!$I41:$AF41,((YEAR(AK$5)-YEAR($C41))*12+MONTH(AK$5)-MONTH($C41)+1))))/$F41))</f>
        <v>0</v>
      </c>
      <c r="AL41" s="38" t="n">
        <f aca="false">IF(OR($C41="",$D41="",$F41=0),0,IF(OR(AL$5&lt;=Projects!$C$2,((YEAR(AL$5)-YEAR($C41))*12+MONTH(AL$5)-MONTH($C41)+1)&lt;1,((YEAR(AL$5)-YEAR($C41))*12+MONTH(AL$5)-MONTH($C41)+1)&gt;$D41),0,$E41*IF($G41,1,N(INDEX(Phasing!$I41:$AF41,((YEAR(AL$5)-YEAR($C41))*12+MONTH(AL$5)-MONTH($C41)+1))))/$F41))</f>
        <v>0</v>
      </c>
      <c r="AM41" s="38" t="n">
        <f aca="false">IF(OR($C41="",$D41="",$F41=0),0,IF(OR(AM$5&lt;=Projects!$C$2,((YEAR(AM$5)-YEAR($C41))*12+MONTH(AM$5)-MONTH($C41)+1)&lt;1,((YEAR(AM$5)-YEAR($C41))*12+MONTH(AM$5)-MONTH($C41)+1)&gt;$D41),0,$E41*IF($G41,1,N(INDEX(Phasing!$I41:$AF41,((YEAR(AM$5)-YEAR($C41))*12+MONTH(AM$5)-MONTH($C41)+1))))/$F41))</f>
        <v>0</v>
      </c>
      <c r="AN41" s="38" t="n">
        <f aca="false">IF(OR($C41="",$D41="",$F41=0),0,IF(OR(AN$5&lt;=Projects!$C$2,((YEAR(AN$5)-YEAR($C41))*12+MONTH(AN$5)-MONTH($C41)+1)&lt;1,((YEAR(AN$5)-YEAR($C41))*12+MONTH(AN$5)-MONTH($C41)+1)&gt;$D41),0,$E41*IF($G41,1,N(INDEX(Phasing!$I41:$AF41,((YEAR(AN$5)-YEAR($C41))*12+MONTH(AN$5)-MONTH($C41)+1))))/$F41))</f>
        <v>0</v>
      </c>
      <c r="AO41" s="38" t="n">
        <f aca="false">IF(OR($C41="",$D41="",$F41=0),0,IF(OR(AO$5&lt;=Projects!$C$2,((YEAR(AO$5)-YEAR($C41))*12+MONTH(AO$5)-MONTH($C41)+1)&lt;1,((YEAR(AO$5)-YEAR($C41))*12+MONTH(AO$5)-MONTH($C41)+1)&gt;$D41),0,$E41*IF($G41,1,N(INDEX(Phasing!$I41:$AF41,((YEAR(AO$5)-YEAR($C41))*12+MONTH(AO$5)-MONTH($C41)+1))))/$F41))</f>
        <v>0</v>
      </c>
      <c r="AP41" s="38" t="n">
        <f aca="false">IF(OR($C41="",$D41="",$F41=0),0,IF(OR(AP$5&lt;=Projects!$C$2,((YEAR(AP$5)-YEAR($C41))*12+MONTH(AP$5)-MONTH($C41)+1)&lt;1,((YEAR(AP$5)-YEAR($C41))*12+MONTH(AP$5)-MONTH($C41)+1)&gt;$D41),0,$E41*IF($G41,1,N(INDEX(Phasing!$I41:$AF41,((YEAR(AP$5)-YEAR($C41))*12+MONTH(AP$5)-MONTH($C41)+1))))/$F41))</f>
        <v>0</v>
      </c>
      <c r="AQ41" s="38" t="n">
        <f aca="false">IF(OR($C41="",$D41="",$F41=0),0,IF(OR(AQ$5&lt;=Projects!$C$2,((YEAR(AQ$5)-YEAR($C41))*12+MONTH(AQ$5)-MONTH($C41)+1)&lt;1,((YEAR(AQ$5)-YEAR($C41))*12+MONTH(AQ$5)-MONTH($C41)+1)&gt;$D41),0,$E41*IF($G41,1,N(INDEX(Phasing!$I41:$AF41,((YEAR(AQ$5)-YEAR($C41))*12+MONTH(AQ$5)-MONTH($C41)+1))))/$F41))</f>
        <v>0</v>
      </c>
    </row>
    <row r="42" customFormat="false" ht="15" hidden="false" customHeight="false" outlineLevel="0" collapsed="false">
      <c r="A42" s="11" t="n">
        <v>37</v>
      </c>
      <c r="B42" s="21" t="str">
        <f aca="false">IF(Projects!B42="","",Projects!B42)</f>
        <v/>
      </c>
      <c r="C42" s="31" t="str">
        <f aca="false">IF(Projects!D42="","",Projects!D42)</f>
        <v/>
      </c>
      <c r="D42" s="21" t="str">
        <f aca="false">IF(Projects!E42="","",Projects!E42)</f>
        <v/>
      </c>
      <c r="E42" s="33" t="n">
        <f aca="false">IF(Projects!B42="",0,N(Projects!I42))</f>
        <v>0</v>
      </c>
      <c r="F42" s="21" t="n">
        <f aca="false">Phasing!G42</f>
        <v>0</v>
      </c>
      <c r="G42" s="48" t="b">
        <f aca="false">Phasing!D42=0</f>
        <v>1</v>
      </c>
      <c r="H42" s="38" t="n">
        <f aca="false">IF(OR($C42="",$D42="",$F42=0),0,IF(OR(H$5&lt;=Projects!$C$2,((YEAR(H$5)-YEAR($C42))*12+MONTH(H$5)-MONTH($C42)+1)&lt;1,((YEAR(H$5)-YEAR($C42))*12+MONTH(H$5)-MONTH($C42)+1)&gt;$D42),0,$E42*IF($G42,1,N(INDEX(Phasing!$I42:$AF42,((YEAR(H$5)-YEAR($C42))*12+MONTH(H$5)-MONTH($C42)+1))))/$F42))</f>
        <v>0</v>
      </c>
      <c r="I42" s="38" t="n">
        <f aca="false">IF(OR($C42="",$D42="",$F42=0),0,IF(OR(I$5&lt;=Projects!$C$2,((YEAR(I$5)-YEAR($C42))*12+MONTH(I$5)-MONTH($C42)+1)&lt;1,((YEAR(I$5)-YEAR($C42))*12+MONTH(I$5)-MONTH($C42)+1)&gt;$D42),0,$E42*IF($G42,1,N(INDEX(Phasing!$I42:$AF42,((YEAR(I$5)-YEAR($C42))*12+MONTH(I$5)-MONTH($C42)+1))))/$F42))</f>
        <v>0</v>
      </c>
      <c r="J42" s="38" t="n">
        <f aca="false">IF(OR($C42="",$D42="",$F42=0),0,IF(OR(J$5&lt;=Projects!$C$2,((YEAR(J$5)-YEAR($C42))*12+MONTH(J$5)-MONTH($C42)+1)&lt;1,((YEAR(J$5)-YEAR($C42))*12+MONTH(J$5)-MONTH($C42)+1)&gt;$D42),0,$E42*IF($G42,1,N(INDEX(Phasing!$I42:$AF42,((YEAR(J$5)-YEAR($C42))*12+MONTH(J$5)-MONTH($C42)+1))))/$F42))</f>
        <v>0</v>
      </c>
      <c r="K42" s="38" t="n">
        <f aca="false">IF(OR($C42="",$D42="",$F42=0),0,IF(OR(K$5&lt;=Projects!$C$2,((YEAR(K$5)-YEAR($C42))*12+MONTH(K$5)-MONTH($C42)+1)&lt;1,((YEAR(K$5)-YEAR($C42))*12+MONTH(K$5)-MONTH($C42)+1)&gt;$D42),0,$E42*IF($G42,1,N(INDEX(Phasing!$I42:$AF42,((YEAR(K$5)-YEAR($C42))*12+MONTH(K$5)-MONTH($C42)+1))))/$F42))</f>
        <v>0</v>
      </c>
      <c r="L42" s="38" t="n">
        <f aca="false">IF(OR($C42="",$D42="",$F42=0),0,IF(OR(L$5&lt;=Projects!$C$2,((YEAR(L$5)-YEAR($C42))*12+MONTH(L$5)-MONTH($C42)+1)&lt;1,((YEAR(L$5)-YEAR($C42))*12+MONTH(L$5)-MONTH($C42)+1)&gt;$D42),0,$E42*IF($G42,1,N(INDEX(Phasing!$I42:$AF42,((YEAR(L$5)-YEAR($C42))*12+MONTH(L$5)-MONTH($C42)+1))))/$F42))</f>
        <v>0</v>
      </c>
      <c r="M42" s="38" t="n">
        <f aca="false">IF(OR($C42="",$D42="",$F42=0),0,IF(OR(M$5&lt;=Projects!$C$2,((YEAR(M$5)-YEAR($C42))*12+MONTH(M$5)-MONTH($C42)+1)&lt;1,((YEAR(M$5)-YEAR($C42))*12+MONTH(M$5)-MONTH($C42)+1)&gt;$D42),0,$E42*IF($G42,1,N(INDEX(Phasing!$I42:$AF42,((YEAR(M$5)-YEAR($C42))*12+MONTH(M$5)-MONTH($C42)+1))))/$F42))</f>
        <v>0</v>
      </c>
      <c r="N42" s="38" t="n">
        <f aca="false">IF(OR($C42="",$D42="",$F42=0),0,IF(OR(N$5&lt;=Projects!$C$2,((YEAR(N$5)-YEAR($C42))*12+MONTH(N$5)-MONTH($C42)+1)&lt;1,((YEAR(N$5)-YEAR($C42))*12+MONTH(N$5)-MONTH($C42)+1)&gt;$D42),0,$E42*IF($G42,1,N(INDEX(Phasing!$I42:$AF42,((YEAR(N$5)-YEAR($C42))*12+MONTH(N$5)-MONTH($C42)+1))))/$F42))</f>
        <v>0</v>
      </c>
      <c r="O42" s="38" t="n">
        <f aca="false">IF(OR($C42="",$D42="",$F42=0),0,IF(OR(O$5&lt;=Projects!$C$2,((YEAR(O$5)-YEAR($C42))*12+MONTH(O$5)-MONTH($C42)+1)&lt;1,((YEAR(O$5)-YEAR($C42))*12+MONTH(O$5)-MONTH($C42)+1)&gt;$D42),0,$E42*IF($G42,1,N(INDEX(Phasing!$I42:$AF42,((YEAR(O$5)-YEAR($C42))*12+MONTH(O$5)-MONTH($C42)+1))))/$F42))</f>
        <v>0</v>
      </c>
      <c r="P42" s="38" t="n">
        <f aca="false">IF(OR($C42="",$D42="",$F42=0),0,IF(OR(P$5&lt;=Projects!$C$2,((YEAR(P$5)-YEAR($C42))*12+MONTH(P$5)-MONTH($C42)+1)&lt;1,((YEAR(P$5)-YEAR($C42))*12+MONTH(P$5)-MONTH($C42)+1)&gt;$D42),0,$E42*IF($G42,1,N(INDEX(Phasing!$I42:$AF42,((YEAR(P$5)-YEAR($C42))*12+MONTH(P$5)-MONTH($C42)+1))))/$F42))</f>
        <v>0</v>
      </c>
      <c r="Q42" s="38" t="n">
        <f aca="false">IF(OR($C42="",$D42="",$F42=0),0,IF(OR(Q$5&lt;=Projects!$C$2,((YEAR(Q$5)-YEAR($C42))*12+MONTH(Q$5)-MONTH($C42)+1)&lt;1,((YEAR(Q$5)-YEAR($C42))*12+MONTH(Q$5)-MONTH($C42)+1)&gt;$D42),0,$E42*IF($G42,1,N(INDEX(Phasing!$I42:$AF42,((YEAR(Q$5)-YEAR($C42))*12+MONTH(Q$5)-MONTH($C42)+1))))/$F42))</f>
        <v>0</v>
      </c>
      <c r="R42" s="38" t="n">
        <f aca="false">IF(OR($C42="",$D42="",$F42=0),0,IF(OR(R$5&lt;=Projects!$C$2,((YEAR(R$5)-YEAR($C42))*12+MONTH(R$5)-MONTH($C42)+1)&lt;1,((YEAR(R$5)-YEAR($C42))*12+MONTH(R$5)-MONTH($C42)+1)&gt;$D42),0,$E42*IF($G42,1,N(INDEX(Phasing!$I42:$AF42,((YEAR(R$5)-YEAR($C42))*12+MONTH(R$5)-MONTH($C42)+1))))/$F42))</f>
        <v>0</v>
      </c>
      <c r="S42" s="38" t="n">
        <f aca="false">IF(OR($C42="",$D42="",$F42=0),0,IF(OR(S$5&lt;=Projects!$C$2,((YEAR(S$5)-YEAR($C42))*12+MONTH(S$5)-MONTH($C42)+1)&lt;1,((YEAR(S$5)-YEAR($C42))*12+MONTH(S$5)-MONTH($C42)+1)&gt;$D42),0,$E42*IF($G42,1,N(INDEX(Phasing!$I42:$AF42,((YEAR(S$5)-YEAR($C42))*12+MONTH(S$5)-MONTH($C42)+1))))/$F42))</f>
        <v>0</v>
      </c>
      <c r="T42" s="38" t="n">
        <f aca="false">IF(OR($C42="",$D42="",$F42=0),0,IF(OR(T$5&lt;=Projects!$C$2,((YEAR(T$5)-YEAR($C42))*12+MONTH(T$5)-MONTH($C42)+1)&lt;1,((YEAR(T$5)-YEAR($C42))*12+MONTH(T$5)-MONTH($C42)+1)&gt;$D42),0,$E42*IF($G42,1,N(INDEX(Phasing!$I42:$AF42,((YEAR(T$5)-YEAR($C42))*12+MONTH(T$5)-MONTH($C42)+1))))/$F42))</f>
        <v>0</v>
      </c>
      <c r="U42" s="38" t="n">
        <f aca="false">IF(OR($C42="",$D42="",$F42=0),0,IF(OR(U$5&lt;=Projects!$C$2,((YEAR(U$5)-YEAR($C42))*12+MONTH(U$5)-MONTH($C42)+1)&lt;1,((YEAR(U$5)-YEAR($C42))*12+MONTH(U$5)-MONTH($C42)+1)&gt;$D42),0,$E42*IF($G42,1,N(INDEX(Phasing!$I42:$AF42,((YEAR(U$5)-YEAR($C42))*12+MONTH(U$5)-MONTH($C42)+1))))/$F42))</f>
        <v>0</v>
      </c>
      <c r="V42" s="38" t="n">
        <f aca="false">IF(OR($C42="",$D42="",$F42=0),0,IF(OR(V$5&lt;=Projects!$C$2,((YEAR(V$5)-YEAR($C42))*12+MONTH(V$5)-MONTH($C42)+1)&lt;1,((YEAR(V$5)-YEAR($C42))*12+MONTH(V$5)-MONTH($C42)+1)&gt;$D42),0,$E42*IF($G42,1,N(INDEX(Phasing!$I42:$AF42,((YEAR(V$5)-YEAR($C42))*12+MONTH(V$5)-MONTH($C42)+1))))/$F42))</f>
        <v>0</v>
      </c>
      <c r="W42" s="38" t="n">
        <f aca="false">IF(OR($C42="",$D42="",$F42=0),0,IF(OR(W$5&lt;=Projects!$C$2,((YEAR(W$5)-YEAR($C42))*12+MONTH(W$5)-MONTH($C42)+1)&lt;1,((YEAR(W$5)-YEAR($C42))*12+MONTH(W$5)-MONTH($C42)+1)&gt;$D42),0,$E42*IF($G42,1,N(INDEX(Phasing!$I42:$AF42,((YEAR(W$5)-YEAR($C42))*12+MONTH(W$5)-MONTH($C42)+1))))/$F42))</f>
        <v>0</v>
      </c>
      <c r="X42" s="38" t="n">
        <f aca="false">IF(OR($C42="",$D42="",$F42=0),0,IF(OR(X$5&lt;=Projects!$C$2,((YEAR(X$5)-YEAR($C42))*12+MONTH(X$5)-MONTH($C42)+1)&lt;1,((YEAR(X$5)-YEAR($C42))*12+MONTH(X$5)-MONTH($C42)+1)&gt;$D42),0,$E42*IF($G42,1,N(INDEX(Phasing!$I42:$AF42,((YEAR(X$5)-YEAR($C42))*12+MONTH(X$5)-MONTH($C42)+1))))/$F42))</f>
        <v>0</v>
      </c>
      <c r="Y42" s="38" t="n">
        <f aca="false">IF(OR($C42="",$D42="",$F42=0),0,IF(OR(Y$5&lt;=Projects!$C$2,((YEAR(Y$5)-YEAR($C42))*12+MONTH(Y$5)-MONTH($C42)+1)&lt;1,((YEAR(Y$5)-YEAR($C42))*12+MONTH(Y$5)-MONTH($C42)+1)&gt;$D42),0,$E42*IF($G42,1,N(INDEX(Phasing!$I42:$AF42,((YEAR(Y$5)-YEAR($C42))*12+MONTH(Y$5)-MONTH($C42)+1))))/$F42))</f>
        <v>0</v>
      </c>
      <c r="Z42" s="38" t="n">
        <f aca="false">IF(OR($C42="",$D42="",$F42=0),0,IF(OR(Z$5&lt;=Projects!$C$2,((YEAR(Z$5)-YEAR($C42))*12+MONTH(Z$5)-MONTH($C42)+1)&lt;1,((YEAR(Z$5)-YEAR($C42))*12+MONTH(Z$5)-MONTH($C42)+1)&gt;$D42),0,$E42*IF($G42,1,N(INDEX(Phasing!$I42:$AF42,((YEAR(Z$5)-YEAR($C42))*12+MONTH(Z$5)-MONTH($C42)+1))))/$F42))</f>
        <v>0</v>
      </c>
      <c r="AA42" s="38" t="n">
        <f aca="false">IF(OR($C42="",$D42="",$F42=0),0,IF(OR(AA$5&lt;=Projects!$C$2,((YEAR(AA$5)-YEAR($C42))*12+MONTH(AA$5)-MONTH($C42)+1)&lt;1,((YEAR(AA$5)-YEAR($C42))*12+MONTH(AA$5)-MONTH($C42)+1)&gt;$D42),0,$E42*IF($G42,1,N(INDEX(Phasing!$I42:$AF42,((YEAR(AA$5)-YEAR($C42))*12+MONTH(AA$5)-MONTH($C42)+1))))/$F42))</f>
        <v>0</v>
      </c>
      <c r="AB42" s="38" t="n">
        <f aca="false">IF(OR($C42="",$D42="",$F42=0),0,IF(OR(AB$5&lt;=Projects!$C$2,((YEAR(AB$5)-YEAR($C42))*12+MONTH(AB$5)-MONTH($C42)+1)&lt;1,((YEAR(AB$5)-YEAR($C42))*12+MONTH(AB$5)-MONTH($C42)+1)&gt;$D42),0,$E42*IF($G42,1,N(INDEX(Phasing!$I42:$AF42,((YEAR(AB$5)-YEAR($C42))*12+MONTH(AB$5)-MONTH($C42)+1))))/$F42))</f>
        <v>0</v>
      </c>
      <c r="AC42" s="38" t="n">
        <f aca="false">IF(OR($C42="",$D42="",$F42=0),0,IF(OR(AC$5&lt;=Projects!$C$2,((YEAR(AC$5)-YEAR($C42))*12+MONTH(AC$5)-MONTH($C42)+1)&lt;1,((YEAR(AC$5)-YEAR($C42))*12+MONTH(AC$5)-MONTH($C42)+1)&gt;$D42),0,$E42*IF($G42,1,N(INDEX(Phasing!$I42:$AF42,((YEAR(AC$5)-YEAR($C42))*12+MONTH(AC$5)-MONTH($C42)+1))))/$F42))</f>
        <v>0</v>
      </c>
      <c r="AD42" s="38" t="n">
        <f aca="false">IF(OR($C42="",$D42="",$F42=0),0,IF(OR(AD$5&lt;=Projects!$C$2,((YEAR(AD$5)-YEAR($C42))*12+MONTH(AD$5)-MONTH($C42)+1)&lt;1,((YEAR(AD$5)-YEAR($C42))*12+MONTH(AD$5)-MONTH($C42)+1)&gt;$D42),0,$E42*IF($G42,1,N(INDEX(Phasing!$I42:$AF42,((YEAR(AD$5)-YEAR($C42))*12+MONTH(AD$5)-MONTH($C42)+1))))/$F42))</f>
        <v>0</v>
      </c>
      <c r="AE42" s="38" t="n">
        <f aca="false">IF(OR($C42="",$D42="",$F42=0),0,IF(OR(AE$5&lt;=Projects!$C$2,((YEAR(AE$5)-YEAR($C42))*12+MONTH(AE$5)-MONTH($C42)+1)&lt;1,((YEAR(AE$5)-YEAR($C42))*12+MONTH(AE$5)-MONTH($C42)+1)&gt;$D42),0,$E42*IF($G42,1,N(INDEX(Phasing!$I42:$AF42,((YEAR(AE$5)-YEAR($C42))*12+MONTH(AE$5)-MONTH($C42)+1))))/$F42))</f>
        <v>0</v>
      </c>
      <c r="AF42" s="38" t="n">
        <f aca="false">IF(OR($C42="",$D42="",$F42=0),0,IF(OR(AF$5&lt;=Projects!$C$2,((YEAR(AF$5)-YEAR($C42))*12+MONTH(AF$5)-MONTH($C42)+1)&lt;1,((YEAR(AF$5)-YEAR($C42))*12+MONTH(AF$5)-MONTH($C42)+1)&gt;$D42),0,$E42*IF($G42,1,N(INDEX(Phasing!$I42:$AF42,((YEAR(AF$5)-YEAR($C42))*12+MONTH(AF$5)-MONTH($C42)+1))))/$F42))</f>
        <v>0</v>
      </c>
      <c r="AG42" s="38" t="n">
        <f aca="false">IF(OR($C42="",$D42="",$F42=0),0,IF(OR(AG$5&lt;=Projects!$C$2,((YEAR(AG$5)-YEAR($C42))*12+MONTH(AG$5)-MONTH($C42)+1)&lt;1,((YEAR(AG$5)-YEAR($C42))*12+MONTH(AG$5)-MONTH($C42)+1)&gt;$D42),0,$E42*IF($G42,1,N(INDEX(Phasing!$I42:$AF42,((YEAR(AG$5)-YEAR($C42))*12+MONTH(AG$5)-MONTH($C42)+1))))/$F42))</f>
        <v>0</v>
      </c>
      <c r="AH42" s="38" t="n">
        <f aca="false">IF(OR($C42="",$D42="",$F42=0),0,IF(OR(AH$5&lt;=Projects!$C$2,((YEAR(AH$5)-YEAR($C42))*12+MONTH(AH$5)-MONTH($C42)+1)&lt;1,((YEAR(AH$5)-YEAR($C42))*12+MONTH(AH$5)-MONTH($C42)+1)&gt;$D42),0,$E42*IF($G42,1,N(INDEX(Phasing!$I42:$AF42,((YEAR(AH$5)-YEAR($C42))*12+MONTH(AH$5)-MONTH($C42)+1))))/$F42))</f>
        <v>0</v>
      </c>
      <c r="AI42" s="38" t="n">
        <f aca="false">IF(OR($C42="",$D42="",$F42=0),0,IF(OR(AI$5&lt;=Projects!$C$2,((YEAR(AI$5)-YEAR($C42))*12+MONTH(AI$5)-MONTH($C42)+1)&lt;1,((YEAR(AI$5)-YEAR($C42))*12+MONTH(AI$5)-MONTH($C42)+1)&gt;$D42),0,$E42*IF($G42,1,N(INDEX(Phasing!$I42:$AF42,((YEAR(AI$5)-YEAR($C42))*12+MONTH(AI$5)-MONTH($C42)+1))))/$F42))</f>
        <v>0</v>
      </c>
      <c r="AJ42" s="38" t="n">
        <f aca="false">IF(OR($C42="",$D42="",$F42=0),0,IF(OR(AJ$5&lt;=Projects!$C$2,((YEAR(AJ$5)-YEAR($C42))*12+MONTH(AJ$5)-MONTH($C42)+1)&lt;1,((YEAR(AJ$5)-YEAR($C42))*12+MONTH(AJ$5)-MONTH($C42)+1)&gt;$D42),0,$E42*IF($G42,1,N(INDEX(Phasing!$I42:$AF42,((YEAR(AJ$5)-YEAR($C42))*12+MONTH(AJ$5)-MONTH($C42)+1))))/$F42))</f>
        <v>0</v>
      </c>
      <c r="AK42" s="38" t="n">
        <f aca="false">IF(OR($C42="",$D42="",$F42=0),0,IF(OR(AK$5&lt;=Projects!$C$2,((YEAR(AK$5)-YEAR($C42))*12+MONTH(AK$5)-MONTH($C42)+1)&lt;1,((YEAR(AK$5)-YEAR($C42))*12+MONTH(AK$5)-MONTH($C42)+1)&gt;$D42),0,$E42*IF($G42,1,N(INDEX(Phasing!$I42:$AF42,((YEAR(AK$5)-YEAR($C42))*12+MONTH(AK$5)-MONTH($C42)+1))))/$F42))</f>
        <v>0</v>
      </c>
      <c r="AL42" s="38" t="n">
        <f aca="false">IF(OR($C42="",$D42="",$F42=0),0,IF(OR(AL$5&lt;=Projects!$C$2,((YEAR(AL$5)-YEAR($C42))*12+MONTH(AL$5)-MONTH($C42)+1)&lt;1,((YEAR(AL$5)-YEAR($C42))*12+MONTH(AL$5)-MONTH($C42)+1)&gt;$D42),0,$E42*IF($G42,1,N(INDEX(Phasing!$I42:$AF42,((YEAR(AL$5)-YEAR($C42))*12+MONTH(AL$5)-MONTH($C42)+1))))/$F42))</f>
        <v>0</v>
      </c>
      <c r="AM42" s="38" t="n">
        <f aca="false">IF(OR($C42="",$D42="",$F42=0),0,IF(OR(AM$5&lt;=Projects!$C$2,((YEAR(AM$5)-YEAR($C42))*12+MONTH(AM$5)-MONTH($C42)+1)&lt;1,((YEAR(AM$5)-YEAR($C42))*12+MONTH(AM$5)-MONTH($C42)+1)&gt;$D42),0,$E42*IF($G42,1,N(INDEX(Phasing!$I42:$AF42,((YEAR(AM$5)-YEAR($C42))*12+MONTH(AM$5)-MONTH($C42)+1))))/$F42))</f>
        <v>0</v>
      </c>
      <c r="AN42" s="38" t="n">
        <f aca="false">IF(OR($C42="",$D42="",$F42=0),0,IF(OR(AN$5&lt;=Projects!$C$2,((YEAR(AN$5)-YEAR($C42))*12+MONTH(AN$5)-MONTH($C42)+1)&lt;1,((YEAR(AN$5)-YEAR($C42))*12+MONTH(AN$5)-MONTH($C42)+1)&gt;$D42),0,$E42*IF($G42,1,N(INDEX(Phasing!$I42:$AF42,((YEAR(AN$5)-YEAR($C42))*12+MONTH(AN$5)-MONTH($C42)+1))))/$F42))</f>
        <v>0</v>
      </c>
      <c r="AO42" s="38" t="n">
        <f aca="false">IF(OR($C42="",$D42="",$F42=0),0,IF(OR(AO$5&lt;=Projects!$C$2,((YEAR(AO$5)-YEAR($C42))*12+MONTH(AO$5)-MONTH($C42)+1)&lt;1,((YEAR(AO$5)-YEAR($C42))*12+MONTH(AO$5)-MONTH($C42)+1)&gt;$D42),0,$E42*IF($G42,1,N(INDEX(Phasing!$I42:$AF42,((YEAR(AO$5)-YEAR($C42))*12+MONTH(AO$5)-MONTH($C42)+1))))/$F42))</f>
        <v>0</v>
      </c>
      <c r="AP42" s="38" t="n">
        <f aca="false">IF(OR($C42="",$D42="",$F42=0),0,IF(OR(AP$5&lt;=Projects!$C$2,((YEAR(AP$5)-YEAR($C42))*12+MONTH(AP$5)-MONTH($C42)+1)&lt;1,((YEAR(AP$5)-YEAR($C42))*12+MONTH(AP$5)-MONTH($C42)+1)&gt;$D42),0,$E42*IF($G42,1,N(INDEX(Phasing!$I42:$AF42,((YEAR(AP$5)-YEAR($C42))*12+MONTH(AP$5)-MONTH($C42)+1))))/$F42))</f>
        <v>0</v>
      </c>
      <c r="AQ42" s="38" t="n">
        <f aca="false">IF(OR($C42="",$D42="",$F42=0),0,IF(OR(AQ$5&lt;=Projects!$C$2,((YEAR(AQ$5)-YEAR($C42))*12+MONTH(AQ$5)-MONTH($C42)+1)&lt;1,((YEAR(AQ$5)-YEAR($C42))*12+MONTH(AQ$5)-MONTH($C42)+1)&gt;$D42),0,$E42*IF($G42,1,N(INDEX(Phasing!$I42:$AF42,((YEAR(AQ$5)-YEAR($C42))*12+MONTH(AQ$5)-MONTH($C42)+1))))/$F42))</f>
        <v>0</v>
      </c>
    </row>
    <row r="43" customFormat="false" ht="15" hidden="false" customHeight="false" outlineLevel="0" collapsed="false">
      <c r="A43" s="11" t="n">
        <v>38</v>
      </c>
      <c r="B43" s="21" t="str">
        <f aca="false">IF(Projects!B43="","",Projects!B43)</f>
        <v/>
      </c>
      <c r="C43" s="31" t="str">
        <f aca="false">IF(Projects!D43="","",Projects!D43)</f>
        <v/>
      </c>
      <c r="D43" s="21" t="str">
        <f aca="false">IF(Projects!E43="","",Projects!E43)</f>
        <v/>
      </c>
      <c r="E43" s="33" t="n">
        <f aca="false">IF(Projects!B43="",0,N(Projects!I43))</f>
        <v>0</v>
      </c>
      <c r="F43" s="21" t="n">
        <f aca="false">Phasing!G43</f>
        <v>0</v>
      </c>
      <c r="G43" s="48" t="b">
        <f aca="false">Phasing!D43=0</f>
        <v>1</v>
      </c>
      <c r="H43" s="38" t="n">
        <f aca="false">IF(OR($C43="",$D43="",$F43=0),0,IF(OR(H$5&lt;=Projects!$C$2,((YEAR(H$5)-YEAR($C43))*12+MONTH(H$5)-MONTH($C43)+1)&lt;1,((YEAR(H$5)-YEAR($C43))*12+MONTH(H$5)-MONTH($C43)+1)&gt;$D43),0,$E43*IF($G43,1,N(INDEX(Phasing!$I43:$AF43,((YEAR(H$5)-YEAR($C43))*12+MONTH(H$5)-MONTH($C43)+1))))/$F43))</f>
        <v>0</v>
      </c>
      <c r="I43" s="38" t="n">
        <f aca="false">IF(OR($C43="",$D43="",$F43=0),0,IF(OR(I$5&lt;=Projects!$C$2,((YEAR(I$5)-YEAR($C43))*12+MONTH(I$5)-MONTH($C43)+1)&lt;1,((YEAR(I$5)-YEAR($C43))*12+MONTH(I$5)-MONTH($C43)+1)&gt;$D43),0,$E43*IF($G43,1,N(INDEX(Phasing!$I43:$AF43,((YEAR(I$5)-YEAR($C43))*12+MONTH(I$5)-MONTH($C43)+1))))/$F43))</f>
        <v>0</v>
      </c>
      <c r="J43" s="38" t="n">
        <f aca="false">IF(OR($C43="",$D43="",$F43=0),0,IF(OR(J$5&lt;=Projects!$C$2,((YEAR(J$5)-YEAR($C43))*12+MONTH(J$5)-MONTH($C43)+1)&lt;1,((YEAR(J$5)-YEAR($C43))*12+MONTH(J$5)-MONTH($C43)+1)&gt;$D43),0,$E43*IF($G43,1,N(INDEX(Phasing!$I43:$AF43,((YEAR(J$5)-YEAR($C43))*12+MONTH(J$5)-MONTH($C43)+1))))/$F43))</f>
        <v>0</v>
      </c>
      <c r="K43" s="38" t="n">
        <f aca="false">IF(OR($C43="",$D43="",$F43=0),0,IF(OR(K$5&lt;=Projects!$C$2,((YEAR(K$5)-YEAR($C43))*12+MONTH(K$5)-MONTH($C43)+1)&lt;1,((YEAR(K$5)-YEAR($C43))*12+MONTH(K$5)-MONTH($C43)+1)&gt;$D43),0,$E43*IF($G43,1,N(INDEX(Phasing!$I43:$AF43,((YEAR(K$5)-YEAR($C43))*12+MONTH(K$5)-MONTH($C43)+1))))/$F43))</f>
        <v>0</v>
      </c>
      <c r="L43" s="38" t="n">
        <f aca="false">IF(OR($C43="",$D43="",$F43=0),0,IF(OR(L$5&lt;=Projects!$C$2,((YEAR(L$5)-YEAR($C43))*12+MONTH(L$5)-MONTH($C43)+1)&lt;1,((YEAR(L$5)-YEAR($C43))*12+MONTH(L$5)-MONTH($C43)+1)&gt;$D43),0,$E43*IF($G43,1,N(INDEX(Phasing!$I43:$AF43,((YEAR(L$5)-YEAR($C43))*12+MONTH(L$5)-MONTH($C43)+1))))/$F43))</f>
        <v>0</v>
      </c>
      <c r="M43" s="38" t="n">
        <f aca="false">IF(OR($C43="",$D43="",$F43=0),0,IF(OR(M$5&lt;=Projects!$C$2,((YEAR(M$5)-YEAR($C43))*12+MONTH(M$5)-MONTH($C43)+1)&lt;1,((YEAR(M$5)-YEAR($C43))*12+MONTH(M$5)-MONTH($C43)+1)&gt;$D43),0,$E43*IF($G43,1,N(INDEX(Phasing!$I43:$AF43,((YEAR(M$5)-YEAR($C43))*12+MONTH(M$5)-MONTH($C43)+1))))/$F43))</f>
        <v>0</v>
      </c>
      <c r="N43" s="38" t="n">
        <f aca="false">IF(OR($C43="",$D43="",$F43=0),0,IF(OR(N$5&lt;=Projects!$C$2,((YEAR(N$5)-YEAR($C43))*12+MONTH(N$5)-MONTH($C43)+1)&lt;1,((YEAR(N$5)-YEAR($C43))*12+MONTH(N$5)-MONTH($C43)+1)&gt;$D43),0,$E43*IF($G43,1,N(INDEX(Phasing!$I43:$AF43,((YEAR(N$5)-YEAR($C43))*12+MONTH(N$5)-MONTH($C43)+1))))/$F43))</f>
        <v>0</v>
      </c>
      <c r="O43" s="38" t="n">
        <f aca="false">IF(OR($C43="",$D43="",$F43=0),0,IF(OR(O$5&lt;=Projects!$C$2,((YEAR(O$5)-YEAR($C43))*12+MONTH(O$5)-MONTH($C43)+1)&lt;1,((YEAR(O$5)-YEAR($C43))*12+MONTH(O$5)-MONTH($C43)+1)&gt;$D43),0,$E43*IF($G43,1,N(INDEX(Phasing!$I43:$AF43,((YEAR(O$5)-YEAR($C43))*12+MONTH(O$5)-MONTH($C43)+1))))/$F43))</f>
        <v>0</v>
      </c>
      <c r="P43" s="38" t="n">
        <f aca="false">IF(OR($C43="",$D43="",$F43=0),0,IF(OR(P$5&lt;=Projects!$C$2,((YEAR(P$5)-YEAR($C43))*12+MONTH(P$5)-MONTH($C43)+1)&lt;1,((YEAR(P$5)-YEAR($C43))*12+MONTH(P$5)-MONTH($C43)+1)&gt;$D43),0,$E43*IF($G43,1,N(INDEX(Phasing!$I43:$AF43,((YEAR(P$5)-YEAR($C43))*12+MONTH(P$5)-MONTH($C43)+1))))/$F43))</f>
        <v>0</v>
      </c>
      <c r="Q43" s="38" t="n">
        <f aca="false">IF(OR($C43="",$D43="",$F43=0),0,IF(OR(Q$5&lt;=Projects!$C$2,((YEAR(Q$5)-YEAR($C43))*12+MONTH(Q$5)-MONTH($C43)+1)&lt;1,((YEAR(Q$5)-YEAR($C43))*12+MONTH(Q$5)-MONTH($C43)+1)&gt;$D43),0,$E43*IF($G43,1,N(INDEX(Phasing!$I43:$AF43,((YEAR(Q$5)-YEAR($C43))*12+MONTH(Q$5)-MONTH($C43)+1))))/$F43))</f>
        <v>0</v>
      </c>
      <c r="R43" s="38" t="n">
        <f aca="false">IF(OR($C43="",$D43="",$F43=0),0,IF(OR(R$5&lt;=Projects!$C$2,((YEAR(R$5)-YEAR($C43))*12+MONTH(R$5)-MONTH($C43)+1)&lt;1,((YEAR(R$5)-YEAR($C43))*12+MONTH(R$5)-MONTH($C43)+1)&gt;$D43),0,$E43*IF($G43,1,N(INDEX(Phasing!$I43:$AF43,((YEAR(R$5)-YEAR($C43))*12+MONTH(R$5)-MONTH($C43)+1))))/$F43))</f>
        <v>0</v>
      </c>
      <c r="S43" s="38" t="n">
        <f aca="false">IF(OR($C43="",$D43="",$F43=0),0,IF(OR(S$5&lt;=Projects!$C$2,((YEAR(S$5)-YEAR($C43))*12+MONTH(S$5)-MONTH($C43)+1)&lt;1,((YEAR(S$5)-YEAR($C43))*12+MONTH(S$5)-MONTH($C43)+1)&gt;$D43),0,$E43*IF($G43,1,N(INDEX(Phasing!$I43:$AF43,((YEAR(S$5)-YEAR($C43))*12+MONTH(S$5)-MONTH($C43)+1))))/$F43))</f>
        <v>0</v>
      </c>
      <c r="T43" s="38" t="n">
        <f aca="false">IF(OR($C43="",$D43="",$F43=0),0,IF(OR(T$5&lt;=Projects!$C$2,((YEAR(T$5)-YEAR($C43))*12+MONTH(T$5)-MONTH($C43)+1)&lt;1,((YEAR(T$5)-YEAR($C43))*12+MONTH(T$5)-MONTH($C43)+1)&gt;$D43),0,$E43*IF($G43,1,N(INDEX(Phasing!$I43:$AF43,((YEAR(T$5)-YEAR($C43))*12+MONTH(T$5)-MONTH($C43)+1))))/$F43))</f>
        <v>0</v>
      </c>
      <c r="U43" s="38" t="n">
        <f aca="false">IF(OR($C43="",$D43="",$F43=0),0,IF(OR(U$5&lt;=Projects!$C$2,((YEAR(U$5)-YEAR($C43))*12+MONTH(U$5)-MONTH($C43)+1)&lt;1,((YEAR(U$5)-YEAR($C43))*12+MONTH(U$5)-MONTH($C43)+1)&gt;$D43),0,$E43*IF($G43,1,N(INDEX(Phasing!$I43:$AF43,((YEAR(U$5)-YEAR($C43))*12+MONTH(U$5)-MONTH($C43)+1))))/$F43))</f>
        <v>0</v>
      </c>
      <c r="V43" s="38" t="n">
        <f aca="false">IF(OR($C43="",$D43="",$F43=0),0,IF(OR(V$5&lt;=Projects!$C$2,((YEAR(V$5)-YEAR($C43))*12+MONTH(V$5)-MONTH($C43)+1)&lt;1,((YEAR(V$5)-YEAR($C43))*12+MONTH(V$5)-MONTH($C43)+1)&gt;$D43),0,$E43*IF($G43,1,N(INDEX(Phasing!$I43:$AF43,((YEAR(V$5)-YEAR($C43))*12+MONTH(V$5)-MONTH($C43)+1))))/$F43))</f>
        <v>0</v>
      </c>
      <c r="W43" s="38" t="n">
        <f aca="false">IF(OR($C43="",$D43="",$F43=0),0,IF(OR(W$5&lt;=Projects!$C$2,((YEAR(W$5)-YEAR($C43))*12+MONTH(W$5)-MONTH($C43)+1)&lt;1,((YEAR(W$5)-YEAR($C43))*12+MONTH(W$5)-MONTH($C43)+1)&gt;$D43),0,$E43*IF($G43,1,N(INDEX(Phasing!$I43:$AF43,((YEAR(W$5)-YEAR($C43))*12+MONTH(W$5)-MONTH($C43)+1))))/$F43))</f>
        <v>0</v>
      </c>
      <c r="X43" s="38" t="n">
        <f aca="false">IF(OR($C43="",$D43="",$F43=0),0,IF(OR(X$5&lt;=Projects!$C$2,((YEAR(X$5)-YEAR($C43))*12+MONTH(X$5)-MONTH($C43)+1)&lt;1,((YEAR(X$5)-YEAR($C43))*12+MONTH(X$5)-MONTH($C43)+1)&gt;$D43),0,$E43*IF($G43,1,N(INDEX(Phasing!$I43:$AF43,((YEAR(X$5)-YEAR($C43))*12+MONTH(X$5)-MONTH($C43)+1))))/$F43))</f>
        <v>0</v>
      </c>
      <c r="Y43" s="38" t="n">
        <f aca="false">IF(OR($C43="",$D43="",$F43=0),0,IF(OR(Y$5&lt;=Projects!$C$2,((YEAR(Y$5)-YEAR($C43))*12+MONTH(Y$5)-MONTH($C43)+1)&lt;1,((YEAR(Y$5)-YEAR($C43))*12+MONTH(Y$5)-MONTH($C43)+1)&gt;$D43),0,$E43*IF($G43,1,N(INDEX(Phasing!$I43:$AF43,((YEAR(Y$5)-YEAR($C43))*12+MONTH(Y$5)-MONTH($C43)+1))))/$F43))</f>
        <v>0</v>
      </c>
      <c r="Z43" s="38" t="n">
        <f aca="false">IF(OR($C43="",$D43="",$F43=0),0,IF(OR(Z$5&lt;=Projects!$C$2,((YEAR(Z$5)-YEAR($C43))*12+MONTH(Z$5)-MONTH($C43)+1)&lt;1,((YEAR(Z$5)-YEAR($C43))*12+MONTH(Z$5)-MONTH($C43)+1)&gt;$D43),0,$E43*IF($G43,1,N(INDEX(Phasing!$I43:$AF43,((YEAR(Z$5)-YEAR($C43))*12+MONTH(Z$5)-MONTH($C43)+1))))/$F43))</f>
        <v>0</v>
      </c>
      <c r="AA43" s="38" t="n">
        <f aca="false">IF(OR($C43="",$D43="",$F43=0),0,IF(OR(AA$5&lt;=Projects!$C$2,((YEAR(AA$5)-YEAR($C43))*12+MONTH(AA$5)-MONTH($C43)+1)&lt;1,((YEAR(AA$5)-YEAR($C43))*12+MONTH(AA$5)-MONTH($C43)+1)&gt;$D43),0,$E43*IF($G43,1,N(INDEX(Phasing!$I43:$AF43,((YEAR(AA$5)-YEAR($C43))*12+MONTH(AA$5)-MONTH($C43)+1))))/$F43))</f>
        <v>0</v>
      </c>
      <c r="AB43" s="38" t="n">
        <f aca="false">IF(OR($C43="",$D43="",$F43=0),0,IF(OR(AB$5&lt;=Projects!$C$2,((YEAR(AB$5)-YEAR($C43))*12+MONTH(AB$5)-MONTH($C43)+1)&lt;1,((YEAR(AB$5)-YEAR($C43))*12+MONTH(AB$5)-MONTH($C43)+1)&gt;$D43),0,$E43*IF($G43,1,N(INDEX(Phasing!$I43:$AF43,((YEAR(AB$5)-YEAR($C43))*12+MONTH(AB$5)-MONTH($C43)+1))))/$F43))</f>
        <v>0</v>
      </c>
      <c r="AC43" s="38" t="n">
        <f aca="false">IF(OR($C43="",$D43="",$F43=0),0,IF(OR(AC$5&lt;=Projects!$C$2,((YEAR(AC$5)-YEAR($C43))*12+MONTH(AC$5)-MONTH($C43)+1)&lt;1,((YEAR(AC$5)-YEAR($C43))*12+MONTH(AC$5)-MONTH($C43)+1)&gt;$D43),0,$E43*IF($G43,1,N(INDEX(Phasing!$I43:$AF43,((YEAR(AC$5)-YEAR($C43))*12+MONTH(AC$5)-MONTH($C43)+1))))/$F43))</f>
        <v>0</v>
      </c>
      <c r="AD43" s="38" t="n">
        <f aca="false">IF(OR($C43="",$D43="",$F43=0),0,IF(OR(AD$5&lt;=Projects!$C$2,((YEAR(AD$5)-YEAR($C43))*12+MONTH(AD$5)-MONTH($C43)+1)&lt;1,((YEAR(AD$5)-YEAR($C43))*12+MONTH(AD$5)-MONTH($C43)+1)&gt;$D43),0,$E43*IF($G43,1,N(INDEX(Phasing!$I43:$AF43,((YEAR(AD$5)-YEAR($C43))*12+MONTH(AD$5)-MONTH($C43)+1))))/$F43))</f>
        <v>0</v>
      </c>
      <c r="AE43" s="38" t="n">
        <f aca="false">IF(OR($C43="",$D43="",$F43=0),0,IF(OR(AE$5&lt;=Projects!$C$2,((YEAR(AE$5)-YEAR($C43))*12+MONTH(AE$5)-MONTH($C43)+1)&lt;1,((YEAR(AE$5)-YEAR($C43))*12+MONTH(AE$5)-MONTH($C43)+1)&gt;$D43),0,$E43*IF($G43,1,N(INDEX(Phasing!$I43:$AF43,((YEAR(AE$5)-YEAR($C43))*12+MONTH(AE$5)-MONTH($C43)+1))))/$F43))</f>
        <v>0</v>
      </c>
      <c r="AF43" s="38" t="n">
        <f aca="false">IF(OR($C43="",$D43="",$F43=0),0,IF(OR(AF$5&lt;=Projects!$C$2,((YEAR(AF$5)-YEAR($C43))*12+MONTH(AF$5)-MONTH($C43)+1)&lt;1,((YEAR(AF$5)-YEAR($C43))*12+MONTH(AF$5)-MONTH($C43)+1)&gt;$D43),0,$E43*IF($G43,1,N(INDEX(Phasing!$I43:$AF43,((YEAR(AF$5)-YEAR($C43))*12+MONTH(AF$5)-MONTH($C43)+1))))/$F43))</f>
        <v>0</v>
      </c>
      <c r="AG43" s="38" t="n">
        <f aca="false">IF(OR($C43="",$D43="",$F43=0),0,IF(OR(AG$5&lt;=Projects!$C$2,((YEAR(AG$5)-YEAR($C43))*12+MONTH(AG$5)-MONTH($C43)+1)&lt;1,((YEAR(AG$5)-YEAR($C43))*12+MONTH(AG$5)-MONTH($C43)+1)&gt;$D43),0,$E43*IF($G43,1,N(INDEX(Phasing!$I43:$AF43,((YEAR(AG$5)-YEAR($C43))*12+MONTH(AG$5)-MONTH($C43)+1))))/$F43))</f>
        <v>0</v>
      </c>
      <c r="AH43" s="38" t="n">
        <f aca="false">IF(OR($C43="",$D43="",$F43=0),0,IF(OR(AH$5&lt;=Projects!$C$2,((YEAR(AH$5)-YEAR($C43))*12+MONTH(AH$5)-MONTH($C43)+1)&lt;1,((YEAR(AH$5)-YEAR($C43))*12+MONTH(AH$5)-MONTH($C43)+1)&gt;$D43),0,$E43*IF($G43,1,N(INDEX(Phasing!$I43:$AF43,((YEAR(AH$5)-YEAR($C43))*12+MONTH(AH$5)-MONTH($C43)+1))))/$F43))</f>
        <v>0</v>
      </c>
      <c r="AI43" s="38" t="n">
        <f aca="false">IF(OR($C43="",$D43="",$F43=0),0,IF(OR(AI$5&lt;=Projects!$C$2,((YEAR(AI$5)-YEAR($C43))*12+MONTH(AI$5)-MONTH($C43)+1)&lt;1,((YEAR(AI$5)-YEAR($C43))*12+MONTH(AI$5)-MONTH($C43)+1)&gt;$D43),0,$E43*IF($G43,1,N(INDEX(Phasing!$I43:$AF43,((YEAR(AI$5)-YEAR($C43))*12+MONTH(AI$5)-MONTH($C43)+1))))/$F43))</f>
        <v>0</v>
      </c>
      <c r="AJ43" s="38" t="n">
        <f aca="false">IF(OR($C43="",$D43="",$F43=0),0,IF(OR(AJ$5&lt;=Projects!$C$2,((YEAR(AJ$5)-YEAR($C43))*12+MONTH(AJ$5)-MONTH($C43)+1)&lt;1,((YEAR(AJ$5)-YEAR($C43))*12+MONTH(AJ$5)-MONTH($C43)+1)&gt;$D43),0,$E43*IF($G43,1,N(INDEX(Phasing!$I43:$AF43,((YEAR(AJ$5)-YEAR($C43))*12+MONTH(AJ$5)-MONTH($C43)+1))))/$F43))</f>
        <v>0</v>
      </c>
      <c r="AK43" s="38" t="n">
        <f aca="false">IF(OR($C43="",$D43="",$F43=0),0,IF(OR(AK$5&lt;=Projects!$C$2,((YEAR(AK$5)-YEAR($C43))*12+MONTH(AK$5)-MONTH($C43)+1)&lt;1,((YEAR(AK$5)-YEAR($C43))*12+MONTH(AK$5)-MONTH($C43)+1)&gt;$D43),0,$E43*IF($G43,1,N(INDEX(Phasing!$I43:$AF43,((YEAR(AK$5)-YEAR($C43))*12+MONTH(AK$5)-MONTH($C43)+1))))/$F43))</f>
        <v>0</v>
      </c>
      <c r="AL43" s="38" t="n">
        <f aca="false">IF(OR($C43="",$D43="",$F43=0),0,IF(OR(AL$5&lt;=Projects!$C$2,((YEAR(AL$5)-YEAR($C43))*12+MONTH(AL$5)-MONTH($C43)+1)&lt;1,((YEAR(AL$5)-YEAR($C43))*12+MONTH(AL$5)-MONTH($C43)+1)&gt;$D43),0,$E43*IF($G43,1,N(INDEX(Phasing!$I43:$AF43,((YEAR(AL$5)-YEAR($C43))*12+MONTH(AL$5)-MONTH($C43)+1))))/$F43))</f>
        <v>0</v>
      </c>
      <c r="AM43" s="38" t="n">
        <f aca="false">IF(OR($C43="",$D43="",$F43=0),0,IF(OR(AM$5&lt;=Projects!$C$2,((YEAR(AM$5)-YEAR($C43))*12+MONTH(AM$5)-MONTH($C43)+1)&lt;1,((YEAR(AM$5)-YEAR($C43))*12+MONTH(AM$5)-MONTH($C43)+1)&gt;$D43),0,$E43*IF($G43,1,N(INDEX(Phasing!$I43:$AF43,((YEAR(AM$5)-YEAR($C43))*12+MONTH(AM$5)-MONTH($C43)+1))))/$F43))</f>
        <v>0</v>
      </c>
      <c r="AN43" s="38" t="n">
        <f aca="false">IF(OR($C43="",$D43="",$F43=0),0,IF(OR(AN$5&lt;=Projects!$C$2,((YEAR(AN$5)-YEAR($C43))*12+MONTH(AN$5)-MONTH($C43)+1)&lt;1,((YEAR(AN$5)-YEAR($C43))*12+MONTH(AN$5)-MONTH($C43)+1)&gt;$D43),0,$E43*IF($G43,1,N(INDEX(Phasing!$I43:$AF43,((YEAR(AN$5)-YEAR($C43))*12+MONTH(AN$5)-MONTH($C43)+1))))/$F43))</f>
        <v>0</v>
      </c>
      <c r="AO43" s="38" t="n">
        <f aca="false">IF(OR($C43="",$D43="",$F43=0),0,IF(OR(AO$5&lt;=Projects!$C$2,((YEAR(AO$5)-YEAR($C43))*12+MONTH(AO$5)-MONTH($C43)+1)&lt;1,((YEAR(AO$5)-YEAR($C43))*12+MONTH(AO$5)-MONTH($C43)+1)&gt;$D43),0,$E43*IF($G43,1,N(INDEX(Phasing!$I43:$AF43,((YEAR(AO$5)-YEAR($C43))*12+MONTH(AO$5)-MONTH($C43)+1))))/$F43))</f>
        <v>0</v>
      </c>
      <c r="AP43" s="38" t="n">
        <f aca="false">IF(OR($C43="",$D43="",$F43=0),0,IF(OR(AP$5&lt;=Projects!$C$2,((YEAR(AP$5)-YEAR($C43))*12+MONTH(AP$5)-MONTH($C43)+1)&lt;1,((YEAR(AP$5)-YEAR($C43))*12+MONTH(AP$5)-MONTH($C43)+1)&gt;$D43),0,$E43*IF($G43,1,N(INDEX(Phasing!$I43:$AF43,((YEAR(AP$5)-YEAR($C43))*12+MONTH(AP$5)-MONTH($C43)+1))))/$F43))</f>
        <v>0</v>
      </c>
      <c r="AQ43" s="38" t="n">
        <f aca="false">IF(OR($C43="",$D43="",$F43=0),0,IF(OR(AQ$5&lt;=Projects!$C$2,((YEAR(AQ$5)-YEAR($C43))*12+MONTH(AQ$5)-MONTH($C43)+1)&lt;1,((YEAR(AQ$5)-YEAR($C43))*12+MONTH(AQ$5)-MONTH($C43)+1)&gt;$D43),0,$E43*IF($G43,1,N(INDEX(Phasing!$I43:$AF43,((YEAR(AQ$5)-YEAR($C43))*12+MONTH(AQ$5)-MONTH($C43)+1))))/$F43))</f>
        <v>0</v>
      </c>
    </row>
    <row r="44" customFormat="false" ht="15" hidden="false" customHeight="false" outlineLevel="0" collapsed="false">
      <c r="A44" s="11" t="n">
        <v>39</v>
      </c>
      <c r="B44" s="21" t="str">
        <f aca="false">IF(Projects!B44="","",Projects!B44)</f>
        <v/>
      </c>
      <c r="C44" s="31" t="str">
        <f aca="false">IF(Projects!D44="","",Projects!D44)</f>
        <v/>
      </c>
      <c r="D44" s="21" t="str">
        <f aca="false">IF(Projects!E44="","",Projects!E44)</f>
        <v/>
      </c>
      <c r="E44" s="33" t="n">
        <f aca="false">IF(Projects!B44="",0,N(Projects!I44))</f>
        <v>0</v>
      </c>
      <c r="F44" s="21" t="n">
        <f aca="false">Phasing!G44</f>
        <v>0</v>
      </c>
      <c r="G44" s="48" t="b">
        <f aca="false">Phasing!D44=0</f>
        <v>1</v>
      </c>
      <c r="H44" s="38" t="n">
        <f aca="false">IF(OR($C44="",$D44="",$F44=0),0,IF(OR(H$5&lt;=Projects!$C$2,((YEAR(H$5)-YEAR($C44))*12+MONTH(H$5)-MONTH($C44)+1)&lt;1,((YEAR(H$5)-YEAR($C44))*12+MONTH(H$5)-MONTH($C44)+1)&gt;$D44),0,$E44*IF($G44,1,N(INDEX(Phasing!$I44:$AF44,((YEAR(H$5)-YEAR($C44))*12+MONTH(H$5)-MONTH($C44)+1))))/$F44))</f>
        <v>0</v>
      </c>
      <c r="I44" s="38" t="n">
        <f aca="false">IF(OR($C44="",$D44="",$F44=0),0,IF(OR(I$5&lt;=Projects!$C$2,((YEAR(I$5)-YEAR($C44))*12+MONTH(I$5)-MONTH($C44)+1)&lt;1,((YEAR(I$5)-YEAR($C44))*12+MONTH(I$5)-MONTH($C44)+1)&gt;$D44),0,$E44*IF($G44,1,N(INDEX(Phasing!$I44:$AF44,((YEAR(I$5)-YEAR($C44))*12+MONTH(I$5)-MONTH($C44)+1))))/$F44))</f>
        <v>0</v>
      </c>
      <c r="J44" s="38" t="n">
        <f aca="false">IF(OR($C44="",$D44="",$F44=0),0,IF(OR(J$5&lt;=Projects!$C$2,((YEAR(J$5)-YEAR($C44))*12+MONTH(J$5)-MONTH($C44)+1)&lt;1,((YEAR(J$5)-YEAR($C44))*12+MONTH(J$5)-MONTH($C44)+1)&gt;$D44),0,$E44*IF($G44,1,N(INDEX(Phasing!$I44:$AF44,((YEAR(J$5)-YEAR($C44))*12+MONTH(J$5)-MONTH($C44)+1))))/$F44))</f>
        <v>0</v>
      </c>
      <c r="K44" s="38" t="n">
        <f aca="false">IF(OR($C44="",$D44="",$F44=0),0,IF(OR(K$5&lt;=Projects!$C$2,((YEAR(K$5)-YEAR($C44))*12+MONTH(K$5)-MONTH($C44)+1)&lt;1,((YEAR(K$5)-YEAR($C44))*12+MONTH(K$5)-MONTH($C44)+1)&gt;$D44),0,$E44*IF($G44,1,N(INDEX(Phasing!$I44:$AF44,((YEAR(K$5)-YEAR($C44))*12+MONTH(K$5)-MONTH($C44)+1))))/$F44))</f>
        <v>0</v>
      </c>
      <c r="L44" s="38" t="n">
        <f aca="false">IF(OR($C44="",$D44="",$F44=0),0,IF(OR(L$5&lt;=Projects!$C$2,((YEAR(L$5)-YEAR($C44))*12+MONTH(L$5)-MONTH($C44)+1)&lt;1,((YEAR(L$5)-YEAR($C44))*12+MONTH(L$5)-MONTH($C44)+1)&gt;$D44),0,$E44*IF($G44,1,N(INDEX(Phasing!$I44:$AF44,((YEAR(L$5)-YEAR($C44))*12+MONTH(L$5)-MONTH($C44)+1))))/$F44))</f>
        <v>0</v>
      </c>
      <c r="M44" s="38" t="n">
        <f aca="false">IF(OR($C44="",$D44="",$F44=0),0,IF(OR(M$5&lt;=Projects!$C$2,((YEAR(M$5)-YEAR($C44))*12+MONTH(M$5)-MONTH($C44)+1)&lt;1,((YEAR(M$5)-YEAR($C44))*12+MONTH(M$5)-MONTH($C44)+1)&gt;$D44),0,$E44*IF($G44,1,N(INDEX(Phasing!$I44:$AF44,((YEAR(M$5)-YEAR($C44))*12+MONTH(M$5)-MONTH($C44)+1))))/$F44))</f>
        <v>0</v>
      </c>
      <c r="N44" s="38" t="n">
        <f aca="false">IF(OR($C44="",$D44="",$F44=0),0,IF(OR(N$5&lt;=Projects!$C$2,((YEAR(N$5)-YEAR($C44))*12+MONTH(N$5)-MONTH($C44)+1)&lt;1,((YEAR(N$5)-YEAR($C44))*12+MONTH(N$5)-MONTH($C44)+1)&gt;$D44),0,$E44*IF($G44,1,N(INDEX(Phasing!$I44:$AF44,((YEAR(N$5)-YEAR($C44))*12+MONTH(N$5)-MONTH($C44)+1))))/$F44))</f>
        <v>0</v>
      </c>
      <c r="O44" s="38" t="n">
        <f aca="false">IF(OR($C44="",$D44="",$F44=0),0,IF(OR(O$5&lt;=Projects!$C$2,((YEAR(O$5)-YEAR($C44))*12+MONTH(O$5)-MONTH($C44)+1)&lt;1,((YEAR(O$5)-YEAR($C44))*12+MONTH(O$5)-MONTH($C44)+1)&gt;$D44),0,$E44*IF($G44,1,N(INDEX(Phasing!$I44:$AF44,((YEAR(O$5)-YEAR($C44))*12+MONTH(O$5)-MONTH($C44)+1))))/$F44))</f>
        <v>0</v>
      </c>
      <c r="P44" s="38" t="n">
        <f aca="false">IF(OR($C44="",$D44="",$F44=0),0,IF(OR(P$5&lt;=Projects!$C$2,((YEAR(P$5)-YEAR($C44))*12+MONTH(P$5)-MONTH($C44)+1)&lt;1,((YEAR(P$5)-YEAR($C44))*12+MONTH(P$5)-MONTH($C44)+1)&gt;$D44),0,$E44*IF($G44,1,N(INDEX(Phasing!$I44:$AF44,((YEAR(P$5)-YEAR($C44))*12+MONTH(P$5)-MONTH($C44)+1))))/$F44))</f>
        <v>0</v>
      </c>
      <c r="Q44" s="38" t="n">
        <f aca="false">IF(OR($C44="",$D44="",$F44=0),0,IF(OR(Q$5&lt;=Projects!$C$2,((YEAR(Q$5)-YEAR($C44))*12+MONTH(Q$5)-MONTH($C44)+1)&lt;1,((YEAR(Q$5)-YEAR($C44))*12+MONTH(Q$5)-MONTH($C44)+1)&gt;$D44),0,$E44*IF($G44,1,N(INDEX(Phasing!$I44:$AF44,((YEAR(Q$5)-YEAR($C44))*12+MONTH(Q$5)-MONTH($C44)+1))))/$F44))</f>
        <v>0</v>
      </c>
      <c r="R44" s="38" t="n">
        <f aca="false">IF(OR($C44="",$D44="",$F44=0),0,IF(OR(R$5&lt;=Projects!$C$2,((YEAR(R$5)-YEAR($C44))*12+MONTH(R$5)-MONTH($C44)+1)&lt;1,((YEAR(R$5)-YEAR($C44))*12+MONTH(R$5)-MONTH($C44)+1)&gt;$D44),0,$E44*IF($G44,1,N(INDEX(Phasing!$I44:$AF44,((YEAR(R$5)-YEAR($C44))*12+MONTH(R$5)-MONTH($C44)+1))))/$F44))</f>
        <v>0</v>
      </c>
      <c r="S44" s="38" t="n">
        <f aca="false">IF(OR($C44="",$D44="",$F44=0),0,IF(OR(S$5&lt;=Projects!$C$2,((YEAR(S$5)-YEAR($C44))*12+MONTH(S$5)-MONTH($C44)+1)&lt;1,((YEAR(S$5)-YEAR($C44))*12+MONTH(S$5)-MONTH($C44)+1)&gt;$D44),0,$E44*IF($G44,1,N(INDEX(Phasing!$I44:$AF44,((YEAR(S$5)-YEAR($C44))*12+MONTH(S$5)-MONTH($C44)+1))))/$F44))</f>
        <v>0</v>
      </c>
      <c r="T44" s="38" t="n">
        <f aca="false">IF(OR($C44="",$D44="",$F44=0),0,IF(OR(T$5&lt;=Projects!$C$2,((YEAR(T$5)-YEAR($C44))*12+MONTH(T$5)-MONTH($C44)+1)&lt;1,((YEAR(T$5)-YEAR($C44))*12+MONTH(T$5)-MONTH($C44)+1)&gt;$D44),0,$E44*IF($G44,1,N(INDEX(Phasing!$I44:$AF44,((YEAR(T$5)-YEAR($C44))*12+MONTH(T$5)-MONTH($C44)+1))))/$F44))</f>
        <v>0</v>
      </c>
      <c r="U44" s="38" t="n">
        <f aca="false">IF(OR($C44="",$D44="",$F44=0),0,IF(OR(U$5&lt;=Projects!$C$2,((YEAR(U$5)-YEAR($C44))*12+MONTH(U$5)-MONTH($C44)+1)&lt;1,((YEAR(U$5)-YEAR($C44))*12+MONTH(U$5)-MONTH($C44)+1)&gt;$D44),0,$E44*IF($G44,1,N(INDEX(Phasing!$I44:$AF44,((YEAR(U$5)-YEAR($C44))*12+MONTH(U$5)-MONTH($C44)+1))))/$F44))</f>
        <v>0</v>
      </c>
      <c r="V44" s="38" t="n">
        <f aca="false">IF(OR($C44="",$D44="",$F44=0),0,IF(OR(V$5&lt;=Projects!$C$2,((YEAR(V$5)-YEAR($C44))*12+MONTH(V$5)-MONTH($C44)+1)&lt;1,((YEAR(V$5)-YEAR($C44))*12+MONTH(V$5)-MONTH($C44)+1)&gt;$D44),0,$E44*IF($G44,1,N(INDEX(Phasing!$I44:$AF44,((YEAR(V$5)-YEAR($C44))*12+MONTH(V$5)-MONTH($C44)+1))))/$F44))</f>
        <v>0</v>
      </c>
      <c r="W44" s="38" t="n">
        <f aca="false">IF(OR($C44="",$D44="",$F44=0),0,IF(OR(W$5&lt;=Projects!$C$2,((YEAR(W$5)-YEAR($C44))*12+MONTH(W$5)-MONTH($C44)+1)&lt;1,((YEAR(W$5)-YEAR($C44))*12+MONTH(W$5)-MONTH($C44)+1)&gt;$D44),0,$E44*IF($G44,1,N(INDEX(Phasing!$I44:$AF44,((YEAR(W$5)-YEAR($C44))*12+MONTH(W$5)-MONTH($C44)+1))))/$F44))</f>
        <v>0</v>
      </c>
      <c r="X44" s="38" t="n">
        <f aca="false">IF(OR($C44="",$D44="",$F44=0),0,IF(OR(X$5&lt;=Projects!$C$2,((YEAR(X$5)-YEAR($C44))*12+MONTH(X$5)-MONTH($C44)+1)&lt;1,((YEAR(X$5)-YEAR($C44))*12+MONTH(X$5)-MONTH($C44)+1)&gt;$D44),0,$E44*IF($G44,1,N(INDEX(Phasing!$I44:$AF44,((YEAR(X$5)-YEAR($C44))*12+MONTH(X$5)-MONTH($C44)+1))))/$F44))</f>
        <v>0</v>
      </c>
      <c r="Y44" s="38" t="n">
        <f aca="false">IF(OR($C44="",$D44="",$F44=0),0,IF(OR(Y$5&lt;=Projects!$C$2,((YEAR(Y$5)-YEAR($C44))*12+MONTH(Y$5)-MONTH($C44)+1)&lt;1,((YEAR(Y$5)-YEAR($C44))*12+MONTH(Y$5)-MONTH($C44)+1)&gt;$D44),0,$E44*IF($G44,1,N(INDEX(Phasing!$I44:$AF44,((YEAR(Y$5)-YEAR($C44))*12+MONTH(Y$5)-MONTH($C44)+1))))/$F44))</f>
        <v>0</v>
      </c>
      <c r="Z44" s="38" t="n">
        <f aca="false">IF(OR($C44="",$D44="",$F44=0),0,IF(OR(Z$5&lt;=Projects!$C$2,((YEAR(Z$5)-YEAR($C44))*12+MONTH(Z$5)-MONTH($C44)+1)&lt;1,((YEAR(Z$5)-YEAR($C44))*12+MONTH(Z$5)-MONTH($C44)+1)&gt;$D44),0,$E44*IF($G44,1,N(INDEX(Phasing!$I44:$AF44,((YEAR(Z$5)-YEAR($C44))*12+MONTH(Z$5)-MONTH($C44)+1))))/$F44))</f>
        <v>0</v>
      </c>
      <c r="AA44" s="38" t="n">
        <f aca="false">IF(OR($C44="",$D44="",$F44=0),0,IF(OR(AA$5&lt;=Projects!$C$2,((YEAR(AA$5)-YEAR($C44))*12+MONTH(AA$5)-MONTH($C44)+1)&lt;1,((YEAR(AA$5)-YEAR($C44))*12+MONTH(AA$5)-MONTH($C44)+1)&gt;$D44),0,$E44*IF($G44,1,N(INDEX(Phasing!$I44:$AF44,((YEAR(AA$5)-YEAR($C44))*12+MONTH(AA$5)-MONTH($C44)+1))))/$F44))</f>
        <v>0</v>
      </c>
      <c r="AB44" s="38" t="n">
        <f aca="false">IF(OR($C44="",$D44="",$F44=0),0,IF(OR(AB$5&lt;=Projects!$C$2,((YEAR(AB$5)-YEAR($C44))*12+MONTH(AB$5)-MONTH($C44)+1)&lt;1,((YEAR(AB$5)-YEAR($C44))*12+MONTH(AB$5)-MONTH($C44)+1)&gt;$D44),0,$E44*IF($G44,1,N(INDEX(Phasing!$I44:$AF44,((YEAR(AB$5)-YEAR($C44))*12+MONTH(AB$5)-MONTH($C44)+1))))/$F44))</f>
        <v>0</v>
      </c>
      <c r="AC44" s="38" t="n">
        <f aca="false">IF(OR($C44="",$D44="",$F44=0),0,IF(OR(AC$5&lt;=Projects!$C$2,((YEAR(AC$5)-YEAR($C44))*12+MONTH(AC$5)-MONTH($C44)+1)&lt;1,((YEAR(AC$5)-YEAR($C44))*12+MONTH(AC$5)-MONTH($C44)+1)&gt;$D44),0,$E44*IF($G44,1,N(INDEX(Phasing!$I44:$AF44,((YEAR(AC$5)-YEAR($C44))*12+MONTH(AC$5)-MONTH($C44)+1))))/$F44))</f>
        <v>0</v>
      </c>
      <c r="AD44" s="38" t="n">
        <f aca="false">IF(OR($C44="",$D44="",$F44=0),0,IF(OR(AD$5&lt;=Projects!$C$2,((YEAR(AD$5)-YEAR($C44))*12+MONTH(AD$5)-MONTH($C44)+1)&lt;1,((YEAR(AD$5)-YEAR($C44))*12+MONTH(AD$5)-MONTH($C44)+1)&gt;$D44),0,$E44*IF($G44,1,N(INDEX(Phasing!$I44:$AF44,((YEAR(AD$5)-YEAR($C44))*12+MONTH(AD$5)-MONTH($C44)+1))))/$F44))</f>
        <v>0</v>
      </c>
      <c r="AE44" s="38" t="n">
        <f aca="false">IF(OR($C44="",$D44="",$F44=0),0,IF(OR(AE$5&lt;=Projects!$C$2,((YEAR(AE$5)-YEAR($C44))*12+MONTH(AE$5)-MONTH($C44)+1)&lt;1,((YEAR(AE$5)-YEAR($C44))*12+MONTH(AE$5)-MONTH($C44)+1)&gt;$D44),0,$E44*IF($G44,1,N(INDEX(Phasing!$I44:$AF44,((YEAR(AE$5)-YEAR($C44))*12+MONTH(AE$5)-MONTH($C44)+1))))/$F44))</f>
        <v>0</v>
      </c>
      <c r="AF44" s="38" t="n">
        <f aca="false">IF(OR($C44="",$D44="",$F44=0),0,IF(OR(AF$5&lt;=Projects!$C$2,((YEAR(AF$5)-YEAR($C44))*12+MONTH(AF$5)-MONTH($C44)+1)&lt;1,((YEAR(AF$5)-YEAR($C44))*12+MONTH(AF$5)-MONTH($C44)+1)&gt;$D44),0,$E44*IF($G44,1,N(INDEX(Phasing!$I44:$AF44,((YEAR(AF$5)-YEAR($C44))*12+MONTH(AF$5)-MONTH($C44)+1))))/$F44))</f>
        <v>0</v>
      </c>
      <c r="AG44" s="38" t="n">
        <f aca="false">IF(OR($C44="",$D44="",$F44=0),0,IF(OR(AG$5&lt;=Projects!$C$2,((YEAR(AG$5)-YEAR($C44))*12+MONTH(AG$5)-MONTH($C44)+1)&lt;1,((YEAR(AG$5)-YEAR($C44))*12+MONTH(AG$5)-MONTH($C44)+1)&gt;$D44),0,$E44*IF($G44,1,N(INDEX(Phasing!$I44:$AF44,((YEAR(AG$5)-YEAR($C44))*12+MONTH(AG$5)-MONTH($C44)+1))))/$F44))</f>
        <v>0</v>
      </c>
      <c r="AH44" s="38" t="n">
        <f aca="false">IF(OR($C44="",$D44="",$F44=0),0,IF(OR(AH$5&lt;=Projects!$C$2,((YEAR(AH$5)-YEAR($C44))*12+MONTH(AH$5)-MONTH($C44)+1)&lt;1,((YEAR(AH$5)-YEAR($C44))*12+MONTH(AH$5)-MONTH($C44)+1)&gt;$D44),0,$E44*IF($G44,1,N(INDEX(Phasing!$I44:$AF44,((YEAR(AH$5)-YEAR($C44))*12+MONTH(AH$5)-MONTH($C44)+1))))/$F44))</f>
        <v>0</v>
      </c>
      <c r="AI44" s="38" t="n">
        <f aca="false">IF(OR($C44="",$D44="",$F44=0),0,IF(OR(AI$5&lt;=Projects!$C$2,((YEAR(AI$5)-YEAR($C44))*12+MONTH(AI$5)-MONTH($C44)+1)&lt;1,((YEAR(AI$5)-YEAR($C44))*12+MONTH(AI$5)-MONTH($C44)+1)&gt;$D44),0,$E44*IF($G44,1,N(INDEX(Phasing!$I44:$AF44,((YEAR(AI$5)-YEAR($C44))*12+MONTH(AI$5)-MONTH($C44)+1))))/$F44))</f>
        <v>0</v>
      </c>
      <c r="AJ44" s="38" t="n">
        <f aca="false">IF(OR($C44="",$D44="",$F44=0),0,IF(OR(AJ$5&lt;=Projects!$C$2,((YEAR(AJ$5)-YEAR($C44))*12+MONTH(AJ$5)-MONTH($C44)+1)&lt;1,((YEAR(AJ$5)-YEAR($C44))*12+MONTH(AJ$5)-MONTH($C44)+1)&gt;$D44),0,$E44*IF($G44,1,N(INDEX(Phasing!$I44:$AF44,((YEAR(AJ$5)-YEAR($C44))*12+MONTH(AJ$5)-MONTH($C44)+1))))/$F44))</f>
        <v>0</v>
      </c>
      <c r="AK44" s="38" t="n">
        <f aca="false">IF(OR($C44="",$D44="",$F44=0),0,IF(OR(AK$5&lt;=Projects!$C$2,((YEAR(AK$5)-YEAR($C44))*12+MONTH(AK$5)-MONTH($C44)+1)&lt;1,((YEAR(AK$5)-YEAR($C44))*12+MONTH(AK$5)-MONTH($C44)+1)&gt;$D44),0,$E44*IF($G44,1,N(INDEX(Phasing!$I44:$AF44,((YEAR(AK$5)-YEAR($C44))*12+MONTH(AK$5)-MONTH($C44)+1))))/$F44))</f>
        <v>0</v>
      </c>
      <c r="AL44" s="38" t="n">
        <f aca="false">IF(OR($C44="",$D44="",$F44=0),0,IF(OR(AL$5&lt;=Projects!$C$2,((YEAR(AL$5)-YEAR($C44))*12+MONTH(AL$5)-MONTH($C44)+1)&lt;1,((YEAR(AL$5)-YEAR($C44))*12+MONTH(AL$5)-MONTH($C44)+1)&gt;$D44),0,$E44*IF($G44,1,N(INDEX(Phasing!$I44:$AF44,((YEAR(AL$5)-YEAR($C44))*12+MONTH(AL$5)-MONTH($C44)+1))))/$F44))</f>
        <v>0</v>
      </c>
      <c r="AM44" s="38" t="n">
        <f aca="false">IF(OR($C44="",$D44="",$F44=0),0,IF(OR(AM$5&lt;=Projects!$C$2,((YEAR(AM$5)-YEAR($C44))*12+MONTH(AM$5)-MONTH($C44)+1)&lt;1,((YEAR(AM$5)-YEAR($C44))*12+MONTH(AM$5)-MONTH($C44)+1)&gt;$D44),0,$E44*IF($G44,1,N(INDEX(Phasing!$I44:$AF44,((YEAR(AM$5)-YEAR($C44))*12+MONTH(AM$5)-MONTH($C44)+1))))/$F44))</f>
        <v>0</v>
      </c>
      <c r="AN44" s="38" t="n">
        <f aca="false">IF(OR($C44="",$D44="",$F44=0),0,IF(OR(AN$5&lt;=Projects!$C$2,((YEAR(AN$5)-YEAR($C44))*12+MONTH(AN$5)-MONTH($C44)+1)&lt;1,((YEAR(AN$5)-YEAR($C44))*12+MONTH(AN$5)-MONTH($C44)+1)&gt;$D44),0,$E44*IF($G44,1,N(INDEX(Phasing!$I44:$AF44,((YEAR(AN$5)-YEAR($C44))*12+MONTH(AN$5)-MONTH($C44)+1))))/$F44))</f>
        <v>0</v>
      </c>
      <c r="AO44" s="38" t="n">
        <f aca="false">IF(OR($C44="",$D44="",$F44=0),0,IF(OR(AO$5&lt;=Projects!$C$2,((YEAR(AO$5)-YEAR($C44))*12+MONTH(AO$5)-MONTH($C44)+1)&lt;1,((YEAR(AO$5)-YEAR($C44))*12+MONTH(AO$5)-MONTH($C44)+1)&gt;$D44),0,$E44*IF($G44,1,N(INDEX(Phasing!$I44:$AF44,((YEAR(AO$5)-YEAR($C44))*12+MONTH(AO$5)-MONTH($C44)+1))))/$F44))</f>
        <v>0</v>
      </c>
      <c r="AP44" s="38" t="n">
        <f aca="false">IF(OR($C44="",$D44="",$F44=0),0,IF(OR(AP$5&lt;=Projects!$C$2,((YEAR(AP$5)-YEAR($C44))*12+MONTH(AP$5)-MONTH($C44)+1)&lt;1,((YEAR(AP$5)-YEAR($C44))*12+MONTH(AP$5)-MONTH($C44)+1)&gt;$D44),0,$E44*IF($G44,1,N(INDEX(Phasing!$I44:$AF44,((YEAR(AP$5)-YEAR($C44))*12+MONTH(AP$5)-MONTH($C44)+1))))/$F44))</f>
        <v>0</v>
      </c>
      <c r="AQ44" s="38" t="n">
        <f aca="false">IF(OR($C44="",$D44="",$F44=0),0,IF(OR(AQ$5&lt;=Projects!$C$2,((YEAR(AQ$5)-YEAR($C44))*12+MONTH(AQ$5)-MONTH($C44)+1)&lt;1,((YEAR(AQ$5)-YEAR($C44))*12+MONTH(AQ$5)-MONTH($C44)+1)&gt;$D44),0,$E44*IF($G44,1,N(INDEX(Phasing!$I44:$AF44,((YEAR(AQ$5)-YEAR($C44))*12+MONTH(AQ$5)-MONTH($C44)+1))))/$F44))</f>
        <v>0</v>
      </c>
    </row>
    <row r="45" customFormat="false" ht="15" hidden="false" customHeight="false" outlineLevel="0" collapsed="false">
      <c r="A45" s="11" t="n">
        <v>40</v>
      </c>
      <c r="B45" s="21" t="str">
        <f aca="false">IF(Projects!B45="","",Projects!B45)</f>
        <v/>
      </c>
      <c r="C45" s="31" t="str">
        <f aca="false">IF(Projects!D45="","",Projects!D45)</f>
        <v/>
      </c>
      <c r="D45" s="21" t="str">
        <f aca="false">IF(Projects!E45="","",Projects!E45)</f>
        <v/>
      </c>
      <c r="E45" s="33" t="n">
        <f aca="false">IF(Projects!B45="",0,N(Projects!I45))</f>
        <v>0</v>
      </c>
      <c r="F45" s="21" t="n">
        <f aca="false">Phasing!G45</f>
        <v>0</v>
      </c>
      <c r="G45" s="48" t="b">
        <f aca="false">Phasing!D45=0</f>
        <v>1</v>
      </c>
      <c r="H45" s="38" t="n">
        <f aca="false">IF(OR($C45="",$D45="",$F45=0),0,IF(OR(H$5&lt;=Projects!$C$2,((YEAR(H$5)-YEAR($C45))*12+MONTH(H$5)-MONTH($C45)+1)&lt;1,((YEAR(H$5)-YEAR($C45))*12+MONTH(H$5)-MONTH($C45)+1)&gt;$D45),0,$E45*IF($G45,1,N(INDEX(Phasing!$I45:$AF45,((YEAR(H$5)-YEAR($C45))*12+MONTH(H$5)-MONTH($C45)+1))))/$F45))</f>
        <v>0</v>
      </c>
      <c r="I45" s="38" t="n">
        <f aca="false">IF(OR($C45="",$D45="",$F45=0),0,IF(OR(I$5&lt;=Projects!$C$2,((YEAR(I$5)-YEAR($C45))*12+MONTH(I$5)-MONTH($C45)+1)&lt;1,((YEAR(I$5)-YEAR($C45))*12+MONTH(I$5)-MONTH($C45)+1)&gt;$D45),0,$E45*IF($G45,1,N(INDEX(Phasing!$I45:$AF45,((YEAR(I$5)-YEAR($C45))*12+MONTH(I$5)-MONTH($C45)+1))))/$F45))</f>
        <v>0</v>
      </c>
      <c r="J45" s="38" t="n">
        <f aca="false">IF(OR($C45="",$D45="",$F45=0),0,IF(OR(J$5&lt;=Projects!$C$2,((YEAR(J$5)-YEAR($C45))*12+MONTH(J$5)-MONTH($C45)+1)&lt;1,((YEAR(J$5)-YEAR($C45))*12+MONTH(J$5)-MONTH($C45)+1)&gt;$D45),0,$E45*IF($G45,1,N(INDEX(Phasing!$I45:$AF45,((YEAR(J$5)-YEAR($C45))*12+MONTH(J$5)-MONTH($C45)+1))))/$F45))</f>
        <v>0</v>
      </c>
      <c r="K45" s="38" t="n">
        <f aca="false">IF(OR($C45="",$D45="",$F45=0),0,IF(OR(K$5&lt;=Projects!$C$2,((YEAR(K$5)-YEAR($C45))*12+MONTH(K$5)-MONTH($C45)+1)&lt;1,((YEAR(K$5)-YEAR($C45))*12+MONTH(K$5)-MONTH($C45)+1)&gt;$D45),0,$E45*IF($G45,1,N(INDEX(Phasing!$I45:$AF45,((YEAR(K$5)-YEAR($C45))*12+MONTH(K$5)-MONTH($C45)+1))))/$F45))</f>
        <v>0</v>
      </c>
      <c r="L45" s="38" t="n">
        <f aca="false">IF(OR($C45="",$D45="",$F45=0),0,IF(OR(L$5&lt;=Projects!$C$2,((YEAR(L$5)-YEAR($C45))*12+MONTH(L$5)-MONTH($C45)+1)&lt;1,((YEAR(L$5)-YEAR($C45))*12+MONTH(L$5)-MONTH($C45)+1)&gt;$D45),0,$E45*IF($G45,1,N(INDEX(Phasing!$I45:$AF45,((YEAR(L$5)-YEAR($C45))*12+MONTH(L$5)-MONTH($C45)+1))))/$F45))</f>
        <v>0</v>
      </c>
      <c r="M45" s="38" t="n">
        <f aca="false">IF(OR($C45="",$D45="",$F45=0),0,IF(OR(M$5&lt;=Projects!$C$2,((YEAR(M$5)-YEAR($C45))*12+MONTH(M$5)-MONTH($C45)+1)&lt;1,((YEAR(M$5)-YEAR($C45))*12+MONTH(M$5)-MONTH($C45)+1)&gt;$D45),0,$E45*IF($G45,1,N(INDEX(Phasing!$I45:$AF45,((YEAR(M$5)-YEAR($C45))*12+MONTH(M$5)-MONTH($C45)+1))))/$F45))</f>
        <v>0</v>
      </c>
      <c r="N45" s="38" t="n">
        <f aca="false">IF(OR($C45="",$D45="",$F45=0),0,IF(OR(N$5&lt;=Projects!$C$2,((YEAR(N$5)-YEAR($C45))*12+MONTH(N$5)-MONTH($C45)+1)&lt;1,((YEAR(N$5)-YEAR($C45))*12+MONTH(N$5)-MONTH($C45)+1)&gt;$D45),0,$E45*IF($G45,1,N(INDEX(Phasing!$I45:$AF45,((YEAR(N$5)-YEAR($C45))*12+MONTH(N$5)-MONTH($C45)+1))))/$F45))</f>
        <v>0</v>
      </c>
      <c r="O45" s="38" t="n">
        <f aca="false">IF(OR($C45="",$D45="",$F45=0),0,IF(OR(O$5&lt;=Projects!$C$2,((YEAR(O$5)-YEAR($C45))*12+MONTH(O$5)-MONTH($C45)+1)&lt;1,((YEAR(O$5)-YEAR($C45))*12+MONTH(O$5)-MONTH($C45)+1)&gt;$D45),0,$E45*IF($G45,1,N(INDEX(Phasing!$I45:$AF45,((YEAR(O$5)-YEAR($C45))*12+MONTH(O$5)-MONTH($C45)+1))))/$F45))</f>
        <v>0</v>
      </c>
      <c r="P45" s="38" t="n">
        <f aca="false">IF(OR($C45="",$D45="",$F45=0),0,IF(OR(P$5&lt;=Projects!$C$2,((YEAR(P$5)-YEAR($C45))*12+MONTH(P$5)-MONTH($C45)+1)&lt;1,((YEAR(P$5)-YEAR($C45))*12+MONTH(P$5)-MONTH($C45)+1)&gt;$D45),0,$E45*IF($G45,1,N(INDEX(Phasing!$I45:$AF45,((YEAR(P$5)-YEAR($C45))*12+MONTH(P$5)-MONTH($C45)+1))))/$F45))</f>
        <v>0</v>
      </c>
      <c r="Q45" s="38" t="n">
        <f aca="false">IF(OR($C45="",$D45="",$F45=0),0,IF(OR(Q$5&lt;=Projects!$C$2,((YEAR(Q$5)-YEAR($C45))*12+MONTH(Q$5)-MONTH($C45)+1)&lt;1,((YEAR(Q$5)-YEAR($C45))*12+MONTH(Q$5)-MONTH($C45)+1)&gt;$D45),0,$E45*IF($G45,1,N(INDEX(Phasing!$I45:$AF45,((YEAR(Q$5)-YEAR($C45))*12+MONTH(Q$5)-MONTH($C45)+1))))/$F45))</f>
        <v>0</v>
      </c>
      <c r="R45" s="38" t="n">
        <f aca="false">IF(OR($C45="",$D45="",$F45=0),0,IF(OR(R$5&lt;=Projects!$C$2,((YEAR(R$5)-YEAR($C45))*12+MONTH(R$5)-MONTH($C45)+1)&lt;1,((YEAR(R$5)-YEAR($C45))*12+MONTH(R$5)-MONTH($C45)+1)&gt;$D45),0,$E45*IF($G45,1,N(INDEX(Phasing!$I45:$AF45,((YEAR(R$5)-YEAR($C45))*12+MONTH(R$5)-MONTH($C45)+1))))/$F45))</f>
        <v>0</v>
      </c>
      <c r="S45" s="38" t="n">
        <f aca="false">IF(OR($C45="",$D45="",$F45=0),0,IF(OR(S$5&lt;=Projects!$C$2,((YEAR(S$5)-YEAR($C45))*12+MONTH(S$5)-MONTH($C45)+1)&lt;1,((YEAR(S$5)-YEAR($C45))*12+MONTH(S$5)-MONTH($C45)+1)&gt;$D45),0,$E45*IF($G45,1,N(INDEX(Phasing!$I45:$AF45,((YEAR(S$5)-YEAR($C45))*12+MONTH(S$5)-MONTH($C45)+1))))/$F45))</f>
        <v>0</v>
      </c>
      <c r="T45" s="38" t="n">
        <f aca="false">IF(OR($C45="",$D45="",$F45=0),0,IF(OR(T$5&lt;=Projects!$C$2,((YEAR(T$5)-YEAR($C45))*12+MONTH(T$5)-MONTH($C45)+1)&lt;1,((YEAR(T$5)-YEAR($C45))*12+MONTH(T$5)-MONTH($C45)+1)&gt;$D45),0,$E45*IF($G45,1,N(INDEX(Phasing!$I45:$AF45,((YEAR(T$5)-YEAR($C45))*12+MONTH(T$5)-MONTH($C45)+1))))/$F45))</f>
        <v>0</v>
      </c>
      <c r="U45" s="38" t="n">
        <f aca="false">IF(OR($C45="",$D45="",$F45=0),0,IF(OR(U$5&lt;=Projects!$C$2,((YEAR(U$5)-YEAR($C45))*12+MONTH(U$5)-MONTH($C45)+1)&lt;1,((YEAR(U$5)-YEAR($C45))*12+MONTH(U$5)-MONTH($C45)+1)&gt;$D45),0,$E45*IF($G45,1,N(INDEX(Phasing!$I45:$AF45,((YEAR(U$5)-YEAR($C45))*12+MONTH(U$5)-MONTH($C45)+1))))/$F45))</f>
        <v>0</v>
      </c>
      <c r="V45" s="38" t="n">
        <f aca="false">IF(OR($C45="",$D45="",$F45=0),0,IF(OR(V$5&lt;=Projects!$C$2,((YEAR(V$5)-YEAR($C45))*12+MONTH(V$5)-MONTH($C45)+1)&lt;1,((YEAR(V$5)-YEAR($C45))*12+MONTH(V$5)-MONTH($C45)+1)&gt;$D45),0,$E45*IF($G45,1,N(INDEX(Phasing!$I45:$AF45,((YEAR(V$5)-YEAR($C45))*12+MONTH(V$5)-MONTH($C45)+1))))/$F45))</f>
        <v>0</v>
      </c>
      <c r="W45" s="38" t="n">
        <f aca="false">IF(OR($C45="",$D45="",$F45=0),0,IF(OR(W$5&lt;=Projects!$C$2,((YEAR(W$5)-YEAR($C45))*12+MONTH(W$5)-MONTH($C45)+1)&lt;1,((YEAR(W$5)-YEAR($C45))*12+MONTH(W$5)-MONTH($C45)+1)&gt;$D45),0,$E45*IF($G45,1,N(INDEX(Phasing!$I45:$AF45,((YEAR(W$5)-YEAR($C45))*12+MONTH(W$5)-MONTH($C45)+1))))/$F45))</f>
        <v>0</v>
      </c>
      <c r="X45" s="38" t="n">
        <f aca="false">IF(OR($C45="",$D45="",$F45=0),0,IF(OR(X$5&lt;=Projects!$C$2,((YEAR(X$5)-YEAR($C45))*12+MONTH(X$5)-MONTH($C45)+1)&lt;1,((YEAR(X$5)-YEAR($C45))*12+MONTH(X$5)-MONTH($C45)+1)&gt;$D45),0,$E45*IF($G45,1,N(INDEX(Phasing!$I45:$AF45,((YEAR(X$5)-YEAR($C45))*12+MONTH(X$5)-MONTH($C45)+1))))/$F45))</f>
        <v>0</v>
      </c>
      <c r="Y45" s="38" t="n">
        <f aca="false">IF(OR($C45="",$D45="",$F45=0),0,IF(OR(Y$5&lt;=Projects!$C$2,((YEAR(Y$5)-YEAR($C45))*12+MONTH(Y$5)-MONTH($C45)+1)&lt;1,((YEAR(Y$5)-YEAR($C45))*12+MONTH(Y$5)-MONTH($C45)+1)&gt;$D45),0,$E45*IF($G45,1,N(INDEX(Phasing!$I45:$AF45,((YEAR(Y$5)-YEAR($C45))*12+MONTH(Y$5)-MONTH($C45)+1))))/$F45))</f>
        <v>0</v>
      </c>
      <c r="Z45" s="38" t="n">
        <f aca="false">IF(OR($C45="",$D45="",$F45=0),0,IF(OR(Z$5&lt;=Projects!$C$2,((YEAR(Z$5)-YEAR($C45))*12+MONTH(Z$5)-MONTH($C45)+1)&lt;1,((YEAR(Z$5)-YEAR($C45))*12+MONTH(Z$5)-MONTH($C45)+1)&gt;$D45),0,$E45*IF($G45,1,N(INDEX(Phasing!$I45:$AF45,((YEAR(Z$5)-YEAR($C45))*12+MONTH(Z$5)-MONTH($C45)+1))))/$F45))</f>
        <v>0</v>
      </c>
      <c r="AA45" s="38" t="n">
        <f aca="false">IF(OR($C45="",$D45="",$F45=0),0,IF(OR(AA$5&lt;=Projects!$C$2,((YEAR(AA$5)-YEAR($C45))*12+MONTH(AA$5)-MONTH($C45)+1)&lt;1,((YEAR(AA$5)-YEAR($C45))*12+MONTH(AA$5)-MONTH($C45)+1)&gt;$D45),0,$E45*IF($G45,1,N(INDEX(Phasing!$I45:$AF45,((YEAR(AA$5)-YEAR($C45))*12+MONTH(AA$5)-MONTH($C45)+1))))/$F45))</f>
        <v>0</v>
      </c>
      <c r="AB45" s="38" t="n">
        <f aca="false">IF(OR($C45="",$D45="",$F45=0),0,IF(OR(AB$5&lt;=Projects!$C$2,((YEAR(AB$5)-YEAR($C45))*12+MONTH(AB$5)-MONTH($C45)+1)&lt;1,((YEAR(AB$5)-YEAR($C45))*12+MONTH(AB$5)-MONTH($C45)+1)&gt;$D45),0,$E45*IF($G45,1,N(INDEX(Phasing!$I45:$AF45,((YEAR(AB$5)-YEAR($C45))*12+MONTH(AB$5)-MONTH($C45)+1))))/$F45))</f>
        <v>0</v>
      </c>
      <c r="AC45" s="38" t="n">
        <f aca="false">IF(OR($C45="",$D45="",$F45=0),0,IF(OR(AC$5&lt;=Projects!$C$2,((YEAR(AC$5)-YEAR($C45))*12+MONTH(AC$5)-MONTH($C45)+1)&lt;1,((YEAR(AC$5)-YEAR($C45))*12+MONTH(AC$5)-MONTH($C45)+1)&gt;$D45),0,$E45*IF($G45,1,N(INDEX(Phasing!$I45:$AF45,((YEAR(AC$5)-YEAR($C45))*12+MONTH(AC$5)-MONTH($C45)+1))))/$F45))</f>
        <v>0</v>
      </c>
      <c r="AD45" s="38" t="n">
        <f aca="false">IF(OR($C45="",$D45="",$F45=0),0,IF(OR(AD$5&lt;=Projects!$C$2,((YEAR(AD$5)-YEAR($C45))*12+MONTH(AD$5)-MONTH($C45)+1)&lt;1,((YEAR(AD$5)-YEAR($C45))*12+MONTH(AD$5)-MONTH($C45)+1)&gt;$D45),0,$E45*IF($G45,1,N(INDEX(Phasing!$I45:$AF45,((YEAR(AD$5)-YEAR($C45))*12+MONTH(AD$5)-MONTH($C45)+1))))/$F45))</f>
        <v>0</v>
      </c>
      <c r="AE45" s="38" t="n">
        <f aca="false">IF(OR($C45="",$D45="",$F45=0),0,IF(OR(AE$5&lt;=Projects!$C$2,((YEAR(AE$5)-YEAR($C45))*12+MONTH(AE$5)-MONTH($C45)+1)&lt;1,((YEAR(AE$5)-YEAR($C45))*12+MONTH(AE$5)-MONTH($C45)+1)&gt;$D45),0,$E45*IF($G45,1,N(INDEX(Phasing!$I45:$AF45,((YEAR(AE$5)-YEAR($C45))*12+MONTH(AE$5)-MONTH($C45)+1))))/$F45))</f>
        <v>0</v>
      </c>
      <c r="AF45" s="38" t="n">
        <f aca="false">IF(OR($C45="",$D45="",$F45=0),0,IF(OR(AF$5&lt;=Projects!$C$2,((YEAR(AF$5)-YEAR($C45))*12+MONTH(AF$5)-MONTH($C45)+1)&lt;1,((YEAR(AF$5)-YEAR($C45))*12+MONTH(AF$5)-MONTH($C45)+1)&gt;$D45),0,$E45*IF($G45,1,N(INDEX(Phasing!$I45:$AF45,((YEAR(AF$5)-YEAR($C45))*12+MONTH(AF$5)-MONTH($C45)+1))))/$F45))</f>
        <v>0</v>
      </c>
      <c r="AG45" s="38" t="n">
        <f aca="false">IF(OR($C45="",$D45="",$F45=0),0,IF(OR(AG$5&lt;=Projects!$C$2,((YEAR(AG$5)-YEAR($C45))*12+MONTH(AG$5)-MONTH($C45)+1)&lt;1,((YEAR(AG$5)-YEAR($C45))*12+MONTH(AG$5)-MONTH($C45)+1)&gt;$D45),0,$E45*IF($G45,1,N(INDEX(Phasing!$I45:$AF45,((YEAR(AG$5)-YEAR($C45))*12+MONTH(AG$5)-MONTH($C45)+1))))/$F45))</f>
        <v>0</v>
      </c>
      <c r="AH45" s="38" t="n">
        <f aca="false">IF(OR($C45="",$D45="",$F45=0),0,IF(OR(AH$5&lt;=Projects!$C$2,((YEAR(AH$5)-YEAR($C45))*12+MONTH(AH$5)-MONTH($C45)+1)&lt;1,((YEAR(AH$5)-YEAR($C45))*12+MONTH(AH$5)-MONTH($C45)+1)&gt;$D45),0,$E45*IF($G45,1,N(INDEX(Phasing!$I45:$AF45,((YEAR(AH$5)-YEAR($C45))*12+MONTH(AH$5)-MONTH($C45)+1))))/$F45))</f>
        <v>0</v>
      </c>
      <c r="AI45" s="38" t="n">
        <f aca="false">IF(OR($C45="",$D45="",$F45=0),0,IF(OR(AI$5&lt;=Projects!$C$2,((YEAR(AI$5)-YEAR($C45))*12+MONTH(AI$5)-MONTH($C45)+1)&lt;1,((YEAR(AI$5)-YEAR($C45))*12+MONTH(AI$5)-MONTH($C45)+1)&gt;$D45),0,$E45*IF($G45,1,N(INDEX(Phasing!$I45:$AF45,((YEAR(AI$5)-YEAR($C45))*12+MONTH(AI$5)-MONTH($C45)+1))))/$F45))</f>
        <v>0</v>
      </c>
      <c r="AJ45" s="38" t="n">
        <f aca="false">IF(OR($C45="",$D45="",$F45=0),0,IF(OR(AJ$5&lt;=Projects!$C$2,((YEAR(AJ$5)-YEAR($C45))*12+MONTH(AJ$5)-MONTH($C45)+1)&lt;1,((YEAR(AJ$5)-YEAR($C45))*12+MONTH(AJ$5)-MONTH($C45)+1)&gt;$D45),0,$E45*IF($G45,1,N(INDEX(Phasing!$I45:$AF45,((YEAR(AJ$5)-YEAR($C45))*12+MONTH(AJ$5)-MONTH($C45)+1))))/$F45))</f>
        <v>0</v>
      </c>
      <c r="AK45" s="38" t="n">
        <f aca="false">IF(OR($C45="",$D45="",$F45=0),0,IF(OR(AK$5&lt;=Projects!$C$2,((YEAR(AK$5)-YEAR($C45))*12+MONTH(AK$5)-MONTH($C45)+1)&lt;1,((YEAR(AK$5)-YEAR($C45))*12+MONTH(AK$5)-MONTH($C45)+1)&gt;$D45),0,$E45*IF($G45,1,N(INDEX(Phasing!$I45:$AF45,((YEAR(AK$5)-YEAR($C45))*12+MONTH(AK$5)-MONTH($C45)+1))))/$F45))</f>
        <v>0</v>
      </c>
      <c r="AL45" s="38" t="n">
        <f aca="false">IF(OR($C45="",$D45="",$F45=0),0,IF(OR(AL$5&lt;=Projects!$C$2,((YEAR(AL$5)-YEAR($C45))*12+MONTH(AL$5)-MONTH($C45)+1)&lt;1,((YEAR(AL$5)-YEAR($C45))*12+MONTH(AL$5)-MONTH($C45)+1)&gt;$D45),0,$E45*IF($G45,1,N(INDEX(Phasing!$I45:$AF45,((YEAR(AL$5)-YEAR($C45))*12+MONTH(AL$5)-MONTH($C45)+1))))/$F45))</f>
        <v>0</v>
      </c>
      <c r="AM45" s="38" t="n">
        <f aca="false">IF(OR($C45="",$D45="",$F45=0),0,IF(OR(AM$5&lt;=Projects!$C$2,((YEAR(AM$5)-YEAR($C45))*12+MONTH(AM$5)-MONTH($C45)+1)&lt;1,((YEAR(AM$5)-YEAR($C45))*12+MONTH(AM$5)-MONTH($C45)+1)&gt;$D45),0,$E45*IF($G45,1,N(INDEX(Phasing!$I45:$AF45,((YEAR(AM$5)-YEAR($C45))*12+MONTH(AM$5)-MONTH($C45)+1))))/$F45))</f>
        <v>0</v>
      </c>
      <c r="AN45" s="38" t="n">
        <f aca="false">IF(OR($C45="",$D45="",$F45=0),0,IF(OR(AN$5&lt;=Projects!$C$2,((YEAR(AN$5)-YEAR($C45))*12+MONTH(AN$5)-MONTH($C45)+1)&lt;1,((YEAR(AN$5)-YEAR($C45))*12+MONTH(AN$5)-MONTH($C45)+1)&gt;$D45),0,$E45*IF($G45,1,N(INDEX(Phasing!$I45:$AF45,((YEAR(AN$5)-YEAR($C45))*12+MONTH(AN$5)-MONTH($C45)+1))))/$F45))</f>
        <v>0</v>
      </c>
      <c r="AO45" s="38" t="n">
        <f aca="false">IF(OR($C45="",$D45="",$F45=0),0,IF(OR(AO$5&lt;=Projects!$C$2,((YEAR(AO$5)-YEAR($C45))*12+MONTH(AO$5)-MONTH($C45)+1)&lt;1,((YEAR(AO$5)-YEAR($C45))*12+MONTH(AO$5)-MONTH($C45)+1)&gt;$D45),0,$E45*IF($G45,1,N(INDEX(Phasing!$I45:$AF45,((YEAR(AO$5)-YEAR($C45))*12+MONTH(AO$5)-MONTH($C45)+1))))/$F45))</f>
        <v>0</v>
      </c>
      <c r="AP45" s="38" t="n">
        <f aca="false">IF(OR($C45="",$D45="",$F45=0),0,IF(OR(AP$5&lt;=Projects!$C$2,((YEAR(AP$5)-YEAR($C45))*12+MONTH(AP$5)-MONTH($C45)+1)&lt;1,((YEAR(AP$5)-YEAR($C45))*12+MONTH(AP$5)-MONTH($C45)+1)&gt;$D45),0,$E45*IF($G45,1,N(INDEX(Phasing!$I45:$AF45,((YEAR(AP$5)-YEAR($C45))*12+MONTH(AP$5)-MONTH($C45)+1))))/$F45))</f>
        <v>0</v>
      </c>
      <c r="AQ45" s="38" t="n">
        <f aca="false">IF(OR($C45="",$D45="",$F45=0),0,IF(OR(AQ$5&lt;=Projects!$C$2,((YEAR(AQ$5)-YEAR($C45))*12+MONTH(AQ$5)-MONTH($C45)+1)&lt;1,((YEAR(AQ$5)-YEAR($C45))*12+MONTH(AQ$5)-MONTH($C45)+1)&gt;$D45),0,$E45*IF($G45,1,N(INDEX(Phasing!$I45:$AF45,((YEAR(AQ$5)-YEAR($C45))*12+MONTH(AQ$5)-MONTH($C45)+1))))/$F45))</f>
        <v>0</v>
      </c>
    </row>
    <row r="46" customFormat="false" ht="15" hidden="false" customHeight="false" outlineLevel="0" collapsed="false">
      <c r="A46" s="11" t="n">
        <v>41</v>
      </c>
      <c r="B46" s="21" t="str">
        <f aca="false">IF(Projects!B46="","",Projects!B46)</f>
        <v/>
      </c>
      <c r="C46" s="31" t="str">
        <f aca="false">IF(Projects!D46="","",Projects!D46)</f>
        <v/>
      </c>
      <c r="D46" s="21" t="str">
        <f aca="false">IF(Projects!E46="","",Projects!E46)</f>
        <v/>
      </c>
      <c r="E46" s="33" t="n">
        <f aca="false">IF(Projects!B46="",0,N(Projects!I46))</f>
        <v>0</v>
      </c>
      <c r="F46" s="21" t="n">
        <f aca="false">Phasing!G46</f>
        <v>0</v>
      </c>
      <c r="G46" s="48" t="b">
        <f aca="false">Phasing!D46=0</f>
        <v>1</v>
      </c>
      <c r="H46" s="38" t="n">
        <f aca="false">IF(OR($C46="",$D46="",$F46=0),0,IF(OR(H$5&lt;=Projects!$C$2,((YEAR(H$5)-YEAR($C46))*12+MONTH(H$5)-MONTH($C46)+1)&lt;1,((YEAR(H$5)-YEAR($C46))*12+MONTH(H$5)-MONTH($C46)+1)&gt;$D46),0,$E46*IF($G46,1,N(INDEX(Phasing!$I46:$AF46,((YEAR(H$5)-YEAR($C46))*12+MONTH(H$5)-MONTH($C46)+1))))/$F46))</f>
        <v>0</v>
      </c>
      <c r="I46" s="38" t="n">
        <f aca="false">IF(OR($C46="",$D46="",$F46=0),0,IF(OR(I$5&lt;=Projects!$C$2,((YEAR(I$5)-YEAR($C46))*12+MONTH(I$5)-MONTH($C46)+1)&lt;1,((YEAR(I$5)-YEAR($C46))*12+MONTH(I$5)-MONTH($C46)+1)&gt;$D46),0,$E46*IF($G46,1,N(INDEX(Phasing!$I46:$AF46,((YEAR(I$5)-YEAR($C46))*12+MONTH(I$5)-MONTH($C46)+1))))/$F46))</f>
        <v>0</v>
      </c>
      <c r="J46" s="38" t="n">
        <f aca="false">IF(OR($C46="",$D46="",$F46=0),0,IF(OR(J$5&lt;=Projects!$C$2,((YEAR(J$5)-YEAR($C46))*12+MONTH(J$5)-MONTH($C46)+1)&lt;1,((YEAR(J$5)-YEAR($C46))*12+MONTH(J$5)-MONTH($C46)+1)&gt;$D46),0,$E46*IF($G46,1,N(INDEX(Phasing!$I46:$AF46,((YEAR(J$5)-YEAR($C46))*12+MONTH(J$5)-MONTH($C46)+1))))/$F46))</f>
        <v>0</v>
      </c>
      <c r="K46" s="38" t="n">
        <f aca="false">IF(OR($C46="",$D46="",$F46=0),0,IF(OR(K$5&lt;=Projects!$C$2,((YEAR(K$5)-YEAR($C46))*12+MONTH(K$5)-MONTH($C46)+1)&lt;1,((YEAR(K$5)-YEAR($C46))*12+MONTH(K$5)-MONTH($C46)+1)&gt;$D46),0,$E46*IF($G46,1,N(INDEX(Phasing!$I46:$AF46,((YEAR(K$5)-YEAR($C46))*12+MONTH(K$5)-MONTH($C46)+1))))/$F46))</f>
        <v>0</v>
      </c>
      <c r="L46" s="38" t="n">
        <f aca="false">IF(OR($C46="",$D46="",$F46=0),0,IF(OR(L$5&lt;=Projects!$C$2,((YEAR(L$5)-YEAR($C46))*12+MONTH(L$5)-MONTH($C46)+1)&lt;1,((YEAR(L$5)-YEAR($C46))*12+MONTH(L$5)-MONTH($C46)+1)&gt;$D46),0,$E46*IF($G46,1,N(INDEX(Phasing!$I46:$AF46,((YEAR(L$5)-YEAR($C46))*12+MONTH(L$5)-MONTH($C46)+1))))/$F46))</f>
        <v>0</v>
      </c>
      <c r="M46" s="38" t="n">
        <f aca="false">IF(OR($C46="",$D46="",$F46=0),0,IF(OR(M$5&lt;=Projects!$C$2,((YEAR(M$5)-YEAR($C46))*12+MONTH(M$5)-MONTH($C46)+1)&lt;1,((YEAR(M$5)-YEAR($C46))*12+MONTH(M$5)-MONTH($C46)+1)&gt;$D46),0,$E46*IF($G46,1,N(INDEX(Phasing!$I46:$AF46,((YEAR(M$5)-YEAR($C46))*12+MONTH(M$5)-MONTH($C46)+1))))/$F46))</f>
        <v>0</v>
      </c>
      <c r="N46" s="38" t="n">
        <f aca="false">IF(OR($C46="",$D46="",$F46=0),0,IF(OR(N$5&lt;=Projects!$C$2,((YEAR(N$5)-YEAR($C46))*12+MONTH(N$5)-MONTH($C46)+1)&lt;1,((YEAR(N$5)-YEAR($C46))*12+MONTH(N$5)-MONTH($C46)+1)&gt;$D46),0,$E46*IF($G46,1,N(INDEX(Phasing!$I46:$AF46,((YEAR(N$5)-YEAR($C46))*12+MONTH(N$5)-MONTH($C46)+1))))/$F46))</f>
        <v>0</v>
      </c>
      <c r="O46" s="38" t="n">
        <f aca="false">IF(OR($C46="",$D46="",$F46=0),0,IF(OR(O$5&lt;=Projects!$C$2,((YEAR(O$5)-YEAR($C46))*12+MONTH(O$5)-MONTH($C46)+1)&lt;1,((YEAR(O$5)-YEAR($C46))*12+MONTH(O$5)-MONTH($C46)+1)&gt;$D46),0,$E46*IF($G46,1,N(INDEX(Phasing!$I46:$AF46,((YEAR(O$5)-YEAR($C46))*12+MONTH(O$5)-MONTH($C46)+1))))/$F46))</f>
        <v>0</v>
      </c>
      <c r="P46" s="38" t="n">
        <f aca="false">IF(OR($C46="",$D46="",$F46=0),0,IF(OR(P$5&lt;=Projects!$C$2,((YEAR(P$5)-YEAR($C46))*12+MONTH(P$5)-MONTH($C46)+1)&lt;1,((YEAR(P$5)-YEAR($C46))*12+MONTH(P$5)-MONTH($C46)+1)&gt;$D46),0,$E46*IF($G46,1,N(INDEX(Phasing!$I46:$AF46,((YEAR(P$5)-YEAR($C46))*12+MONTH(P$5)-MONTH($C46)+1))))/$F46))</f>
        <v>0</v>
      </c>
      <c r="Q46" s="38" t="n">
        <f aca="false">IF(OR($C46="",$D46="",$F46=0),0,IF(OR(Q$5&lt;=Projects!$C$2,((YEAR(Q$5)-YEAR($C46))*12+MONTH(Q$5)-MONTH($C46)+1)&lt;1,((YEAR(Q$5)-YEAR($C46))*12+MONTH(Q$5)-MONTH($C46)+1)&gt;$D46),0,$E46*IF($G46,1,N(INDEX(Phasing!$I46:$AF46,((YEAR(Q$5)-YEAR($C46))*12+MONTH(Q$5)-MONTH($C46)+1))))/$F46))</f>
        <v>0</v>
      </c>
      <c r="R46" s="38" t="n">
        <f aca="false">IF(OR($C46="",$D46="",$F46=0),0,IF(OR(R$5&lt;=Projects!$C$2,((YEAR(R$5)-YEAR($C46))*12+MONTH(R$5)-MONTH($C46)+1)&lt;1,((YEAR(R$5)-YEAR($C46))*12+MONTH(R$5)-MONTH($C46)+1)&gt;$D46),0,$E46*IF($G46,1,N(INDEX(Phasing!$I46:$AF46,((YEAR(R$5)-YEAR($C46))*12+MONTH(R$5)-MONTH($C46)+1))))/$F46))</f>
        <v>0</v>
      </c>
      <c r="S46" s="38" t="n">
        <f aca="false">IF(OR($C46="",$D46="",$F46=0),0,IF(OR(S$5&lt;=Projects!$C$2,((YEAR(S$5)-YEAR($C46))*12+MONTH(S$5)-MONTH($C46)+1)&lt;1,((YEAR(S$5)-YEAR($C46))*12+MONTH(S$5)-MONTH($C46)+1)&gt;$D46),0,$E46*IF($G46,1,N(INDEX(Phasing!$I46:$AF46,((YEAR(S$5)-YEAR($C46))*12+MONTH(S$5)-MONTH($C46)+1))))/$F46))</f>
        <v>0</v>
      </c>
      <c r="T46" s="38" t="n">
        <f aca="false">IF(OR($C46="",$D46="",$F46=0),0,IF(OR(T$5&lt;=Projects!$C$2,((YEAR(T$5)-YEAR($C46))*12+MONTH(T$5)-MONTH($C46)+1)&lt;1,((YEAR(T$5)-YEAR($C46))*12+MONTH(T$5)-MONTH($C46)+1)&gt;$D46),0,$E46*IF($G46,1,N(INDEX(Phasing!$I46:$AF46,((YEAR(T$5)-YEAR($C46))*12+MONTH(T$5)-MONTH($C46)+1))))/$F46))</f>
        <v>0</v>
      </c>
      <c r="U46" s="38" t="n">
        <f aca="false">IF(OR($C46="",$D46="",$F46=0),0,IF(OR(U$5&lt;=Projects!$C$2,((YEAR(U$5)-YEAR($C46))*12+MONTH(U$5)-MONTH($C46)+1)&lt;1,((YEAR(U$5)-YEAR($C46))*12+MONTH(U$5)-MONTH($C46)+1)&gt;$D46),0,$E46*IF($G46,1,N(INDEX(Phasing!$I46:$AF46,((YEAR(U$5)-YEAR($C46))*12+MONTH(U$5)-MONTH($C46)+1))))/$F46))</f>
        <v>0</v>
      </c>
      <c r="V46" s="38" t="n">
        <f aca="false">IF(OR($C46="",$D46="",$F46=0),0,IF(OR(V$5&lt;=Projects!$C$2,((YEAR(V$5)-YEAR($C46))*12+MONTH(V$5)-MONTH($C46)+1)&lt;1,((YEAR(V$5)-YEAR($C46))*12+MONTH(V$5)-MONTH($C46)+1)&gt;$D46),0,$E46*IF($G46,1,N(INDEX(Phasing!$I46:$AF46,((YEAR(V$5)-YEAR($C46))*12+MONTH(V$5)-MONTH($C46)+1))))/$F46))</f>
        <v>0</v>
      </c>
      <c r="W46" s="38" t="n">
        <f aca="false">IF(OR($C46="",$D46="",$F46=0),0,IF(OR(W$5&lt;=Projects!$C$2,((YEAR(W$5)-YEAR($C46))*12+MONTH(W$5)-MONTH($C46)+1)&lt;1,((YEAR(W$5)-YEAR($C46))*12+MONTH(W$5)-MONTH($C46)+1)&gt;$D46),0,$E46*IF($G46,1,N(INDEX(Phasing!$I46:$AF46,((YEAR(W$5)-YEAR($C46))*12+MONTH(W$5)-MONTH($C46)+1))))/$F46))</f>
        <v>0</v>
      </c>
      <c r="X46" s="38" t="n">
        <f aca="false">IF(OR($C46="",$D46="",$F46=0),0,IF(OR(X$5&lt;=Projects!$C$2,((YEAR(X$5)-YEAR($C46))*12+MONTH(X$5)-MONTH($C46)+1)&lt;1,((YEAR(X$5)-YEAR($C46))*12+MONTH(X$5)-MONTH($C46)+1)&gt;$D46),0,$E46*IF($G46,1,N(INDEX(Phasing!$I46:$AF46,((YEAR(X$5)-YEAR($C46))*12+MONTH(X$5)-MONTH($C46)+1))))/$F46))</f>
        <v>0</v>
      </c>
      <c r="Y46" s="38" t="n">
        <f aca="false">IF(OR($C46="",$D46="",$F46=0),0,IF(OR(Y$5&lt;=Projects!$C$2,((YEAR(Y$5)-YEAR($C46))*12+MONTH(Y$5)-MONTH($C46)+1)&lt;1,((YEAR(Y$5)-YEAR($C46))*12+MONTH(Y$5)-MONTH($C46)+1)&gt;$D46),0,$E46*IF($G46,1,N(INDEX(Phasing!$I46:$AF46,((YEAR(Y$5)-YEAR($C46))*12+MONTH(Y$5)-MONTH($C46)+1))))/$F46))</f>
        <v>0</v>
      </c>
      <c r="Z46" s="38" t="n">
        <f aca="false">IF(OR($C46="",$D46="",$F46=0),0,IF(OR(Z$5&lt;=Projects!$C$2,((YEAR(Z$5)-YEAR($C46))*12+MONTH(Z$5)-MONTH($C46)+1)&lt;1,((YEAR(Z$5)-YEAR($C46))*12+MONTH(Z$5)-MONTH($C46)+1)&gt;$D46),0,$E46*IF($G46,1,N(INDEX(Phasing!$I46:$AF46,((YEAR(Z$5)-YEAR($C46))*12+MONTH(Z$5)-MONTH($C46)+1))))/$F46))</f>
        <v>0</v>
      </c>
      <c r="AA46" s="38" t="n">
        <f aca="false">IF(OR($C46="",$D46="",$F46=0),0,IF(OR(AA$5&lt;=Projects!$C$2,((YEAR(AA$5)-YEAR($C46))*12+MONTH(AA$5)-MONTH($C46)+1)&lt;1,((YEAR(AA$5)-YEAR($C46))*12+MONTH(AA$5)-MONTH($C46)+1)&gt;$D46),0,$E46*IF($G46,1,N(INDEX(Phasing!$I46:$AF46,((YEAR(AA$5)-YEAR($C46))*12+MONTH(AA$5)-MONTH($C46)+1))))/$F46))</f>
        <v>0</v>
      </c>
      <c r="AB46" s="38" t="n">
        <f aca="false">IF(OR($C46="",$D46="",$F46=0),0,IF(OR(AB$5&lt;=Projects!$C$2,((YEAR(AB$5)-YEAR($C46))*12+MONTH(AB$5)-MONTH($C46)+1)&lt;1,((YEAR(AB$5)-YEAR($C46))*12+MONTH(AB$5)-MONTH($C46)+1)&gt;$D46),0,$E46*IF($G46,1,N(INDEX(Phasing!$I46:$AF46,((YEAR(AB$5)-YEAR($C46))*12+MONTH(AB$5)-MONTH($C46)+1))))/$F46))</f>
        <v>0</v>
      </c>
      <c r="AC46" s="38" t="n">
        <f aca="false">IF(OR($C46="",$D46="",$F46=0),0,IF(OR(AC$5&lt;=Projects!$C$2,((YEAR(AC$5)-YEAR($C46))*12+MONTH(AC$5)-MONTH($C46)+1)&lt;1,((YEAR(AC$5)-YEAR($C46))*12+MONTH(AC$5)-MONTH($C46)+1)&gt;$D46),0,$E46*IF($G46,1,N(INDEX(Phasing!$I46:$AF46,((YEAR(AC$5)-YEAR($C46))*12+MONTH(AC$5)-MONTH($C46)+1))))/$F46))</f>
        <v>0</v>
      </c>
      <c r="AD46" s="38" t="n">
        <f aca="false">IF(OR($C46="",$D46="",$F46=0),0,IF(OR(AD$5&lt;=Projects!$C$2,((YEAR(AD$5)-YEAR($C46))*12+MONTH(AD$5)-MONTH($C46)+1)&lt;1,((YEAR(AD$5)-YEAR($C46))*12+MONTH(AD$5)-MONTH($C46)+1)&gt;$D46),0,$E46*IF($G46,1,N(INDEX(Phasing!$I46:$AF46,((YEAR(AD$5)-YEAR($C46))*12+MONTH(AD$5)-MONTH($C46)+1))))/$F46))</f>
        <v>0</v>
      </c>
      <c r="AE46" s="38" t="n">
        <f aca="false">IF(OR($C46="",$D46="",$F46=0),0,IF(OR(AE$5&lt;=Projects!$C$2,((YEAR(AE$5)-YEAR($C46))*12+MONTH(AE$5)-MONTH($C46)+1)&lt;1,((YEAR(AE$5)-YEAR($C46))*12+MONTH(AE$5)-MONTH($C46)+1)&gt;$D46),0,$E46*IF($G46,1,N(INDEX(Phasing!$I46:$AF46,((YEAR(AE$5)-YEAR($C46))*12+MONTH(AE$5)-MONTH($C46)+1))))/$F46))</f>
        <v>0</v>
      </c>
      <c r="AF46" s="38" t="n">
        <f aca="false">IF(OR($C46="",$D46="",$F46=0),0,IF(OR(AF$5&lt;=Projects!$C$2,((YEAR(AF$5)-YEAR($C46))*12+MONTH(AF$5)-MONTH($C46)+1)&lt;1,((YEAR(AF$5)-YEAR($C46))*12+MONTH(AF$5)-MONTH($C46)+1)&gt;$D46),0,$E46*IF($G46,1,N(INDEX(Phasing!$I46:$AF46,((YEAR(AF$5)-YEAR($C46))*12+MONTH(AF$5)-MONTH($C46)+1))))/$F46))</f>
        <v>0</v>
      </c>
      <c r="AG46" s="38" t="n">
        <f aca="false">IF(OR($C46="",$D46="",$F46=0),0,IF(OR(AG$5&lt;=Projects!$C$2,((YEAR(AG$5)-YEAR($C46))*12+MONTH(AG$5)-MONTH($C46)+1)&lt;1,((YEAR(AG$5)-YEAR($C46))*12+MONTH(AG$5)-MONTH($C46)+1)&gt;$D46),0,$E46*IF($G46,1,N(INDEX(Phasing!$I46:$AF46,((YEAR(AG$5)-YEAR($C46))*12+MONTH(AG$5)-MONTH($C46)+1))))/$F46))</f>
        <v>0</v>
      </c>
      <c r="AH46" s="38" t="n">
        <f aca="false">IF(OR($C46="",$D46="",$F46=0),0,IF(OR(AH$5&lt;=Projects!$C$2,((YEAR(AH$5)-YEAR($C46))*12+MONTH(AH$5)-MONTH($C46)+1)&lt;1,((YEAR(AH$5)-YEAR($C46))*12+MONTH(AH$5)-MONTH($C46)+1)&gt;$D46),0,$E46*IF($G46,1,N(INDEX(Phasing!$I46:$AF46,((YEAR(AH$5)-YEAR($C46))*12+MONTH(AH$5)-MONTH($C46)+1))))/$F46))</f>
        <v>0</v>
      </c>
      <c r="AI46" s="38" t="n">
        <f aca="false">IF(OR($C46="",$D46="",$F46=0),0,IF(OR(AI$5&lt;=Projects!$C$2,((YEAR(AI$5)-YEAR($C46))*12+MONTH(AI$5)-MONTH($C46)+1)&lt;1,((YEAR(AI$5)-YEAR($C46))*12+MONTH(AI$5)-MONTH($C46)+1)&gt;$D46),0,$E46*IF($G46,1,N(INDEX(Phasing!$I46:$AF46,((YEAR(AI$5)-YEAR($C46))*12+MONTH(AI$5)-MONTH($C46)+1))))/$F46))</f>
        <v>0</v>
      </c>
      <c r="AJ46" s="38" t="n">
        <f aca="false">IF(OR($C46="",$D46="",$F46=0),0,IF(OR(AJ$5&lt;=Projects!$C$2,((YEAR(AJ$5)-YEAR($C46))*12+MONTH(AJ$5)-MONTH($C46)+1)&lt;1,((YEAR(AJ$5)-YEAR($C46))*12+MONTH(AJ$5)-MONTH($C46)+1)&gt;$D46),0,$E46*IF($G46,1,N(INDEX(Phasing!$I46:$AF46,((YEAR(AJ$5)-YEAR($C46))*12+MONTH(AJ$5)-MONTH($C46)+1))))/$F46))</f>
        <v>0</v>
      </c>
      <c r="AK46" s="38" t="n">
        <f aca="false">IF(OR($C46="",$D46="",$F46=0),0,IF(OR(AK$5&lt;=Projects!$C$2,((YEAR(AK$5)-YEAR($C46))*12+MONTH(AK$5)-MONTH($C46)+1)&lt;1,((YEAR(AK$5)-YEAR($C46))*12+MONTH(AK$5)-MONTH($C46)+1)&gt;$D46),0,$E46*IF($G46,1,N(INDEX(Phasing!$I46:$AF46,((YEAR(AK$5)-YEAR($C46))*12+MONTH(AK$5)-MONTH($C46)+1))))/$F46))</f>
        <v>0</v>
      </c>
      <c r="AL46" s="38" t="n">
        <f aca="false">IF(OR($C46="",$D46="",$F46=0),0,IF(OR(AL$5&lt;=Projects!$C$2,((YEAR(AL$5)-YEAR($C46))*12+MONTH(AL$5)-MONTH($C46)+1)&lt;1,((YEAR(AL$5)-YEAR($C46))*12+MONTH(AL$5)-MONTH($C46)+1)&gt;$D46),0,$E46*IF($G46,1,N(INDEX(Phasing!$I46:$AF46,((YEAR(AL$5)-YEAR($C46))*12+MONTH(AL$5)-MONTH($C46)+1))))/$F46))</f>
        <v>0</v>
      </c>
      <c r="AM46" s="38" t="n">
        <f aca="false">IF(OR($C46="",$D46="",$F46=0),0,IF(OR(AM$5&lt;=Projects!$C$2,((YEAR(AM$5)-YEAR($C46))*12+MONTH(AM$5)-MONTH($C46)+1)&lt;1,((YEAR(AM$5)-YEAR($C46))*12+MONTH(AM$5)-MONTH($C46)+1)&gt;$D46),0,$E46*IF($G46,1,N(INDEX(Phasing!$I46:$AF46,((YEAR(AM$5)-YEAR($C46))*12+MONTH(AM$5)-MONTH($C46)+1))))/$F46))</f>
        <v>0</v>
      </c>
      <c r="AN46" s="38" t="n">
        <f aca="false">IF(OR($C46="",$D46="",$F46=0),0,IF(OR(AN$5&lt;=Projects!$C$2,((YEAR(AN$5)-YEAR($C46))*12+MONTH(AN$5)-MONTH($C46)+1)&lt;1,((YEAR(AN$5)-YEAR($C46))*12+MONTH(AN$5)-MONTH($C46)+1)&gt;$D46),0,$E46*IF($G46,1,N(INDEX(Phasing!$I46:$AF46,((YEAR(AN$5)-YEAR($C46))*12+MONTH(AN$5)-MONTH($C46)+1))))/$F46))</f>
        <v>0</v>
      </c>
      <c r="AO46" s="38" t="n">
        <f aca="false">IF(OR($C46="",$D46="",$F46=0),0,IF(OR(AO$5&lt;=Projects!$C$2,((YEAR(AO$5)-YEAR($C46))*12+MONTH(AO$5)-MONTH($C46)+1)&lt;1,((YEAR(AO$5)-YEAR($C46))*12+MONTH(AO$5)-MONTH($C46)+1)&gt;$D46),0,$E46*IF($G46,1,N(INDEX(Phasing!$I46:$AF46,((YEAR(AO$5)-YEAR($C46))*12+MONTH(AO$5)-MONTH($C46)+1))))/$F46))</f>
        <v>0</v>
      </c>
      <c r="AP46" s="38" t="n">
        <f aca="false">IF(OR($C46="",$D46="",$F46=0),0,IF(OR(AP$5&lt;=Projects!$C$2,((YEAR(AP$5)-YEAR($C46))*12+MONTH(AP$5)-MONTH($C46)+1)&lt;1,((YEAR(AP$5)-YEAR($C46))*12+MONTH(AP$5)-MONTH($C46)+1)&gt;$D46),0,$E46*IF($G46,1,N(INDEX(Phasing!$I46:$AF46,((YEAR(AP$5)-YEAR($C46))*12+MONTH(AP$5)-MONTH($C46)+1))))/$F46))</f>
        <v>0</v>
      </c>
      <c r="AQ46" s="38" t="n">
        <f aca="false">IF(OR($C46="",$D46="",$F46=0),0,IF(OR(AQ$5&lt;=Projects!$C$2,((YEAR(AQ$5)-YEAR($C46))*12+MONTH(AQ$5)-MONTH($C46)+1)&lt;1,((YEAR(AQ$5)-YEAR($C46))*12+MONTH(AQ$5)-MONTH($C46)+1)&gt;$D46),0,$E46*IF($G46,1,N(INDEX(Phasing!$I46:$AF46,((YEAR(AQ$5)-YEAR($C46))*12+MONTH(AQ$5)-MONTH($C46)+1))))/$F46))</f>
        <v>0</v>
      </c>
    </row>
    <row r="47" customFormat="false" ht="15" hidden="false" customHeight="false" outlineLevel="0" collapsed="false">
      <c r="A47" s="11" t="n">
        <v>42</v>
      </c>
      <c r="B47" s="21" t="str">
        <f aca="false">IF(Projects!B47="","",Projects!B47)</f>
        <v/>
      </c>
      <c r="C47" s="31" t="str">
        <f aca="false">IF(Projects!D47="","",Projects!D47)</f>
        <v/>
      </c>
      <c r="D47" s="21" t="str">
        <f aca="false">IF(Projects!E47="","",Projects!E47)</f>
        <v/>
      </c>
      <c r="E47" s="33" t="n">
        <f aca="false">IF(Projects!B47="",0,N(Projects!I47))</f>
        <v>0</v>
      </c>
      <c r="F47" s="21" t="n">
        <f aca="false">Phasing!G47</f>
        <v>0</v>
      </c>
      <c r="G47" s="48" t="b">
        <f aca="false">Phasing!D47=0</f>
        <v>1</v>
      </c>
      <c r="H47" s="38" t="n">
        <f aca="false">IF(OR($C47="",$D47="",$F47=0),0,IF(OR(H$5&lt;=Projects!$C$2,((YEAR(H$5)-YEAR($C47))*12+MONTH(H$5)-MONTH($C47)+1)&lt;1,((YEAR(H$5)-YEAR($C47))*12+MONTH(H$5)-MONTH($C47)+1)&gt;$D47),0,$E47*IF($G47,1,N(INDEX(Phasing!$I47:$AF47,((YEAR(H$5)-YEAR($C47))*12+MONTH(H$5)-MONTH($C47)+1))))/$F47))</f>
        <v>0</v>
      </c>
      <c r="I47" s="38" t="n">
        <f aca="false">IF(OR($C47="",$D47="",$F47=0),0,IF(OR(I$5&lt;=Projects!$C$2,((YEAR(I$5)-YEAR($C47))*12+MONTH(I$5)-MONTH($C47)+1)&lt;1,((YEAR(I$5)-YEAR($C47))*12+MONTH(I$5)-MONTH($C47)+1)&gt;$D47),0,$E47*IF($G47,1,N(INDEX(Phasing!$I47:$AF47,((YEAR(I$5)-YEAR($C47))*12+MONTH(I$5)-MONTH($C47)+1))))/$F47))</f>
        <v>0</v>
      </c>
      <c r="J47" s="38" t="n">
        <f aca="false">IF(OR($C47="",$D47="",$F47=0),0,IF(OR(J$5&lt;=Projects!$C$2,((YEAR(J$5)-YEAR($C47))*12+MONTH(J$5)-MONTH($C47)+1)&lt;1,((YEAR(J$5)-YEAR($C47))*12+MONTH(J$5)-MONTH($C47)+1)&gt;$D47),0,$E47*IF($G47,1,N(INDEX(Phasing!$I47:$AF47,((YEAR(J$5)-YEAR($C47))*12+MONTH(J$5)-MONTH($C47)+1))))/$F47))</f>
        <v>0</v>
      </c>
      <c r="K47" s="38" t="n">
        <f aca="false">IF(OR($C47="",$D47="",$F47=0),0,IF(OR(K$5&lt;=Projects!$C$2,((YEAR(K$5)-YEAR($C47))*12+MONTH(K$5)-MONTH($C47)+1)&lt;1,((YEAR(K$5)-YEAR($C47))*12+MONTH(K$5)-MONTH($C47)+1)&gt;$D47),0,$E47*IF($G47,1,N(INDEX(Phasing!$I47:$AF47,((YEAR(K$5)-YEAR($C47))*12+MONTH(K$5)-MONTH($C47)+1))))/$F47))</f>
        <v>0</v>
      </c>
      <c r="L47" s="38" t="n">
        <f aca="false">IF(OR($C47="",$D47="",$F47=0),0,IF(OR(L$5&lt;=Projects!$C$2,((YEAR(L$5)-YEAR($C47))*12+MONTH(L$5)-MONTH($C47)+1)&lt;1,((YEAR(L$5)-YEAR($C47))*12+MONTH(L$5)-MONTH($C47)+1)&gt;$D47),0,$E47*IF($G47,1,N(INDEX(Phasing!$I47:$AF47,((YEAR(L$5)-YEAR($C47))*12+MONTH(L$5)-MONTH($C47)+1))))/$F47))</f>
        <v>0</v>
      </c>
      <c r="M47" s="38" t="n">
        <f aca="false">IF(OR($C47="",$D47="",$F47=0),0,IF(OR(M$5&lt;=Projects!$C$2,((YEAR(M$5)-YEAR($C47))*12+MONTH(M$5)-MONTH($C47)+1)&lt;1,((YEAR(M$5)-YEAR($C47))*12+MONTH(M$5)-MONTH($C47)+1)&gt;$D47),0,$E47*IF($G47,1,N(INDEX(Phasing!$I47:$AF47,((YEAR(M$5)-YEAR($C47))*12+MONTH(M$5)-MONTH($C47)+1))))/$F47))</f>
        <v>0</v>
      </c>
      <c r="N47" s="38" t="n">
        <f aca="false">IF(OR($C47="",$D47="",$F47=0),0,IF(OR(N$5&lt;=Projects!$C$2,((YEAR(N$5)-YEAR($C47))*12+MONTH(N$5)-MONTH($C47)+1)&lt;1,((YEAR(N$5)-YEAR($C47))*12+MONTH(N$5)-MONTH($C47)+1)&gt;$D47),0,$E47*IF($G47,1,N(INDEX(Phasing!$I47:$AF47,((YEAR(N$5)-YEAR($C47))*12+MONTH(N$5)-MONTH($C47)+1))))/$F47))</f>
        <v>0</v>
      </c>
      <c r="O47" s="38" t="n">
        <f aca="false">IF(OR($C47="",$D47="",$F47=0),0,IF(OR(O$5&lt;=Projects!$C$2,((YEAR(O$5)-YEAR($C47))*12+MONTH(O$5)-MONTH($C47)+1)&lt;1,((YEAR(O$5)-YEAR($C47))*12+MONTH(O$5)-MONTH($C47)+1)&gt;$D47),0,$E47*IF($G47,1,N(INDEX(Phasing!$I47:$AF47,((YEAR(O$5)-YEAR($C47))*12+MONTH(O$5)-MONTH($C47)+1))))/$F47))</f>
        <v>0</v>
      </c>
      <c r="P47" s="38" t="n">
        <f aca="false">IF(OR($C47="",$D47="",$F47=0),0,IF(OR(P$5&lt;=Projects!$C$2,((YEAR(P$5)-YEAR($C47))*12+MONTH(P$5)-MONTH($C47)+1)&lt;1,((YEAR(P$5)-YEAR($C47))*12+MONTH(P$5)-MONTH($C47)+1)&gt;$D47),0,$E47*IF($G47,1,N(INDEX(Phasing!$I47:$AF47,((YEAR(P$5)-YEAR($C47))*12+MONTH(P$5)-MONTH($C47)+1))))/$F47))</f>
        <v>0</v>
      </c>
      <c r="Q47" s="38" t="n">
        <f aca="false">IF(OR($C47="",$D47="",$F47=0),0,IF(OR(Q$5&lt;=Projects!$C$2,((YEAR(Q$5)-YEAR($C47))*12+MONTH(Q$5)-MONTH($C47)+1)&lt;1,((YEAR(Q$5)-YEAR($C47))*12+MONTH(Q$5)-MONTH($C47)+1)&gt;$D47),0,$E47*IF($G47,1,N(INDEX(Phasing!$I47:$AF47,((YEAR(Q$5)-YEAR($C47))*12+MONTH(Q$5)-MONTH($C47)+1))))/$F47))</f>
        <v>0</v>
      </c>
      <c r="R47" s="38" t="n">
        <f aca="false">IF(OR($C47="",$D47="",$F47=0),0,IF(OR(R$5&lt;=Projects!$C$2,((YEAR(R$5)-YEAR($C47))*12+MONTH(R$5)-MONTH($C47)+1)&lt;1,((YEAR(R$5)-YEAR($C47))*12+MONTH(R$5)-MONTH($C47)+1)&gt;$D47),0,$E47*IF($G47,1,N(INDEX(Phasing!$I47:$AF47,((YEAR(R$5)-YEAR($C47))*12+MONTH(R$5)-MONTH($C47)+1))))/$F47))</f>
        <v>0</v>
      </c>
      <c r="S47" s="38" t="n">
        <f aca="false">IF(OR($C47="",$D47="",$F47=0),0,IF(OR(S$5&lt;=Projects!$C$2,((YEAR(S$5)-YEAR($C47))*12+MONTH(S$5)-MONTH($C47)+1)&lt;1,((YEAR(S$5)-YEAR($C47))*12+MONTH(S$5)-MONTH($C47)+1)&gt;$D47),0,$E47*IF($G47,1,N(INDEX(Phasing!$I47:$AF47,((YEAR(S$5)-YEAR($C47))*12+MONTH(S$5)-MONTH($C47)+1))))/$F47))</f>
        <v>0</v>
      </c>
      <c r="T47" s="38" t="n">
        <f aca="false">IF(OR($C47="",$D47="",$F47=0),0,IF(OR(T$5&lt;=Projects!$C$2,((YEAR(T$5)-YEAR($C47))*12+MONTH(T$5)-MONTH($C47)+1)&lt;1,((YEAR(T$5)-YEAR($C47))*12+MONTH(T$5)-MONTH($C47)+1)&gt;$D47),0,$E47*IF($G47,1,N(INDEX(Phasing!$I47:$AF47,((YEAR(T$5)-YEAR($C47))*12+MONTH(T$5)-MONTH($C47)+1))))/$F47))</f>
        <v>0</v>
      </c>
      <c r="U47" s="38" t="n">
        <f aca="false">IF(OR($C47="",$D47="",$F47=0),0,IF(OR(U$5&lt;=Projects!$C$2,((YEAR(U$5)-YEAR($C47))*12+MONTH(U$5)-MONTH($C47)+1)&lt;1,((YEAR(U$5)-YEAR($C47))*12+MONTH(U$5)-MONTH($C47)+1)&gt;$D47),0,$E47*IF($G47,1,N(INDEX(Phasing!$I47:$AF47,((YEAR(U$5)-YEAR($C47))*12+MONTH(U$5)-MONTH($C47)+1))))/$F47))</f>
        <v>0</v>
      </c>
      <c r="V47" s="38" t="n">
        <f aca="false">IF(OR($C47="",$D47="",$F47=0),0,IF(OR(V$5&lt;=Projects!$C$2,((YEAR(V$5)-YEAR($C47))*12+MONTH(V$5)-MONTH($C47)+1)&lt;1,((YEAR(V$5)-YEAR($C47))*12+MONTH(V$5)-MONTH($C47)+1)&gt;$D47),0,$E47*IF($G47,1,N(INDEX(Phasing!$I47:$AF47,((YEAR(V$5)-YEAR($C47))*12+MONTH(V$5)-MONTH($C47)+1))))/$F47))</f>
        <v>0</v>
      </c>
      <c r="W47" s="38" t="n">
        <f aca="false">IF(OR($C47="",$D47="",$F47=0),0,IF(OR(W$5&lt;=Projects!$C$2,((YEAR(W$5)-YEAR($C47))*12+MONTH(W$5)-MONTH($C47)+1)&lt;1,((YEAR(W$5)-YEAR($C47))*12+MONTH(W$5)-MONTH($C47)+1)&gt;$D47),0,$E47*IF($G47,1,N(INDEX(Phasing!$I47:$AF47,((YEAR(W$5)-YEAR($C47))*12+MONTH(W$5)-MONTH($C47)+1))))/$F47))</f>
        <v>0</v>
      </c>
      <c r="X47" s="38" t="n">
        <f aca="false">IF(OR($C47="",$D47="",$F47=0),0,IF(OR(X$5&lt;=Projects!$C$2,((YEAR(X$5)-YEAR($C47))*12+MONTH(X$5)-MONTH($C47)+1)&lt;1,((YEAR(X$5)-YEAR($C47))*12+MONTH(X$5)-MONTH($C47)+1)&gt;$D47),0,$E47*IF($G47,1,N(INDEX(Phasing!$I47:$AF47,((YEAR(X$5)-YEAR($C47))*12+MONTH(X$5)-MONTH($C47)+1))))/$F47))</f>
        <v>0</v>
      </c>
      <c r="Y47" s="38" t="n">
        <f aca="false">IF(OR($C47="",$D47="",$F47=0),0,IF(OR(Y$5&lt;=Projects!$C$2,((YEAR(Y$5)-YEAR($C47))*12+MONTH(Y$5)-MONTH($C47)+1)&lt;1,((YEAR(Y$5)-YEAR($C47))*12+MONTH(Y$5)-MONTH($C47)+1)&gt;$D47),0,$E47*IF($G47,1,N(INDEX(Phasing!$I47:$AF47,((YEAR(Y$5)-YEAR($C47))*12+MONTH(Y$5)-MONTH($C47)+1))))/$F47))</f>
        <v>0</v>
      </c>
      <c r="Z47" s="38" t="n">
        <f aca="false">IF(OR($C47="",$D47="",$F47=0),0,IF(OR(Z$5&lt;=Projects!$C$2,((YEAR(Z$5)-YEAR($C47))*12+MONTH(Z$5)-MONTH($C47)+1)&lt;1,((YEAR(Z$5)-YEAR($C47))*12+MONTH(Z$5)-MONTH($C47)+1)&gt;$D47),0,$E47*IF($G47,1,N(INDEX(Phasing!$I47:$AF47,((YEAR(Z$5)-YEAR($C47))*12+MONTH(Z$5)-MONTH($C47)+1))))/$F47))</f>
        <v>0</v>
      </c>
      <c r="AA47" s="38" t="n">
        <f aca="false">IF(OR($C47="",$D47="",$F47=0),0,IF(OR(AA$5&lt;=Projects!$C$2,((YEAR(AA$5)-YEAR($C47))*12+MONTH(AA$5)-MONTH($C47)+1)&lt;1,((YEAR(AA$5)-YEAR($C47))*12+MONTH(AA$5)-MONTH($C47)+1)&gt;$D47),0,$E47*IF($G47,1,N(INDEX(Phasing!$I47:$AF47,((YEAR(AA$5)-YEAR($C47))*12+MONTH(AA$5)-MONTH($C47)+1))))/$F47))</f>
        <v>0</v>
      </c>
      <c r="AB47" s="38" t="n">
        <f aca="false">IF(OR($C47="",$D47="",$F47=0),0,IF(OR(AB$5&lt;=Projects!$C$2,((YEAR(AB$5)-YEAR($C47))*12+MONTH(AB$5)-MONTH($C47)+1)&lt;1,((YEAR(AB$5)-YEAR($C47))*12+MONTH(AB$5)-MONTH($C47)+1)&gt;$D47),0,$E47*IF($G47,1,N(INDEX(Phasing!$I47:$AF47,((YEAR(AB$5)-YEAR($C47))*12+MONTH(AB$5)-MONTH($C47)+1))))/$F47))</f>
        <v>0</v>
      </c>
      <c r="AC47" s="38" t="n">
        <f aca="false">IF(OR($C47="",$D47="",$F47=0),0,IF(OR(AC$5&lt;=Projects!$C$2,((YEAR(AC$5)-YEAR($C47))*12+MONTH(AC$5)-MONTH($C47)+1)&lt;1,((YEAR(AC$5)-YEAR($C47))*12+MONTH(AC$5)-MONTH($C47)+1)&gt;$D47),0,$E47*IF($G47,1,N(INDEX(Phasing!$I47:$AF47,((YEAR(AC$5)-YEAR($C47))*12+MONTH(AC$5)-MONTH($C47)+1))))/$F47))</f>
        <v>0</v>
      </c>
      <c r="AD47" s="38" t="n">
        <f aca="false">IF(OR($C47="",$D47="",$F47=0),0,IF(OR(AD$5&lt;=Projects!$C$2,((YEAR(AD$5)-YEAR($C47))*12+MONTH(AD$5)-MONTH($C47)+1)&lt;1,((YEAR(AD$5)-YEAR($C47))*12+MONTH(AD$5)-MONTH($C47)+1)&gt;$D47),0,$E47*IF($G47,1,N(INDEX(Phasing!$I47:$AF47,((YEAR(AD$5)-YEAR($C47))*12+MONTH(AD$5)-MONTH($C47)+1))))/$F47))</f>
        <v>0</v>
      </c>
      <c r="AE47" s="38" t="n">
        <f aca="false">IF(OR($C47="",$D47="",$F47=0),0,IF(OR(AE$5&lt;=Projects!$C$2,((YEAR(AE$5)-YEAR($C47))*12+MONTH(AE$5)-MONTH($C47)+1)&lt;1,((YEAR(AE$5)-YEAR($C47))*12+MONTH(AE$5)-MONTH($C47)+1)&gt;$D47),0,$E47*IF($G47,1,N(INDEX(Phasing!$I47:$AF47,((YEAR(AE$5)-YEAR($C47))*12+MONTH(AE$5)-MONTH($C47)+1))))/$F47))</f>
        <v>0</v>
      </c>
      <c r="AF47" s="38" t="n">
        <f aca="false">IF(OR($C47="",$D47="",$F47=0),0,IF(OR(AF$5&lt;=Projects!$C$2,((YEAR(AF$5)-YEAR($C47))*12+MONTH(AF$5)-MONTH($C47)+1)&lt;1,((YEAR(AF$5)-YEAR($C47))*12+MONTH(AF$5)-MONTH($C47)+1)&gt;$D47),0,$E47*IF($G47,1,N(INDEX(Phasing!$I47:$AF47,((YEAR(AF$5)-YEAR($C47))*12+MONTH(AF$5)-MONTH($C47)+1))))/$F47))</f>
        <v>0</v>
      </c>
      <c r="AG47" s="38" t="n">
        <f aca="false">IF(OR($C47="",$D47="",$F47=0),0,IF(OR(AG$5&lt;=Projects!$C$2,((YEAR(AG$5)-YEAR($C47))*12+MONTH(AG$5)-MONTH($C47)+1)&lt;1,((YEAR(AG$5)-YEAR($C47))*12+MONTH(AG$5)-MONTH($C47)+1)&gt;$D47),0,$E47*IF($G47,1,N(INDEX(Phasing!$I47:$AF47,((YEAR(AG$5)-YEAR($C47))*12+MONTH(AG$5)-MONTH($C47)+1))))/$F47))</f>
        <v>0</v>
      </c>
      <c r="AH47" s="38" t="n">
        <f aca="false">IF(OR($C47="",$D47="",$F47=0),0,IF(OR(AH$5&lt;=Projects!$C$2,((YEAR(AH$5)-YEAR($C47))*12+MONTH(AH$5)-MONTH($C47)+1)&lt;1,((YEAR(AH$5)-YEAR($C47))*12+MONTH(AH$5)-MONTH($C47)+1)&gt;$D47),0,$E47*IF($G47,1,N(INDEX(Phasing!$I47:$AF47,((YEAR(AH$5)-YEAR($C47))*12+MONTH(AH$5)-MONTH($C47)+1))))/$F47))</f>
        <v>0</v>
      </c>
      <c r="AI47" s="38" t="n">
        <f aca="false">IF(OR($C47="",$D47="",$F47=0),0,IF(OR(AI$5&lt;=Projects!$C$2,((YEAR(AI$5)-YEAR($C47))*12+MONTH(AI$5)-MONTH($C47)+1)&lt;1,((YEAR(AI$5)-YEAR($C47))*12+MONTH(AI$5)-MONTH($C47)+1)&gt;$D47),0,$E47*IF($G47,1,N(INDEX(Phasing!$I47:$AF47,((YEAR(AI$5)-YEAR($C47))*12+MONTH(AI$5)-MONTH($C47)+1))))/$F47))</f>
        <v>0</v>
      </c>
      <c r="AJ47" s="38" t="n">
        <f aca="false">IF(OR($C47="",$D47="",$F47=0),0,IF(OR(AJ$5&lt;=Projects!$C$2,((YEAR(AJ$5)-YEAR($C47))*12+MONTH(AJ$5)-MONTH($C47)+1)&lt;1,((YEAR(AJ$5)-YEAR($C47))*12+MONTH(AJ$5)-MONTH($C47)+1)&gt;$D47),0,$E47*IF($G47,1,N(INDEX(Phasing!$I47:$AF47,((YEAR(AJ$5)-YEAR($C47))*12+MONTH(AJ$5)-MONTH($C47)+1))))/$F47))</f>
        <v>0</v>
      </c>
      <c r="AK47" s="38" t="n">
        <f aca="false">IF(OR($C47="",$D47="",$F47=0),0,IF(OR(AK$5&lt;=Projects!$C$2,((YEAR(AK$5)-YEAR($C47))*12+MONTH(AK$5)-MONTH($C47)+1)&lt;1,((YEAR(AK$5)-YEAR($C47))*12+MONTH(AK$5)-MONTH($C47)+1)&gt;$D47),0,$E47*IF($G47,1,N(INDEX(Phasing!$I47:$AF47,((YEAR(AK$5)-YEAR($C47))*12+MONTH(AK$5)-MONTH($C47)+1))))/$F47))</f>
        <v>0</v>
      </c>
      <c r="AL47" s="38" t="n">
        <f aca="false">IF(OR($C47="",$D47="",$F47=0),0,IF(OR(AL$5&lt;=Projects!$C$2,((YEAR(AL$5)-YEAR($C47))*12+MONTH(AL$5)-MONTH($C47)+1)&lt;1,((YEAR(AL$5)-YEAR($C47))*12+MONTH(AL$5)-MONTH($C47)+1)&gt;$D47),0,$E47*IF($G47,1,N(INDEX(Phasing!$I47:$AF47,((YEAR(AL$5)-YEAR($C47))*12+MONTH(AL$5)-MONTH($C47)+1))))/$F47))</f>
        <v>0</v>
      </c>
      <c r="AM47" s="38" t="n">
        <f aca="false">IF(OR($C47="",$D47="",$F47=0),0,IF(OR(AM$5&lt;=Projects!$C$2,((YEAR(AM$5)-YEAR($C47))*12+MONTH(AM$5)-MONTH($C47)+1)&lt;1,((YEAR(AM$5)-YEAR($C47))*12+MONTH(AM$5)-MONTH($C47)+1)&gt;$D47),0,$E47*IF($G47,1,N(INDEX(Phasing!$I47:$AF47,((YEAR(AM$5)-YEAR($C47))*12+MONTH(AM$5)-MONTH($C47)+1))))/$F47))</f>
        <v>0</v>
      </c>
      <c r="AN47" s="38" t="n">
        <f aca="false">IF(OR($C47="",$D47="",$F47=0),0,IF(OR(AN$5&lt;=Projects!$C$2,((YEAR(AN$5)-YEAR($C47))*12+MONTH(AN$5)-MONTH($C47)+1)&lt;1,((YEAR(AN$5)-YEAR($C47))*12+MONTH(AN$5)-MONTH($C47)+1)&gt;$D47),0,$E47*IF($G47,1,N(INDEX(Phasing!$I47:$AF47,((YEAR(AN$5)-YEAR($C47))*12+MONTH(AN$5)-MONTH($C47)+1))))/$F47))</f>
        <v>0</v>
      </c>
      <c r="AO47" s="38" t="n">
        <f aca="false">IF(OR($C47="",$D47="",$F47=0),0,IF(OR(AO$5&lt;=Projects!$C$2,((YEAR(AO$5)-YEAR($C47))*12+MONTH(AO$5)-MONTH($C47)+1)&lt;1,((YEAR(AO$5)-YEAR($C47))*12+MONTH(AO$5)-MONTH($C47)+1)&gt;$D47),0,$E47*IF($G47,1,N(INDEX(Phasing!$I47:$AF47,((YEAR(AO$5)-YEAR($C47))*12+MONTH(AO$5)-MONTH($C47)+1))))/$F47))</f>
        <v>0</v>
      </c>
      <c r="AP47" s="38" t="n">
        <f aca="false">IF(OR($C47="",$D47="",$F47=0),0,IF(OR(AP$5&lt;=Projects!$C$2,((YEAR(AP$5)-YEAR($C47))*12+MONTH(AP$5)-MONTH($C47)+1)&lt;1,((YEAR(AP$5)-YEAR($C47))*12+MONTH(AP$5)-MONTH($C47)+1)&gt;$D47),0,$E47*IF($G47,1,N(INDEX(Phasing!$I47:$AF47,((YEAR(AP$5)-YEAR($C47))*12+MONTH(AP$5)-MONTH($C47)+1))))/$F47))</f>
        <v>0</v>
      </c>
      <c r="AQ47" s="38" t="n">
        <f aca="false">IF(OR($C47="",$D47="",$F47=0),0,IF(OR(AQ$5&lt;=Projects!$C$2,((YEAR(AQ$5)-YEAR($C47))*12+MONTH(AQ$5)-MONTH($C47)+1)&lt;1,((YEAR(AQ$5)-YEAR($C47))*12+MONTH(AQ$5)-MONTH($C47)+1)&gt;$D47),0,$E47*IF($G47,1,N(INDEX(Phasing!$I47:$AF47,((YEAR(AQ$5)-YEAR($C47))*12+MONTH(AQ$5)-MONTH($C47)+1))))/$F47))</f>
        <v>0</v>
      </c>
    </row>
    <row r="48" customFormat="false" ht="15" hidden="false" customHeight="false" outlineLevel="0" collapsed="false">
      <c r="A48" s="11" t="n">
        <v>43</v>
      </c>
      <c r="B48" s="21" t="str">
        <f aca="false">IF(Projects!B48="","",Projects!B48)</f>
        <v/>
      </c>
      <c r="C48" s="31" t="str">
        <f aca="false">IF(Projects!D48="","",Projects!D48)</f>
        <v/>
      </c>
      <c r="D48" s="21" t="str">
        <f aca="false">IF(Projects!E48="","",Projects!E48)</f>
        <v/>
      </c>
      <c r="E48" s="33" t="n">
        <f aca="false">IF(Projects!B48="",0,N(Projects!I48))</f>
        <v>0</v>
      </c>
      <c r="F48" s="21" t="n">
        <f aca="false">Phasing!G48</f>
        <v>0</v>
      </c>
      <c r="G48" s="48" t="b">
        <f aca="false">Phasing!D48=0</f>
        <v>1</v>
      </c>
      <c r="H48" s="38" t="n">
        <f aca="false">IF(OR($C48="",$D48="",$F48=0),0,IF(OR(H$5&lt;=Projects!$C$2,((YEAR(H$5)-YEAR($C48))*12+MONTH(H$5)-MONTH($C48)+1)&lt;1,((YEAR(H$5)-YEAR($C48))*12+MONTH(H$5)-MONTH($C48)+1)&gt;$D48),0,$E48*IF($G48,1,N(INDEX(Phasing!$I48:$AF48,((YEAR(H$5)-YEAR($C48))*12+MONTH(H$5)-MONTH($C48)+1))))/$F48))</f>
        <v>0</v>
      </c>
      <c r="I48" s="38" t="n">
        <f aca="false">IF(OR($C48="",$D48="",$F48=0),0,IF(OR(I$5&lt;=Projects!$C$2,((YEAR(I$5)-YEAR($C48))*12+MONTH(I$5)-MONTH($C48)+1)&lt;1,((YEAR(I$5)-YEAR($C48))*12+MONTH(I$5)-MONTH($C48)+1)&gt;$D48),0,$E48*IF($G48,1,N(INDEX(Phasing!$I48:$AF48,((YEAR(I$5)-YEAR($C48))*12+MONTH(I$5)-MONTH($C48)+1))))/$F48))</f>
        <v>0</v>
      </c>
      <c r="J48" s="38" t="n">
        <f aca="false">IF(OR($C48="",$D48="",$F48=0),0,IF(OR(J$5&lt;=Projects!$C$2,((YEAR(J$5)-YEAR($C48))*12+MONTH(J$5)-MONTH($C48)+1)&lt;1,((YEAR(J$5)-YEAR($C48))*12+MONTH(J$5)-MONTH($C48)+1)&gt;$D48),0,$E48*IF($G48,1,N(INDEX(Phasing!$I48:$AF48,((YEAR(J$5)-YEAR($C48))*12+MONTH(J$5)-MONTH($C48)+1))))/$F48))</f>
        <v>0</v>
      </c>
      <c r="K48" s="38" t="n">
        <f aca="false">IF(OR($C48="",$D48="",$F48=0),0,IF(OR(K$5&lt;=Projects!$C$2,((YEAR(K$5)-YEAR($C48))*12+MONTH(K$5)-MONTH($C48)+1)&lt;1,((YEAR(K$5)-YEAR($C48))*12+MONTH(K$5)-MONTH($C48)+1)&gt;$D48),0,$E48*IF($G48,1,N(INDEX(Phasing!$I48:$AF48,((YEAR(K$5)-YEAR($C48))*12+MONTH(K$5)-MONTH($C48)+1))))/$F48))</f>
        <v>0</v>
      </c>
      <c r="L48" s="38" t="n">
        <f aca="false">IF(OR($C48="",$D48="",$F48=0),0,IF(OR(L$5&lt;=Projects!$C$2,((YEAR(L$5)-YEAR($C48))*12+MONTH(L$5)-MONTH($C48)+1)&lt;1,((YEAR(L$5)-YEAR($C48))*12+MONTH(L$5)-MONTH($C48)+1)&gt;$D48),0,$E48*IF($G48,1,N(INDEX(Phasing!$I48:$AF48,((YEAR(L$5)-YEAR($C48))*12+MONTH(L$5)-MONTH($C48)+1))))/$F48))</f>
        <v>0</v>
      </c>
      <c r="M48" s="38" t="n">
        <f aca="false">IF(OR($C48="",$D48="",$F48=0),0,IF(OR(M$5&lt;=Projects!$C$2,((YEAR(M$5)-YEAR($C48))*12+MONTH(M$5)-MONTH($C48)+1)&lt;1,((YEAR(M$5)-YEAR($C48))*12+MONTH(M$5)-MONTH($C48)+1)&gt;$D48),0,$E48*IF($G48,1,N(INDEX(Phasing!$I48:$AF48,((YEAR(M$5)-YEAR($C48))*12+MONTH(M$5)-MONTH($C48)+1))))/$F48))</f>
        <v>0</v>
      </c>
      <c r="N48" s="38" t="n">
        <f aca="false">IF(OR($C48="",$D48="",$F48=0),0,IF(OR(N$5&lt;=Projects!$C$2,((YEAR(N$5)-YEAR($C48))*12+MONTH(N$5)-MONTH($C48)+1)&lt;1,((YEAR(N$5)-YEAR($C48))*12+MONTH(N$5)-MONTH($C48)+1)&gt;$D48),0,$E48*IF($G48,1,N(INDEX(Phasing!$I48:$AF48,((YEAR(N$5)-YEAR($C48))*12+MONTH(N$5)-MONTH($C48)+1))))/$F48))</f>
        <v>0</v>
      </c>
      <c r="O48" s="38" t="n">
        <f aca="false">IF(OR($C48="",$D48="",$F48=0),0,IF(OR(O$5&lt;=Projects!$C$2,((YEAR(O$5)-YEAR($C48))*12+MONTH(O$5)-MONTH($C48)+1)&lt;1,((YEAR(O$5)-YEAR($C48))*12+MONTH(O$5)-MONTH($C48)+1)&gt;$D48),0,$E48*IF($G48,1,N(INDEX(Phasing!$I48:$AF48,((YEAR(O$5)-YEAR($C48))*12+MONTH(O$5)-MONTH($C48)+1))))/$F48))</f>
        <v>0</v>
      </c>
      <c r="P48" s="38" t="n">
        <f aca="false">IF(OR($C48="",$D48="",$F48=0),0,IF(OR(P$5&lt;=Projects!$C$2,((YEAR(P$5)-YEAR($C48))*12+MONTH(P$5)-MONTH($C48)+1)&lt;1,((YEAR(P$5)-YEAR($C48))*12+MONTH(P$5)-MONTH($C48)+1)&gt;$D48),0,$E48*IF($G48,1,N(INDEX(Phasing!$I48:$AF48,((YEAR(P$5)-YEAR($C48))*12+MONTH(P$5)-MONTH($C48)+1))))/$F48))</f>
        <v>0</v>
      </c>
      <c r="Q48" s="38" t="n">
        <f aca="false">IF(OR($C48="",$D48="",$F48=0),0,IF(OR(Q$5&lt;=Projects!$C$2,((YEAR(Q$5)-YEAR($C48))*12+MONTH(Q$5)-MONTH($C48)+1)&lt;1,((YEAR(Q$5)-YEAR($C48))*12+MONTH(Q$5)-MONTH($C48)+1)&gt;$D48),0,$E48*IF($G48,1,N(INDEX(Phasing!$I48:$AF48,((YEAR(Q$5)-YEAR($C48))*12+MONTH(Q$5)-MONTH($C48)+1))))/$F48))</f>
        <v>0</v>
      </c>
      <c r="R48" s="38" t="n">
        <f aca="false">IF(OR($C48="",$D48="",$F48=0),0,IF(OR(R$5&lt;=Projects!$C$2,((YEAR(R$5)-YEAR($C48))*12+MONTH(R$5)-MONTH($C48)+1)&lt;1,((YEAR(R$5)-YEAR($C48))*12+MONTH(R$5)-MONTH($C48)+1)&gt;$D48),0,$E48*IF($G48,1,N(INDEX(Phasing!$I48:$AF48,((YEAR(R$5)-YEAR($C48))*12+MONTH(R$5)-MONTH($C48)+1))))/$F48))</f>
        <v>0</v>
      </c>
      <c r="S48" s="38" t="n">
        <f aca="false">IF(OR($C48="",$D48="",$F48=0),0,IF(OR(S$5&lt;=Projects!$C$2,((YEAR(S$5)-YEAR($C48))*12+MONTH(S$5)-MONTH($C48)+1)&lt;1,((YEAR(S$5)-YEAR($C48))*12+MONTH(S$5)-MONTH($C48)+1)&gt;$D48),0,$E48*IF($G48,1,N(INDEX(Phasing!$I48:$AF48,((YEAR(S$5)-YEAR($C48))*12+MONTH(S$5)-MONTH($C48)+1))))/$F48))</f>
        <v>0</v>
      </c>
      <c r="T48" s="38" t="n">
        <f aca="false">IF(OR($C48="",$D48="",$F48=0),0,IF(OR(T$5&lt;=Projects!$C$2,((YEAR(T$5)-YEAR($C48))*12+MONTH(T$5)-MONTH($C48)+1)&lt;1,((YEAR(T$5)-YEAR($C48))*12+MONTH(T$5)-MONTH($C48)+1)&gt;$D48),0,$E48*IF($G48,1,N(INDEX(Phasing!$I48:$AF48,((YEAR(T$5)-YEAR($C48))*12+MONTH(T$5)-MONTH($C48)+1))))/$F48))</f>
        <v>0</v>
      </c>
      <c r="U48" s="38" t="n">
        <f aca="false">IF(OR($C48="",$D48="",$F48=0),0,IF(OR(U$5&lt;=Projects!$C$2,((YEAR(U$5)-YEAR($C48))*12+MONTH(U$5)-MONTH($C48)+1)&lt;1,((YEAR(U$5)-YEAR($C48))*12+MONTH(U$5)-MONTH($C48)+1)&gt;$D48),0,$E48*IF($G48,1,N(INDEX(Phasing!$I48:$AF48,((YEAR(U$5)-YEAR($C48))*12+MONTH(U$5)-MONTH($C48)+1))))/$F48))</f>
        <v>0</v>
      </c>
      <c r="V48" s="38" t="n">
        <f aca="false">IF(OR($C48="",$D48="",$F48=0),0,IF(OR(V$5&lt;=Projects!$C$2,((YEAR(V$5)-YEAR($C48))*12+MONTH(V$5)-MONTH($C48)+1)&lt;1,((YEAR(V$5)-YEAR($C48))*12+MONTH(V$5)-MONTH($C48)+1)&gt;$D48),0,$E48*IF($G48,1,N(INDEX(Phasing!$I48:$AF48,((YEAR(V$5)-YEAR($C48))*12+MONTH(V$5)-MONTH($C48)+1))))/$F48))</f>
        <v>0</v>
      </c>
      <c r="W48" s="38" t="n">
        <f aca="false">IF(OR($C48="",$D48="",$F48=0),0,IF(OR(W$5&lt;=Projects!$C$2,((YEAR(W$5)-YEAR($C48))*12+MONTH(W$5)-MONTH($C48)+1)&lt;1,((YEAR(W$5)-YEAR($C48))*12+MONTH(W$5)-MONTH($C48)+1)&gt;$D48),0,$E48*IF($G48,1,N(INDEX(Phasing!$I48:$AF48,((YEAR(W$5)-YEAR($C48))*12+MONTH(W$5)-MONTH($C48)+1))))/$F48))</f>
        <v>0</v>
      </c>
      <c r="X48" s="38" t="n">
        <f aca="false">IF(OR($C48="",$D48="",$F48=0),0,IF(OR(X$5&lt;=Projects!$C$2,((YEAR(X$5)-YEAR($C48))*12+MONTH(X$5)-MONTH($C48)+1)&lt;1,((YEAR(X$5)-YEAR($C48))*12+MONTH(X$5)-MONTH($C48)+1)&gt;$D48),0,$E48*IF($G48,1,N(INDEX(Phasing!$I48:$AF48,((YEAR(X$5)-YEAR($C48))*12+MONTH(X$5)-MONTH($C48)+1))))/$F48))</f>
        <v>0</v>
      </c>
      <c r="Y48" s="38" t="n">
        <f aca="false">IF(OR($C48="",$D48="",$F48=0),0,IF(OR(Y$5&lt;=Projects!$C$2,((YEAR(Y$5)-YEAR($C48))*12+MONTH(Y$5)-MONTH($C48)+1)&lt;1,((YEAR(Y$5)-YEAR($C48))*12+MONTH(Y$5)-MONTH($C48)+1)&gt;$D48),0,$E48*IF($G48,1,N(INDEX(Phasing!$I48:$AF48,((YEAR(Y$5)-YEAR($C48))*12+MONTH(Y$5)-MONTH($C48)+1))))/$F48))</f>
        <v>0</v>
      </c>
      <c r="Z48" s="38" t="n">
        <f aca="false">IF(OR($C48="",$D48="",$F48=0),0,IF(OR(Z$5&lt;=Projects!$C$2,((YEAR(Z$5)-YEAR($C48))*12+MONTH(Z$5)-MONTH($C48)+1)&lt;1,((YEAR(Z$5)-YEAR($C48))*12+MONTH(Z$5)-MONTH($C48)+1)&gt;$D48),0,$E48*IF($G48,1,N(INDEX(Phasing!$I48:$AF48,((YEAR(Z$5)-YEAR($C48))*12+MONTH(Z$5)-MONTH($C48)+1))))/$F48))</f>
        <v>0</v>
      </c>
      <c r="AA48" s="38" t="n">
        <f aca="false">IF(OR($C48="",$D48="",$F48=0),0,IF(OR(AA$5&lt;=Projects!$C$2,((YEAR(AA$5)-YEAR($C48))*12+MONTH(AA$5)-MONTH($C48)+1)&lt;1,((YEAR(AA$5)-YEAR($C48))*12+MONTH(AA$5)-MONTH($C48)+1)&gt;$D48),0,$E48*IF($G48,1,N(INDEX(Phasing!$I48:$AF48,((YEAR(AA$5)-YEAR($C48))*12+MONTH(AA$5)-MONTH($C48)+1))))/$F48))</f>
        <v>0</v>
      </c>
      <c r="AB48" s="38" t="n">
        <f aca="false">IF(OR($C48="",$D48="",$F48=0),0,IF(OR(AB$5&lt;=Projects!$C$2,((YEAR(AB$5)-YEAR($C48))*12+MONTH(AB$5)-MONTH($C48)+1)&lt;1,((YEAR(AB$5)-YEAR($C48))*12+MONTH(AB$5)-MONTH($C48)+1)&gt;$D48),0,$E48*IF($G48,1,N(INDEX(Phasing!$I48:$AF48,((YEAR(AB$5)-YEAR($C48))*12+MONTH(AB$5)-MONTH($C48)+1))))/$F48))</f>
        <v>0</v>
      </c>
      <c r="AC48" s="38" t="n">
        <f aca="false">IF(OR($C48="",$D48="",$F48=0),0,IF(OR(AC$5&lt;=Projects!$C$2,((YEAR(AC$5)-YEAR($C48))*12+MONTH(AC$5)-MONTH($C48)+1)&lt;1,((YEAR(AC$5)-YEAR($C48))*12+MONTH(AC$5)-MONTH($C48)+1)&gt;$D48),0,$E48*IF($G48,1,N(INDEX(Phasing!$I48:$AF48,((YEAR(AC$5)-YEAR($C48))*12+MONTH(AC$5)-MONTH($C48)+1))))/$F48))</f>
        <v>0</v>
      </c>
      <c r="AD48" s="38" t="n">
        <f aca="false">IF(OR($C48="",$D48="",$F48=0),0,IF(OR(AD$5&lt;=Projects!$C$2,((YEAR(AD$5)-YEAR($C48))*12+MONTH(AD$5)-MONTH($C48)+1)&lt;1,((YEAR(AD$5)-YEAR($C48))*12+MONTH(AD$5)-MONTH($C48)+1)&gt;$D48),0,$E48*IF($G48,1,N(INDEX(Phasing!$I48:$AF48,((YEAR(AD$5)-YEAR($C48))*12+MONTH(AD$5)-MONTH($C48)+1))))/$F48))</f>
        <v>0</v>
      </c>
      <c r="AE48" s="38" t="n">
        <f aca="false">IF(OR($C48="",$D48="",$F48=0),0,IF(OR(AE$5&lt;=Projects!$C$2,((YEAR(AE$5)-YEAR($C48))*12+MONTH(AE$5)-MONTH($C48)+1)&lt;1,((YEAR(AE$5)-YEAR($C48))*12+MONTH(AE$5)-MONTH($C48)+1)&gt;$D48),0,$E48*IF($G48,1,N(INDEX(Phasing!$I48:$AF48,((YEAR(AE$5)-YEAR($C48))*12+MONTH(AE$5)-MONTH($C48)+1))))/$F48))</f>
        <v>0</v>
      </c>
      <c r="AF48" s="38" t="n">
        <f aca="false">IF(OR($C48="",$D48="",$F48=0),0,IF(OR(AF$5&lt;=Projects!$C$2,((YEAR(AF$5)-YEAR($C48))*12+MONTH(AF$5)-MONTH($C48)+1)&lt;1,((YEAR(AF$5)-YEAR($C48))*12+MONTH(AF$5)-MONTH($C48)+1)&gt;$D48),0,$E48*IF($G48,1,N(INDEX(Phasing!$I48:$AF48,((YEAR(AF$5)-YEAR($C48))*12+MONTH(AF$5)-MONTH($C48)+1))))/$F48))</f>
        <v>0</v>
      </c>
      <c r="AG48" s="38" t="n">
        <f aca="false">IF(OR($C48="",$D48="",$F48=0),0,IF(OR(AG$5&lt;=Projects!$C$2,((YEAR(AG$5)-YEAR($C48))*12+MONTH(AG$5)-MONTH($C48)+1)&lt;1,((YEAR(AG$5)-YEAR($C48))*12+MONTH(AG$5)-MONTH($C48)+1)&gt;$D48),0,$E48*IF($G48,1,N(INDEX(Phasing!$I48:$AF48,((YEAR(AG$5)-YEAR($C48))*12+MONTH(AG$5)-MONTH($C48)+1))))/$F48))</f>
        <v>0</v>
      </c>
      <c r="AH48" s="38" t="n">
        <f aca="false">IF(OR($C48="",$D48="",$F48=0),0,IF(OR(AH$5&lt;=Projects!$C$2,((YEAR(AH$5)-YEAR($C48))*12+MONTH(AH$5)-MONTH($C48)+1)&lt;1,((YEAR(AH$5)-YEAR($C48))*12+MONTH(AH$5)-MONTH($C48)+1)&gt;$D48),0,$E48*IF($G48,1,N(INDEX(Phasing!$I48:$AF48,((YEAR(AH$5)-YEAR($C48))*12+MONTH(AH$5)-MONTH($C48)+1))))/$F48))</f>
        <v>0</v>
      </c>
      <c r="AI48" s="38" t="n">
        <f aca="false">IF(OR($C48="",$D48="",$F48=0),0,IF(OR(AI$5&lt;=Projects!$C$2,((YEAR(AI$5)-YEAR($C48))*12+MONTH(AI$5)-MONTH($C48)+1)&lt;1,((YEAR(AI$5)-YEAR($C48))*12+MONTH(AI$5)-MONTH($C48)+1)&gt;$D48),0,$E48*IF($G48,1,N(INDEX(Phasing!$I48:$AF48,((YEAR(AI$5)-YEAR($C48))*12+MONTH(AI$5)-MONTH($C48)+1))))/$F48))</f>
        <v>0</v>
      </c>
      <c r="AJ48" s="38" t="n">
        <f aca="false">IF(OR($C48="",$D48="",$F48=0),0,IF(OR(AJ$5&lt;=Projects!$C$2,((YEAR(AJ$5)-YEAR($C48))*12+MONTH(AJ$5)-MONTH($C48)+1)&lt;1,((YEAR(AJ$5)-YEAR($C48))*12+MONTH(AJ$5)-MONTH($C48)+1)&gt;$D48),0,$E48*IF($G48,1,N(INDEX(Phasing!$I48:$AF48,((YEAR(AJ$5)-YEAR($C48))*12+MONTH(AJ$5)-MONTH($C48)+1))))/$F48))</f>
        <v>0</v>
      </c>
      <c r="AK48" s="38" t="n">
        <f aca="false">IF(OR($C48="",$D48="",$F48=0),0,IF(OR(AK$5&lt;=Projects!$C$2,((YEAR(AK$5)-YEAR($C48))*12+MONTH(AK$5)-MONTH($C48)+1)&lt;1,((YEAR(AK$5)-YEAR($C48))*12+MONTH(AK$5)-MONTH($C48)+1)&gt;$D48),0,$E48*IF($G48,1,N(INDEX(Phasing!$I48:$AF48,((YEAR(AK$5)-YEAR($C48))*12+MONTH(AK$5)-MONTH($C48)+1))))/$F48))</f>
        <v>0</v>
      </c>
      <c r="AL48" s="38" t="n">
        <f aca="false">IF(OR($C48="",$D48="",$F48=0),0,IF(OR(AL$5&lt;=Projects!$C$2,((YEAR(AL$5)-YEAR($C48))*12+MONTH(AL$5)-MONTH($C48)+1)&lt;1,((YEAR(AL$5)-YEAR($C48))*12+MONTH(AL$5)-MONTH($C48)+1)&gt;$D48),0,$E48*IF($G48,1,N(INDEX(Phasing!$I48:$AF48,((YEAR(AL$5)-YEAR($C48))*12+MONTH(AL$5)-MONTH($C48)+1))))/$F48))</f>
        <v>0</v>
      </c>
      <c r="AM48" s="38" t="n">
        <f aca="false">IF(OR($C48="",$D48="",$F48=0),0,IF(OR(AM$5&lt;=Projects!$C$2,((YEAR(AM$5)-YEAR($C48))*12+MONTH(AM$5)-MONTH($C48)+1)&lt;1,((YEAR(AM$5)-YEAR($C48))*12+MONTH(AM$5)-MONTH($C48)+1)&gt;$D48),0,$E48*IF($G48,1,N(INDEX(Phasing!$I48:$AF48,((YEAR(AM$5)-YEAR($C48))*12+MONTH(AM$5)-MONTH($C48)+1))))/$F48))</f>
        <v>0</v>
      </c>
      <c r="AN48" s="38" t="n">
        <f aca="false">IF(OR($C48="",$D48="",$F48=0),0,IF(OR(AN$5&lt;=Projects!$C$2,((YEAR(AN$5)-YEAR($C48))*12+MONTH(AN$5)-MONTH($C48)+1)&lt;1,((YEAR(AN$5)-YEAR($C48))*12+MONTH(AN$5)-MONTH($C48)+1)&gt;$D48),0,$E48*IF($G48,1,N(INDEX(Phasing!$I48:$AF48,((YEAR(AN$5)-YEAR($C48))*12+MONTH(AN$5)-MONTH($C48)+1))))/$F48))</f>
        <v>0</v>
      </c>
      <c r="AO48" s="38" t="n">
        <f aca="false">IF(OR($C48="",$D48="",$F48=0),0,IF(OR(AO$5&lt;=Projects!$C$2,((YEAR(AO$5)-YEAR($C48))*12+MONTH(AO$5)-MONTH($C48)+1)&lt;1,((YEAR(AO$5)-YEAR($C48))*12+MONTH(AO$5)-MONTH($C48)+1)&gt;$D48),0,$E48*IF($G48,1,N(INDEX(Phasing!$I48:$AF48,((YEAR(AO$5)-YEAR($C48))*12+MONTH(AO$5)-MONTH($C48)+1))))/$F48))</f>
        <v>0</v>
      </c>
      <c r="AP48" s="38" t="n">
        <f aca="false">IF(OR($C48="",$D48="",$F48=0),0,IF(OR(AP$5&lt;=Projects!$C$2,((YEAR(AP$5)-YEAR($C48))*12+MONTH(AP$5)-MONTH($C48)+1)&lt;1,((YEAR(AP$5)-YEAR($C48))*12+MONTH(AP$5)-MONTH($C48)+1)&gt;$D48),0,$E48*IF($G48,1,N(INDEX(Phasing!$I48:$AF48,((YEAR(AP$5)-YEAR($C48))*12+MONTH(AP$5)-MONTH($C48)+1))))/$F48))</f>
        <v>0</v>
      </c>
      <c r="AQ48" s="38" t="n">
        <f aca="false">IF(OR($C48="",$D48="",$F48=0),0,IF(OR(AQ$5&lt;=Projects!$C$2,((YEAR(AQ$5)-YEAR($C48))*12+MONTH(AQ$5)-MONTH($C48)+1)&lt;1,((YEAR(AQ$5)-YEAR($C48))*12+MONTH(AQ$5)-MONTH($C48)+1)&gt;$D48),0,$E48*IF($G48,1,N(INDEX(Phasing!$I48:$AF48,((YEAR(AQ$5)-YEAR($C48))*12+MONTH(AQ$5)-MONTH($C48)+1))))/$F48))</f>
        <v>0</v>
      </c>
    </row>
    <row r="49" customFormat="false" ht="15" hidden="false" customHeight="false" outlineLevel="0" collapsed="false">
      <c r="A49" s="11" t="n">
        <v>44</v>
      </c>
      <c r="B49" s="21" t="str">
        <f aca="false">IF(Projects!B49="","",Projects!B49)</f>
        <v/>
      </c>
      <c r="C49" s="31" t="str">
        <f aca="false">IF(Projects!D49="","",Projects!D49)</f>
        <v/>
      </c>
      <c r="D49" s="21" t="str">
        <f aca="false">IF(Projects!E49="","",Projects!E49)</f>
        <v/>
      </c>
      <c r="E49" s="33" t="n">
        <f aca="false">IF(Projects!B49="",0,N(Projects!I49))</f>
        <v>0</v>
      </c>
      <c r="F49" s="21" t="n">
        <f aca="false">Phasing!G49</f>
        <v>0</v>
      </c>
      <c r="G49" s="48" t="b">
        <f aca="false">Phasing!D49=0</f>
        <v>1</v>
      </c>
      <c r="H49" s="38" t="n">
        <f aca="false">IF(OR($C49="",$D49="",$F49=0),0,IF(OR(H$5&lt;=Projects!$C$2,((YEAR(H$5)-YEAR($C49))*12+MONTH(H$5)-MONTH($C49)+1)&lt;1,((YEAR(H$5)-YEAR($C49))*12+MONTH(H$5)-MONTH($C49)+1)&gt;$D49),0,$E49*IF($G49,1,N(INDEX(Phasing!$I49:$AF49,((YEAR(H$5)-YEAR($C49))*12+MONTH(H$5)-MONTH($C49)+1))))/$F49))</f>
        <v>0</v>
      </c>
      <c r="I49" s="38" t="n">
        <f aca="false">IF(OR($C49="",$D49="",$F49=0),0,IF(OR(I$5&lt;=Projects!$C$2,((YEAR(I$5)-YEAR($C49))*12+MONTH(I$5)-MONTH($C49)+1)&lt;1,((YEAR(I$5)-YEAR($C49))*12+MONTH(I$5)-MONTH($C49)+1)&gt;$D49),0,$E49*IF($G49,1,N(INDEX(Phasing!$I49:$AF49,((YEAR(I$5)-YEAR($C49))*12+MONTH(I$5)-MONTH($C49)+1))))/$F49))</f>
        <v>0</v>
      </c>
      <c r="J49" s="38" t="n">
        <f aca="false">IF(OR($C49="",$D49="",$F49=0),0,IF(OR(J$5&lt;=Projects!$C$2,((YEAR(J$5)-YEAR($C49))*12+MONTH(J$5)-MONTH($C49)+1)&lt;1,((YEAR(J$5)-YEAR($C49))*12+MONTH(J$5)-MONTH($C49)+1)&gt;$D49),0,$E49*IF($G49,1,N(INDEX(Phasing!$I49:$AF49,((YEAR(J$5)-YEAR($C49))*12+MONTH(J$5)-MONTH($C49)+1))))/$F49))</f>
        <v>0</v>
      </c>
      <c r="K49" s="38" t="n">
        <f aca="false">IF(OR($C49="",$D49="",$F49=0),0,IF(OR(K$5&lt;=Projects!$C$2,((YEAR(K$5)-YEAR($C49))*12+MONTH(K$5)-MONTH($C49)+1)&lt;1,((YEAR(K$5)-YEAR($C49))*12+MONTH(K$5)-MONTH($C49)+1)&gt;$D49),0,$E49*IF($G49,1,N(INDEX(Phasing!$I49:$AF49,((YEAR(K$5)-YEAR($C49))*12+MONTH(K$5)-MONTH($C49)+1))))/$F49))</f>
        <v>0</v>
      </c>
      <c r="L49" s="38" t="n">
        <f aca="false">IF(OR($C49="",$D49="",$F49=0),0,IF(OR(L$5&lt;=Projects!$C$2,((YEAR(L$5)-YEAR($C49))*12+MONTH(L$5)-MONTH($C49)+1)&lt;1,((YEAR(L$5)-YEAR($C49))*12+MONTH(L$5)-MONTH($C49)+1)&gt;$D49),0,$E49*IF($G49,1,N(INDEX(Phasing!$I49:$AF49,((YEAR(L$5)-YEAR($C49))*12+MONTH(L$5)-MONTH($C49)+1))))/$F49))</f>
        <v>0</v>
      </c>
      <c r="M49" s="38" t="n">
        <f aca="false">IF(OR($C49="",$D49="",$F49=0),0,IF(OR(M$5&lt;=Projects!$C$2,((YEAR(M$5)-YEAR($C49))*12+MONTH(M$5)-MONTH($C49)+1)&lt;1,((YEAR(M$5)-YEAR($C49))*12+MONTH(M$5)-MONTH($C49)+1)&gt;$D49),0,$E49*IF($G49,1,N(INDEX(Phasing!$I49:$AF49,((YEAR(M$5)-YEAR($C49))*12+MONTH(M$5)-MONTH($C49)+1))))/$F49))</f>
        <v>0</v>
      </c>
      <c r="N49" s="38" t="n">
        <f aca="false">IF(OR($C49="",$D49="",$F49=0),0,IF(OR(N$5&lt;=Projects!$C$2,((YEAR(N$5)-YEAR($C49))*12+MONTH(N$5)-MONTH($C49)+1)&lt;1,((YEAR(N$5)-YEAR($C49))*12+MONTH(N$5)-MONTH($C49)+1)&gt;$D49),0,$E49*IF($G49,1,N(INDEX(Phasing!$I49:$AF49,((YEAR(N$5)-YEAR($C49))*12+MONTH(N$5)-MONTH($C49)+1))))/$F49))</f>
        <v>0</v>
      </c>
      <c r="O49" s="38" t="n">
        <f aca="false">IF(OR($C49="",$D49="",$F49=0),0,IF(OR(O$5&lt;=Projects!$C$2,((YEAR(O$5)-YEAR($C49))*12+MONTH(O$5)-MONTH($C49)+1)&lt;1,((YEAR(O$5)-YEAR($C49))*12+MONTH(O$5)-MONTH($C49)+1)&gt;$D49),0,$E49*IF($G49,1,N(INDEX(Phasing!$I49:$AF49,((YEAR(O$5)-YEAR($C49))*12+MONTH(O$5)-MONTH($C49)+1))))/$F49))</f>
        <v>0</v>
      </c>
      <c r="P49" s="38" t="n">
        <f aca="false">IF(OR($C49="",$D49="",$F49=0),0,IF(OR(P$5&lt;=Projects!$C$2,((YEAR(P$5)-YEAR($C49))*12+MONTH(P$5)-MONTH($C49)+1)&lt;1,((YEAR(P$5)-YEAR($C49))*12+MONTH(P$5)-MONTH($C49)+1)&gt;$D49),0,$E49*IF($G49,1,N(INDEX(Phasing!$I49:$AF49,((YEAR(P$5)-YEAR($C49))*12+MONTH(P$5)-MONTH($C49)+1))))/$F49))</f>
        <v>0</v>
      </c>
      <c r="Q49" s="38" t="n">
        <f aca="false">IF(OR($C49="",$D49="",$F49=0),0,IF(OR(Q$5&lt;=Projects!$C$2,((YEAR(Q$5)-YEAR($C49))*12+MONTH(Q$5)-MONTH($C49)+1)&lt;1,((YEAR(Q$5)-YEAR($C49))*12+MONTH(Q$5)-MONTH($C49)+1)&gt;$D49),0,$E49*IF($G49,1,N(INDEX(Phasing!$I49:$AF49,((YEAR(Q$5)-YEAR($C49))*12+MONTH(Q$5)-MONTH($C49)+1))))/$F49))</f>
        <v>0</v>
      </c>
      <c r="R49" s="38" t="n">
        <f aca="false">IF(OR($C49="",$D49="",$F49=0),0,IF(OR(R$5&lt;=Projects!$C$2,((YEAR(R$5)-YEAR($C49))*12+MONTH(R$5)-MONTH($C49)+1)&lt;1,((YEAR(R$5)-YEAR($C49))*12+MONTH(R$5)-MONTH($C49)+1)&gt;$D49),0,$E49*IF($G49,1,N(INDEX(Phasing!$I49:$AF49,((YEAR(R$5)-YEAR($C49))*12+MONTH(R$5)-MONTH($C49)+1))))/$F49))</f>
        <v>0</v>
      </c>
      <c r="S49" s="38" t="n">
        <f aca="false">IF(OR($C49="",$D49="",$F49=0),0,IF(OR(S$5&lt;=Projects!$C$2,((YEAR(S$5)-YEAR($C49))*12+MONTH(S$5)-MONTH($C49)+1)&lt;1,((YEAR(S$5)-YEAR($C49))*12+MONTH(S$5)-MONTH($C49)+1)&gt;$D49),0,$E49*IF($G49,1,N(INDEX(Phasing!$I49:$AF49,((YEAR(S$5)-YEAR($C49))*12+MONTH(S$5)-MONTH($C49)+1))))/$F49))</f>
        <v>0</v>
      </c>
      <c r="T49" s="38" t="n">
        <f aca="false">IF(OR($C49="",$D49="",$F49=0),0,IF(OR(T$5&lt;=Projects!$C$2,((YEAR(T$5)-YEAR($C49))*12+MONTH(T$5)-MONTH($C49)+1)&lt;1,((YEAR(T$5)-YEAR($C49))*12+MONTH(T$5)-MONTH($C49)+1)&gt;$D49),0,$E49*IF($G49,1,N(INDEX(Phasing!$I49:$AF49,((YEAR(T$5)-YEAR($C49))*12+MONTH(T$5)-MONTH($C49)+1))))/$F49))</f>
        <v>0</v>
      </c>
      <c r="U49" s="38" t="n">
        <f aca="false">IF(OR($C49="",$D49="",$F49=0),0,IF(OR(U$5&lt;=Projects!$C$2,((YEAR(U$5)-YEAR($C49))*12+MONTH(U$5)-MONTH($C49)+1)&lt;1,((YEAR(U$5)-YEAR($C49))*12+MONTH(U$5)-MONTH($C49)+1)&gt;$D49),0,$E49*IF($G49,1,N(INDEX(Phasing!$I49:$AF49,((YEAR(U$5)-YEAR($C49))*12+MONTH(U$5)-MONTH($C49)+1))))/$F49))</f>
        <v>0</v>
      </c>
      <c r="V49" s="38" t="n">
        <f aca="false">IF(OR($C49="",$D49="",$F49=0),0,IF(OR(V$5&lt;=Projects!$C$2,((YEAR(V$5)-YEAR($C49))*12+MONTH(V$5)-MONTH($C49)+1)&lt;1,((YEAR(V$5)-YEAR($C49))*12+MONTH(V$5)-MONTH($C49)+1)&gt;$D49),0,$E49*IF($G49,1,N(INDEX(Phasing!$I49:$AF49,((YEAR(V$5)-YEAR($C49))*12+MONTH(V$5)-MONTH($C49)+1))))/$F49))</f>
        <v>0</v>
      </c>
      <c r="W49" s="38" t="n">
        <f aca="false">IF(OR($C49="",$D49="",$F49=0),0,IF(OR(W$5&lt;=Projects!$C$2,((YEAR(W$5)-YEAR($C49))*12+MONTH(W$5)-MONTH($C49)+1)&lt;1,((YEAR(W$5)-YEAR($C49))*12+MONTH(W$5)-MONTH($C49)+1)&gt;$D49),0,$E49*IF($G49,1,N(INDEX(Phasing!$I49:$AF49,((YEAR(W$5)-YEAR($C49))*12+MONTH(W$5)-MONTH($C49)+1))))/$F49))</f>
        <v>0</v>
      </c>
      <c r="X49" s="38" t="n">
        <f aca="false">IF(OR($C49="",$D49="",$F49=0),0,IF(OR(X$5&lt;=Projects!$C$2,((YEAR(X$5)-YEAR($C49))*12+MONTH(X$5)-MONTH($C49)+1)&lt;1,((YEAR(X$5)-YEAR($C49))*12+MONTH(X$5)-MONTH($C49)+1)&gt;$D49),0,$E49*IF($G49,1,N(INDEX(Phasing!$I49:$AF49,((YEAR(X$5)-YEAR($C49))*12+MONTH(X$5)-MONTH($C49)+1))))/$F49))</f>
        <v>0</v>
      </c>
      <c r="Y49" s="38" t="n">
        <f aca="false">IF(OR($C49="",$D49="",$F49=0),0,IF(OR(Y$5&lt;=Projects!$C$2,((YEAR(Y$5)-YEAR($C49))*12+MONTH(Y$5)-MONTH($C49)+1)&lt;1,((YEAR(Y$5)-YEAR($C49))*12+MONTH(Y$5)-MONTH($C49)+1)&gt;$D49),0,$E49*IF($G49,1,N(INDEX(Phasing!$I49:$AF49,((YEAR(Y$5)-YEAR($C49))*12+MONTH(Y$5)-MONTH($C49)+1))))/$F49))</f>
        <v>0</v>
      </c>
      <c r="Z49" s="38" t="n">
        <f aca="false">IF(OR($C49="",$D49="",$F49=0),0,IF(OR(Z$5&lt;=Projects!$C$2,((YEAR(Z$5)-YEAR($C49))*12+MONTH(Z$5)-MONTH($C49)+1)&lt;1,((YEAR(Z$5)-YEAR($C49))*12+MONTH(Z$5)-MONTH($C49)+1)&gt;$D49),0,$E49*IF($G49,1,N(INDEX(Phasing!$I49:$AF49,((YEAR(Z$5)-YEAR($C49))*12+MONTH(Z$5)-MONTH($C49)+1))))/$F49))</f>
        <v>0</v>
      </c>
      <c r="AA49" s="38" t="n">
        <f aca="false">IF(OR($C49="",$D49="",$F49=0),0,IF(OR(AA$5&lt;=Projects!$C$2,((YEAR(AA$5)-YEAR($C49))*12+MONTH(AA$5)-MONTH($C49)+1)&lt;1,((YEAR(AA$5)-YEAR($C49))*12+MONTH(AA$5)-MONTH($C49)+1)&gt;$D49),0,$E49*IF($G49,1,N(INDEX(Phasing!$I49:$AF49,((YEAR(AA$5)-YEAR($C49))*12+MONTH(AA$5)-MONTH($C49)+1))))/$F49))</f>
        <v>0</v>
      </c>
      <c r="AB49" s="38" t="n">
        <f aca="false">IF(OR($C49="",$D49="",$F49=0),0,IF(OR(AB$5&lt;=Projects!$C$2,((YEAR(AB$5)-YEAR($C49))*12+MONTH(AB$5)-MONTH($C49)+1)&lt;1,((YEAR(AB$5)-YEAR($C49))*12+MONTH(AB$5)-MONTH($C49)+1)&gt;$D49),0,$E49*IF($G49,1,N(INDEX(Phasing!$I49:$AF49,((YEAR(AB$5)-YEAR($C49))*12+MONTH(AB$5)-MONTH($C49)+1))))/$F49))</f>
        <v>0</v>
      </c>
      <c r="AC49" s="38" t="n">
        <f aca="false">IF(OR($C49="",$D49="",$F49=0),0,IF(OR(AC$5&lt;=Projects!$C$2,((YEAR(AC$5)-YEAR($C49))*12+MONTH(AC$5)-MONTH($C49)+1)&lt;1,((YEAR(AC$5)-YEAR($C49))*12+MONTH(AC$5)-MONTH($C49)+1)&gt;$D49),0,$E49*IF($G49,1,N(INDEX(Phasing!$I49:$AF49,((YEAR(AC$5)-YEAR($C49))*12+MONTH(AC$5)-MONTH($C49)+1))))/$F49))</f>
        <v>0</v>
      </c>
      <c r="AD49" s="38" t="n">
        <f aca="false">IF(OR($C49="",$D49="",$F49=0),0,IF(OR(AD$5&lt;=Projects!$C$2,((YEAR(AD$5)-YEAR($C49))*12+MONTH(AD$5)-MONTH($C49)+1)&lt;1,((YEAR(AD$5)-YEAR($C49))*12+MONTH(AD$5)-MONTH($C49)+1)&gt;$D49),0,$E49*IF($G49,1,N(INDEX(Phasing!$I49:$AF49,((YEAR(AD$5)-YEAR($C49))*12+MONTH(AD$5)-MONTH($C49)+1))))/$F49))</f>
        <v>0</v>
      </c>
      <c r="AE49" s="38" t="n">
        <f aca="false">IF(OR($C49="",$D49="",$F49=0),0,IF(OR(AE$5&lt;=Projects!$C$2,((YEAR(AE$5)-YEAR($C49))*12+MONTH(AE$5)-MONTH($C49)+1)&lt;1,((YEAR(AE$5)-YEAR($C49))*12+MONTH(AE$5)-MONTH($C49)+1)&gt;$D49),0,$E49*IF($G49,1,N(INDEX(Phasing!$I49:$AF49,((YEAR(AE$5)-YEAR($C49))*12+MONTH(AE$5)-MONTH($C49)+1))))/$F49))</f>
        <v>0</v>
      </c>
      <c r="AF49" s="38" t="n">
        <f aca="false">IF(OR($C49="",$D49="",$F49=0),0,IF(OR(AF$5&lt;=Projects!$C$2,((YEAR(AF$5)-YEAR($C49))*12+MONTH(AF$5)-MONTH($C49)+1)&lt;1,((YEAR(AF$5)-YEAR($C49))*12+MONTH(AF$5)-MONTH($C49)+1)&gt;$D49),0,$E49*IF($G49,1,N(INDEX(Phasing!$I49:$AF49,((YEAR(AF$5)-YEAR($C49))*12+MONTH(AF$5)-MONTH($C49)+1))))/$F49))</f>
        <v>0</v>
      </c>
      <c r="AG49" s="38" t="n">
        <f aca="false">IF(OR($C49="",$D49="",$F49=0),0,IF(OR(AG$5&lt;=Projects!$C$2,((YEAR(AG$5)-YEAR($C49))*12+MONTH(AG$5)-MONTH($C49)+1)&lt;1,((YEAR(AG$5)-YEAR($C49))*12+MONTH(AG$5)-MONTH($C49)+1)&gt;$D49),0,$E49*IF($G49,1,N(INDEX(Phasing!$I49:$AF49,((YEAR(AG$5)-YEAR($C49))*12+MONTH(AG$5)-MONTH($C49)+1))))/$F49))</f>
        <v>0</v>
      </c>
      <c r="AH49" s="38" t="n">
        <f aca="false">IF(OR($C49="",$D49="",$F49=0),0,IF(OR(AH$5&lt;=Projects!$C$2,((YEAR(AH$5)-YEAR($C49))*12+MONTH(AH$5)-MONTH($C49)+1)&lt;1,((YEAR(AH$5)-YEAR($C49))*12+MONTH(AH$5)-MONTH($C49)+1)&gt;$D49),0,$E49*IF($G49,1,N(INDEX(Phasing!$I49:$AF49,((YEAR(AH$5)-YEAR($C49))*12+MONTH(AH$5)-MONTH($C49)+1))))/$F49))</f>
        <v>0</v>
      </c>
      <c r="AI49" s="38" t="n">
        <f aca="false">IF(OR($C49="",$D49="",$F49=0),0,IF(OR(AI$5&lt;=Projects!$C$2,((YEAR(AI$5)-YEAR($C49))*12+MONTH(AI$5)-MONTH($C49)+1)&lt;1,((YEAR(AI$5)-YEAR($C49))*12+MONTH(AI$5)-MONTH($C49)+1)&gt;$D49),0,$E49*IF($G49,1,N(INDEX(Phasing!$I49:$AF49,((YEAR(AI$5)-YEAR($C49))*12+MONTH(AI$5)-MONTH($C49)+1))))/$F49))</f>
        <v>0</v>
      </c>
      <c r="AJ49" s="38" t="n">
        <f aca="false">IF(OR($C49="",$D49="",$F49=0),0,IF(OR(AJ$5&lt;=Projects!$C$2,((YEAR(AJ$5)-YEAR($C49))*12+MONTH(AJ$5)-MONTH($C49)+1)&lt;1,((YEAR(AJ$5)-YEAR($C49))*12+MONTH(AJ$5)-MONTH($C49)+1)&gt;$D49),0,$E49*IF($G49,1,N(INDEX(Phasing!$I49:$AF49,((YEAR(AJ$5)-YEAR($C49))*12+MONTH(AJ$5)-MONTH($C49)+1))))/$F49))</f>
        <v>0</v>
      </c>
      <c r="AK49" s="38" t="n">
        <f aca="false">IF(OR($C49="",$D49="",$F49=0),0,IF(OR(AK$5&lt;=Projects!$C$2,((YEAR(AK$5)-YEAR($C49))*12+MONTH(AK$5)-MONTH($C49)+1)&lt;1,((YEAR(AK$5)-YEAR($C49))*12+MONTH(AK$5)-MONTH($C49)+1)&gt;$D49),0,$E49*IF($G49,1,N(INDEX(Phasing!$I49:$AF49,((YEAR(AK$5)-YEAR($C49))*12+MONTH(AK$5)-MONTH($C49)+1))))/$F49))</f>
        <v>0</v>
      </c>
      <c r="AL49" s="38" t="n">
        <f aca="false">IF(OR($C49="",$D49="",$F49=0),0,IF(OR(AL$5&lt;=Projects!$C$2,((YEAR(AL$5)-YEAR($C49))*12+MONTH(AL$5)-MONTH($C49)+1)&lt;1,((YEAR(AL$5)-YEAR($C49))*12+MONTH(AL$5)-MONTH($C49)+1)&gt;$D49),0,$E49*IF($G49,1,N(INDEX(Phasing!$I49:$AF49,((YEAR(AL$5)-YEAR($C49))*12+MONTH(AL$5)-MONTH($C49)+1))))/$F49))</f>
        <v>0</v>
      </c>
      <c r="AM49" s="38" t="n">
        <f aca="false">IF(OR($C49="",$D49="",$F49=0),0,IF(OR(AM$5&lt;=Projects!$C$2,((YEAR(AM$5)-YEAR($C49))*12+MONTH(AM$5)-MONTH($C49)+1)&lt;1,((YEAR(AM$5)-YEAR($C49))*12+MONTH(AM$5)-MONTH($C49)+1)&gt;$D49),0,$E49*IF($G49,1,N(INDEX(Phasing!$I49:$AF49,((YEAR(AM$5)-YEAR($C49))*12+MONTH(AM$5)-MONTH($C49)+1))))/$F49))</f>
        <v>0</v>
      </c>
      <c r="AN49" s="38" t="n">
        <f aca="false">IF(OR($C49="",$D49="",$F49=0),0,IF(OR(AN$5&lt;=Projects!$C$2,((YEAR(AN$5)-YEAR($C49))*12+MONTH(AN$5)-MONTH($C49)+1)&lt;1,((YEAR(AN$5)-YEAR($C49))*12+MONTH(AN$5)-MONTH($C49)+1)&gt;$D49),0,$E49*IF($G49,1,N(INDEX(Phasing!$I49:$AF49,((YEAR(AN$5)-YEAR($C49))*12+MONTH(AN$5)-MONTH($C49)+1))))/$F49))</f>
        <v>0</v>
      </c>
      <c r="AO49" s="38" t="n">
        <f aca="false">IF(OR($C49="",$D49="",$F49=0),0,IF(OR(AO$5&lt;=Projects!$C$2,((YEAR(AO$5)-YEAR($C49))*12+MONTH(AO$5)-MONTH($C49)+1)&lt;1,((YEAR(AO$5)-YEAR($C49))*12+MONTH(AO$5)-MONTH($C49)+1)&gt;$D49),0,$E49*IF($G49,1,N(INDEX(Phasing!$I49:$AF49,((YEAR(AO$5)-YEAR($C49))*12+MONTH(AO$5)-MONTH($C49)+1))))/$F49))</f>
        <v>0</v>
      </c>
      <c r="AP49" s="38" t="n">
        <f aca="false">IF(OR($C49="",$D49="",$F49=0),0,IF(OR(AP$5&lt;=Projects!$C$2,((YEAR(AP$5)-YEAR($C49))*12+MONTH(AP$5)-MONTH($C49)+1)&lt;1,((YEAR(AP$5)-YEAR($C49))*12+MONTH(AP$5)-MONTH($C49)+1)&gt;$D49),0,$E49*IF($G49,1,N(INDEX(Phasing!$I49:$AF49,((YEAR(AP$5)-YEAR($C49))*12+MONTH(AP$5)-MONTH($C49)+1))))/$F49))</f>
        <v>0</v>
      </c>
      <c r="AQ49" s="38" t="n">
        <f aca="false">IF(OR($C49="",$D49="",$F49=0),0,IF(OR(AQ$5&lt;=Projects!$C$2,((YEAR(AQ$5)-YEAR($C49))*12+MONTH(AQ$5)-MONTH($C49)+1)&lt;1,((YEAR(AQ$5)-YEAR($C49))*12+MONTH(AQ$5)-MONTH($C49)+1)&gt;$D49),0,$E49*IF($G49,1,N(INDEX(Phasing!$I49:$AF49,((YEAR(AQ$5)-YEAR($C49))*12+MONTH(AQ$5)-MONTH($C49)+1))))/$F49))</f>
        <v>0</v>
      </c>
    </row>
    <row r="50" customFormat="false" ht="15" hidden="false" customHeight="false" outlineLevel="0" collapsed="false">
      <c r="A50" s="11" t="n">
        <v>45</v>
      </c>
      <c r="B50" s="21" t="str">
        <f aca="false">IF(Projects!B50="","",Projects!B50)</f>
        <v/>
      </c>
      <c r="C50" s="31" t="str">
        <f aca="false">IF(Projects!D50="","",Projects!D50)</f>
        <v/>
      </c>
      <c r="D50" s="21" t="str">
        <f aca="false">IF(Projects!E50="","",Projects!E50)</f>
        <v/>
      </c>
      <c r="E50" s="33" t="n">
        <f aca="false">IF(Projects!B50="",0,N(Projects!I50))</f>
        <v>0</v>
      </c>
      <c r="F50" s="21" t="n">
        <f aca="false">Phasing!G50</f>
        <v>0</v>
      </c>
      <c r="G50" s="48" t="b">
        <f aca="false">Phasing!D50=0</f>
        <v>1</v>
      </c>
      <c r="H50" s="38" t="n">
        <f aca="false">IF(OR($C50="",$D50="",$F50=0),0,IF(OR(H$5&lt;=Projects!$C$2,((YEAR(H$5)-YEAR($C50))*12+MONTH(H$5)-MONTH($C50)+1)&lt;1,((YEAR(H$5)-YEAR($C50))*12+MONTH(H$5)-MONTH($C50)+1)&gt;$D50),0,$E50*IF($G50,1,N(INDEX(Phasing!$I50:$AF50,((YEAR(H$5)-YEAR($C50))*12+MONTH(H$5)-MONTH($C50)+1))))/$F50))</f>
        <v>0</v>
      </c>
      <c r="I50" s="38" t="n">
        <f aca="false">IF(OR($C50="",$D50="",$F50=0),0,IF(OR(I$5&lt;=Projects!$C$2,((YEAR(I$5)-YEAR($C50))*12+MONTH(I$5)-MONTH($C50)+1)&lt;1,((YEAR(I$5)-YEAR($C50))*12+MONTH(I$5)-MONTH($C50)+1)&gt;$D50),0,$E50*IF($G50,1,N(INDEX(Phasing!$I50:$AF50,((YEAR(I$5)-YEAR($C50))*12+MONTH(I$5)-MONTH($C50)+1))))/$F50))</f>
        <v>0</v>
      </c>
      <c r="J50" s="38" t="n">
        <f aca="false">IF(OR($C50="",$D50="",$F50=0),0,IF(OR(J$5&lt;=Projects!$C$2,((YEAR(J$5)-YEAR($C50))*12+MONTH(J$5)-MONTH($C50)+1)&lt;1,((YEAR(J$5)-YEAR($C50))*12+MONTH(J$5)-MONTH($C50)+1)&gt;$D50),0,$E50*IF($G50,1,N(INDEX(Phasing!$I50:$AF50,((YEAR(J$5)-YEAR($C50))*12+MONTH(J$5)-MONTH($C50)+1))))/$F50))</f>
        <v>0</v>
      </c>
      <c r="K50" s="38" t="n">
        <f aca="false">IF(OR($C50="",$D50="",$F50=0),0,IF(OR(K$5&lt;=Projects!$C$2,((YEAR(K$5)-YEAR($C50))*12+MONTH(K$5)-MONTH($C50)+1)&lt;1,((YEAR(K$5)-YEAR($C50))*12+MONTH(K$5)-MONTH($C50)+1)&gt;$D50),0,$E50*IF($G50,1,N(INDEX(Phasing!$I50:$AF50,((YEAR(K$5)-YEAR($C50))*12+MONTH(K$5)-MONTH($C50)+1))))/$F50))</f>
        <v>0</v>
      </c>
      <c r="L50" s="38" t="n">
        <f aca="false">IF(OR($C50="",$D50="",$F50=0),0,IF(OR(L$5&lt;=Projects!$C$2,((YEAR(L$5)-YEAR($C50))*12+MONTH(L$5)-MONTH($C50)+1)&lt;1,((YEAR(L$5)-YEAR($C50))*12+MONTH(L$5)-MONTH($C50)+1)&gt;$D50),0,$E50*IF($G50,1,N(INDEX(Phasing!$I50:$AF50,((YEAR(L$5)-YEAR($C50))*12+MONTH(L$5)-MONTH($C50)+1))))/$F50))</f>
        <v>0</v>
      </c>
      <c r="M50" s="38" t="n">
        <f aca="false">IF(OR($C50="",$D50="",$F50=0),0,IF(OR(M$5&lt;=Projects!$C$2,((YEAR(M$5)-YEAR($C50))*12+MONTH(M$5)-MONTH($C50)+1)&lt;1,((YEAR(M$5)-YEAR($C50))*12+MONTH(M$5)-MONTH($C50)+1)&gt;$D50),0,$E50*IF($G50,1,N(INDEX(Phasing!$I50:$AF50,((YEAR(M$5)-YEAR($C50))*12+MONTH(M$5)-MONTH($C50)+1))))/$F50))</f>
        <v>0</v>
      </c>
      <c r="N50" s="38" t="n">
        <f aca="false">IF(OR($C50="",$D50="",$F50=0),0,IF(OR(N$5&lt;=Projects!$C$2,((YEAR(N$5)-YEAR($C50))*12+MONTH(N$5)-MONTH($C50)+1)&lt;1,((YEAR(N$5)-YEAR($C50))*12+MONTH(N$5)-MONTH($C50)+1)&gt;$D50),0,$E50*IF($G50,1,N(INDEX(Phasing!$I50:$AF50,((YEAR(N$5)-YEAR($C50))*12+MONTH(N$5)-MONTH($C50)+1))))/$F50))</f>
        <v>0</v>
      </c>
      <c r="O50" s="38" t="n">
        <f aca="false">IF(OR($C50="",$D50="",$F50=0),0,IF(OR(O$5&lt;=Projects!$C$2,((YEAR(O$5)-YEAR($C50))*12+MONTH(O$5)-MONTH($C50)+1)&lt;1,((YEAR(O$5)-YEAR($C50))*12+MONTH(O$5)-MONTH($C50)+1)&gt;$D50),0,$E50*IF($G50,1,N(INDEX(Phasing!$I50:$AF50,((YEAR(O$5)-YEAR($C50))*12+MONTH(O$5)-MONTH($C50)+1))))/$F50))</f>
        <v>0</v>
      </c>
      <c r="P50" s="38" t="n">
        <f aca="false">IF(OR($C50="",$D50="",$F50=0),0,IF(OR(P$5&lt;=Projects!$C$2,((YEAR(P$5)-YEAR($C50))*12+MONTH(P$5)-MONTH($C50)+1)&lt;1,((YEAR(P$5)-YEAR($C50))*12+MONTH(P$5)-MONTH($C50)+1)&gt;$D50),0,$E50*IF($G50,1,N(INDEX(Phasing!$I50:$AF50,((YEAR(P$5)-YEAR($C50))*12+MONTH(P$5)-MONTH($C50)+1))))/$F50))</f>
        <v>0</v>
      </c>
      <c r="Q50" s="38" t="n">
        <f aca="false">IF(OR($C50="",$D50="",$F50=0),0,IF(OR(Q$5&lt;=Projects!$C$2,((YEAR(Q$5)-YEAR($C50))*12+MONTH(Q$5)-MONTH($C50)+1)&lt;1,((YEAR(Q$5)-YEAR($C50))*12+MONTH(Q$5)-MONTH($C50)+1)&gt;$D50),0,$E50*IF($G50,1,N(INDEX(Phasing!$I50:$AF50,((YEAR(Q$5)-YEAR($C50))*12+MONTH(Q$5)-MONTH($C50)+1))))/$F50))</f>
        <v>0</v>
      </c>
      <c r="R50" s="38" t="n">
        <f aca="false">IF(OR($C50="",$D50="",$F50=0),0,IF(OR(R$5&lt;=Projects!$C$2,((YEAR(R$5)-YEAR($C50))*12+MONTH(R$5)-MONTH($C50)+1)&lt;1,((YEAR(R$5)-YEAR($C50))*12+MONTH(R$5)-MONTH($C50)+1)&gt;$D50),0,$E50*IF($G50,1,N(INDEX(Phasing!$I50:$AF50,((YEAR(R$5)-YEAR($C50))*12+MONTH(R$5)-MONTH($C50)+1))))/$F50))</f>
        <v>0</v>
      </c>
      <c r="S50" s="38" t="n">
        <f aca="false">IF(OR($C50="",$D50="",$F50=0),0,IF(OR(S$5&lt;=Projects!$C$2,((YEAR(S$5)-YEAR($C50))*12+MONTH(S$5)-MONTH($C50)+1)&lt;1,((YEAR(S$5)-YEAR($C50))*12+MONTH(S$5)-MONTH($C50)+1)&gt;$D50),0,$E50*IF($G50,1,N(INDEX(Phasing!$I50:$AF50,((YEAR(S$5)-YEAR($C50))*12+MONTH(S$5)-MONTH($C50)+1))))/$F50))</f>
        <v>0</v>
      </c>
      <c r="T50" s="38" t="n">
        <f aca="false">IF(OR($C50="",$D50="",$F50=0),0,IF(OR(T$5&lt;=Projects!$C$2,((YEAR(T$5)-YEAR($C50))*12+MONTH(T$5)-MONTH($C50)+1)&lt;1,((YEAR(T$5)-YEAR($C50))*12+MONTH(T$5)-MONTH($C50)+1)&gt;$D50),0,$E50*IF($G50,1,N(INDEX(Phasing!$I50:$AF50,((YEAR(T$5)-YEAR($C50))*12+MONTH(T$5)-MONTH($C50)+1))))/$F50))</f>
        <v>0</v>
      </c>
      <c r="U50" s="38" t="n">
        <f aca="false">IF(OR($C50="",$D50="",$F50=0),0,IF(OR(U$5&lt;=Projects!$C$2,((YEAR(U$5)-YEAR($C50))*12+MONTH(U$5)-MONTH($C50)+1)&lt;1,((YEAR(U$5)-YEAR($C50))*12+MONTH(U$5)-MONTH($C50)+1)&gt;$D50),0,$E50*IF($G50,1,N(INDEX(Phasing!$I50:$AF50,((YEAR(U$5)-YEAR($C50))*12+MONTH(U$5)-MONTH($C50)+1))))/$F50))</f>
        <v>0</v>
      </c>
      <c r="V50" s="38" t="n">
        <f aca="false">IF(OR($C50="",$D50="",$F50=0),0,IF(OR(V$5&lt;=Projects!$C$2,((YEAR(V$5)-YEAR($C50))*12+MONTH(V$5)-MONTH($C50)+1)&lt;1,((YEAR(V$5)-YEAR($C50))*12+MONTH(V$5)-MONTH($C50)+1)&gt;$D50),0,$E50*IF($G50,1,N(INDEX(Phasing!$I50:$AF50,((YEAR(V$5)-YEAR($C50))*12+MONTH(V$5)-MONTH($C50)+1))))/$F50))</f>
        <v>0</v>
      </c>
      <c r="W50" s="38" t="n">
        <f aca="false">IF(OR($C50="",$D50="",$F50=0),0,IF(OR(W$5&lt;=Projects!$C$2,((YEAR(W$5)-YEAR($C50))*12+MONTH(W$5)-MONTH($C50)+1)&lt;1,((YEAR(W$5)-YEAR($C50))*12+MONTH(W$5)-MONTH($C50)+1)&gt;$D50),0,$E50*IF($G50,1,N(INDEX(Phasing!$I50:$AF50,((YEAR(W$5)-YEAR($C50))*12+MONTH(W$5)-MONTH($C50)+1))))/$F50))</f>
        <v>0</v>
      </c>
      <c r="X50" s="38" t="n">
        <f aca="false">IF(OR($C50="",$D50="",$F50=0),0,IF(OR(X$5&lt;=Projects!$C$2,((YEAR(X$5)-YEAR($C50))*12+MONTH(X$5)-MONTH($C50)+1)&lt;1,((YEAR(X$5)-YEAR($C50))*12+MONTH(X$5)-MONTH($C50)+1)&gt;$D50),0,$E50*IF($G50,1,N(INDEX(Phasing!$I50:$AF50,((YEAR(X$5)-YEAR($C50))*12+MONTH(X$5)-MONTH($C50)+1))))/$F50))</f>
        <v>0</v>
      </c>
      <c r="Y50" s="38" t="n">
        <f aca="false">IF(OR($C50="",$D50="",$F50=0),0,IF(OR(Y$5&lt;=Projects!$C$2,((YEAR(Y$5)-YEAR($C50))*12+MONTH(Y$5)-MONTH($C50)+1)&lt;1,((YEAR(Y$5)-YEAR($C50))*12+MONTH(Y$5)-MONTH($C50)+1)&gt;$D50),0,$E50*IF($G50,1,N(INDEX(Phasing!$I50:$AF50,((YEAR(Y$5)-YEAR($C50))*12+MONTH(Y$5)-MONTH($C50)+1))))/$F50))</f>
        <v>0</v>
      </c>
      <c r="Z50" s="38" t="n">
        <f aca="false">IF(OR($C50="",$D50="",$F50=0),0,IF(OR(Z$5&lt;=Projects!$C$2,((YEAR(Z$5)-YEAR($C50))*12+MONTH(Z$5)-MONTH($C50)+1)&lt;1,((YEAR(Z$5)-YEAR($C50))*12+MONTH(Z$5)-MONTH($C50)+1)&gt;$D50),0,$E50*IF($G50,1,N(INDEX(Phasing!$I50:$AF50,((YEAR(Z$5)-YEAR($C50))*12+MONTH(Z$5)-MONTH($C50)+1))))/$F50))</f>
        <v>0</v>
      </c>
      <c r="AA50" s="38" t="n">
        <f aca="false">IF(OR($C50="",$D50="",$F50=0),0,IF(OR(AA$5&lt;=Projects!$C$2,((YEAR(AA$5)-YEAR($C50))*12+MONTH(AA$5)-MONTH($C50)+1)&lt;1,((YEAR(AA$5)-YEAR($C50))*12+MONTH(AA$5)-MONTH($C50)+1)&gt;$D50),0,$E50*IF($G50,1,N(INDEX(Phasing!$I50:$AF50,((YEAR(AA$5)-YEAR($C50))*12+MONTH(AA$5)-MONTH($C50)+1))))/$F50))</f>
        <v>0</v>
      </c>
      <c r="AB50" s="38" t="n">
        <f aca="false">IF(OR($C50="",$D50="",$F50=0),0,IF(OR(AB$5&lt;=Projects!$C$2,((YEAR(AB$5)-YEAR($C50))*12+MONTH(AB$5)-MONTH($C50)+1)&lt;1,((YEAR(AB$5)-YEAR($C50))*12+MONTH(AB$5)-MONTH($C50)+1)&gt;$D50),0,$E50*IF($G50,1,N(INDEX(Phasing!$I50:$AF50,((YEAR(AB$5)-YEAR($C50))*12+MONTH(AB$5)-MONTH($C50)+1))))/$F50))</f>
        <v>0</v>
      </c>
      <c r="AC50" s="38" t="n">
        <f aca="false">IF(OR($C50="",$D50="",$F50=0),0,IF(OR(AC$5&lt;=Projects!$C$2,((YEAR(AC$5)-YEAR($C50))*12+MONTH(AC$5)-MONTH($C50)+1)&lt;1,((YEAR(AC$5)-YEAR($C50))*12+MONTH(AC$5)-MONTH($C50)+1)&gt;$D50),0,$E50*IF($G50,1,N(INDEX(Phasing!$I50:$AF50,((YEAR(AC$5)-YEAR($C50))*12+MONTH(AC$5)-MONTH($C50)+1))))/$F50))</f>
        <v>0</v>
      </c>
      <c r="AD50" s="38" t="n">
        <f aca="false">IF(OR($C50="",$D50="",$F50=0),0,IF(OR(AD$5&lt;=Projects!$C$2,((YEAR(AD$5)-YEAR($C50))*12+MONTH(AD$5)-MONTH($C50)+1)&lt;1,((YEAR(AD$5)-YEAR($C50))*12+MONTH(AD$5)-MONTH($C50)+1)&gt;$D50),0,$E50*IF($G50,1,N(INDEX(Phasing!$I50:$AF50,((YEAR(AD$5)-YEAR($C50))*12+MONTH(AD$5)-MONTH($C50)+1))))/$F50))</f>
        <v>0</v>
      </c>
      <c r="AE50" s="38" t="n">
        <f aca="false">IF(OR($C50="",$D50="",$F50=0),0,IF(OR(AE$5&lt;=Projects!$C$2,((YEAR(AE$5)-YEAR($C50))*12+MONTH(AE$5)-MONTH($C50)+1)&lt;1,((YEAR(AE$5)-YEAR($C50))*12+MONTH(AE$5)-MONTH($C50)+1)&gt;$D50),0,$E50*IF($G50,1,N(INDEX(Phasing!$I50:$AF50,((YEAR(AE$5)-YEAR($C50))*12+MONTH(AE$5)-MONTH($C50)+1))))/$F50))</f>
        <v>0</v>
      </c>
      <c r="AF50" s="38" t="n">
        <f aca="false">IF(OR($C50="",$D50="",$F50=0),0,IF(OR(AF$5&lt;=Projects!$C$2,((YEAR(AF$5)-YEAR($C50))*12+MONTH(AF$5)-MONTH($C50)+1)&lt;1,((YEAR(AF$5)-YEAR($C50))*12+MONTH(AF$5)-MONTH($C50)+1)&gt;$D50),0,$E50*IF($G50,1,N(INDEX(Phasing!$I50:$AF50,((YEAR(AF$5)-YEAR($C50))*12+MONTH(AF$5)-MONTH($C50)+1))))/$F50))</f>
        <v>0</v>
      </c>
      <c r="AG50" s="38" t="n">
        <f aca="false">IF(OR($C50="",$D50="",$F50=0),0,IF(OR(AG$5&lt;=Projects!$C$2,((YEAR(AG$5)-YEAR($C50))*12+MONTH(AG$5)-MONTH($C50)+1)&lt;1,((YEAR(AG$5)-YEAR($C50))*12+MONTH(AG$5)-MONTH($C50)+1)&gt;$D50),0,$E50*IF($G50,1,N(INDEX(Phasing!$I50:$AF50,((YEAR(AG$5)-YEAR($C50))*12+MONTH(AG$5)-MONTH($C50)+1))))/$F50))</f>
        <v>0</v>
      </c>
      <c r="AH50" s="38" t="n">
        <f aca="false">IF(OR($C50="",$D50="",$F50=0),0,IF(OR(AH$5&lt;=Projects!$C$2,((YEAR(AH$5)-YEAR($C50))*12+MONTH(AH$5)-MONTH($C50)+1)&lt;1,((YEAR(AH$5)-YEAR($C50))*12+MONTH(AH$5)-MONTH($C50)+1)&gt;$D50),0,$E50*IF($G50,1,N(INDEX(Phasing!$I50:$AF50,((YEAR(AH$5)-YEAR($C50))*12+MONTH(AH$5)-MONTH($C50)+1))))/$F50))</f>
        <v>0</v>
      </c>
      <c r="AI50" s="38" t="n">
        <f aca="false">IF(OR($C50="",$D50="",$F50=0),0,IF(OR(AI$5&lt;=Projects!$C$2,((YEAR(AI$5)-YEAR($C50))*12+MONTH(AI$5)-MONTH($C50)+1)&lt;1,((YEAR(AI$5)-YEAR($C50))*12+MONTH(AI$5)-MONTH($C50)+1)&gt;$D50),0,$E50*IF($G50,1,N(INDEX(Phasing!$I50:$AF50,((YEAR(AI$5)-YEAR($C50))*12+MONTH(AI$5)-MONTH($C50)+1))))/$F50))</f>
        <v>0</v>
      </c>
      <c r="AJ50" s="38" t="n">
        <f aca="false">IF(OR($C50="",$D50="",$F50=0),0,IF(OR(AJ$5&lt;=Projects!$C$2,((YEAR(AJ$5)-YEAR($C50))*12+MONTH(AJ$5)-MONTH($C50)+1)&lt;1,((YEAR(AJ$5)-YEAR($C50))*12+MONTH(AJ$5)-MONTH($C50)+1)&gt;$D50),0,$E50*IF($G50,1,N(INDEX(Phasing!$I50:$AF50,((YEAR(AJ$5)-YEAR($C50))*12+MONTH(AJ$5)-MONTH($C50)+1))))/$F50))</f>
        <v>0</v>
      </c>
      <c r="AK50" s="38" t="n">
        <f aca="false">IF(OR($C50="",$D50="",$F50=0),0,IF(OR(AK$5&lt;=Projects!$C$2,((YEAR(AK$5)-YEAR($C50))*12+MONTH(AK$5)-MONTH($C50)+1)&lt;1,((YEAR(AK$5)-YEAR($C50))*12+MONTH(AK$5)-MONTH($C50)+1)&gt;$D50),0,$E50*IF($G50,1,N(INDEX(Phasing!$I50:$AF50,((YEAR(AK$5)-YEAR($C50))*12+MONTH(AK$5)-MONTH($C50)+1))))/$F50))</f>
        <v>0</v>
      </c>
      <c r="AL50" s="38" t="n">
        <f aca="false">IF(OR($C50="",$D50="",$F50=0),0,IF(OR(AL$5&lt;=Projects!$C$2,((YEAR(AL$5)-YEAR($C50))*12+MONTH(AL$5)-MONTH($C50)+1)&lt;1,((YEAR(AL$5)-YEAR($C50))*12+MONTH(AL$5)-MONTH($C50)+1)&gt;$D50),0,$E50*IF($G50,1,N(INDEX(Phasing!$I50:$AF50,((YEAR(AL$5)-YEAR($C50))*12+MONTH(AL$5)-MONTH($C50)+1))))/$F50))</f>
        <v>0</v>
      </c>
      <c r="AM50" s="38" t="n">
        <f aca="false">IF(OR($C50="",$D50="",$F50=0),0,IF(OR(AM$5&lt;=Projects!$C$2,((YEAR(AM$5)-YEAR($C50))*12+MONTH(AM$5)-MONTH($C50)+1)&lt;1,((YEAR(AM$5)-YEAR($C50))*12+MONTH(AM$5)-MONTH($C50)+1)&gt;$D50),0,$E50*IF($G50,1,N(INDEX(Phasing!$I50:$AF50,((YEAR(AM$5)-YEAR($C50))*12+MONTH(AM$5)-MONTH($C50)+1))))/$F50))</f>
        <v>0</v>
      </c>
      <c r="AN50" s="38" t="n">
        <f aca="false">IF(OR($C50="",$D50="",$F50=0),0,IF(OR(AN$5&lt;=Projects!$C$2,((YEAR(AN$5)-YEAR($C50))*12+MONTH(AN$5)-MONTH($C50)+1)&lt;1,((YEAR(AN$5)-YEAR($C50))*12+MONTH(AN$5)-MONTH($C50)+1)&gt;$D50),0,$E50*IF($G50,1,N(INDEX(Phasing!$I50:$AF50,((YEAR(AN$5)-YEAR($C50))*12+MONTH(AN$5)-MONTH($C50)+1))))/$F50))</f>
        <v>0</v>
      </c>
      <c r="AO50" s="38" t="n">
        <f aca="false">IF(OR($C50="",$D50="",$F50=0),0,IF(OR(AO$5&lt;=Projects!$C$2,((YEAR(AO$5)-YEAR($C50))*12+MONTH(AO$5)-MONTH($C50)+1)&lt;1,((YEAR(AO$5)-YEAR($C50))*12+MONTH(AO$5)-MONTH($C50)+1)&gt;$D50),0,$E50*IF($G50,1,N(INDEX(Phasing!$I50:$AF50,((YEAR(AO$5)-YEAR($C50))*12+MONTH(AO$5)-MONTH($C50)+1))))/$F50))</f>
        <v>0</v>
      </c>
      <c r="AP50" s="38" t="n">
        <f aca="false">IF(OR($C50="",$D50="",$F50=0),0,IF(OR(AP$5&lt;=Projects!$C$2,((YEAR(AP$5)-YEAR($C50))*12+MONTH(AP$5)-MONTH($C50)+1)&lt;1,((YEAR(AP$5)-YEAR($C50))*12+MONTH(AP$5)-MONTH($C50)+1)&gt;$D50),0,$E50*IF($G50,1,N(INDEX(Phasing!$I50:$AF50,((YEAR(AP$5)-YEAR($C50))*12+MONTH(AP$5)-MONTH($C50)+1))))/$F50))</f>
        <v>0</v>
      </c>
      <c r="AQ50" s="38" t="n">
        <f aca="false">IF(OR($C50="",$D50="",$F50=0),0,IF(OR(AQ$5&lt;=Projects!$C$2,((YEAR(AQ$5)-YEAR($C50))*12+MONTH(AQ$5)-MONTH($C50)+1)&lt;1,((YEAR(AQ$5)-YEAR($C50))*12+MONTH(AQ$5)-MONTH($C50)+1)&gt;$D50),0,$E50*IF($G50,1,N(INDEX(Phasing!$I50:$AF50,((YEAR(AQ$5)-YEAR($C50))*12+MONTH(AQ$5)-MONTH($C50)+1))))/$F50))</f>
        <v>0</v>
      </c>
    </row>
    <row r="51" customFormat="false" ht="15" hidden="false" customHeight="false" outlineLevel="0" collapsed="false">
      <c r="A51" s="11" t="n">
        <v>46</v>
      </c>
      <c r="B51" s="21" t="str">
        <f aca="false">IF(Projects!B51="","",Projects!B51)</f>
        <v/>
      </c>
      <c r="C51" s="31" t="str">
        <f aca="false">IF(Projects!D51="","",Projects!D51)</f>
        <v/>
      </c>
      <c r="D51" s="21" t="str">
        <f aca="false">IF(Projects!E51="","",Projects!E51)</f>
        <v/>
      </c>
      <c r="E51" s="33" t="n">
        <f aca="false">IF(Projects!B51="",0,N(Projects!I51))</f>
        <v>0</v>
      </c>
      <c r="F51" s="21" t="n">
        <f aca="false">Phasing!G51</f>
        <v>0</v>
      </c>
      <c r="G51" s="48" t="b">
        <f aca="false">Phasing!D51=0</f>
        <v>1</v>
      </c>
      <c r="H51" s="38" t="n">
        <f aca="false">IF(OR($C51="",$D51="",$F51=0),0,IF(OR(H$5&lt;=Projects!$C$2,((YEAR(H$5)-YEAR($C51))*12+MONTH(H$5)-MONTH($C51)+1)&lt;1,((YEAR(H$5)-YEAR($C51))*12+MONTH(H$5)-MONTH($C51)+1)&gt;$D51),0,$E51*IF($G51,1,N(INDEX(Phasing!$I51:$AF51,((YEAR(H$5)-YEAR($C51))*12+MONTH(H$5)-MONTH($C51)+1))))/$F51))</f>
        <v>0</v>
      </c>
      <c r="I51" s="38" t="n">
        <f aca="false">IF(OR($C51="",$D51="",$F51=0),0,IF(OR(I$5&lt;=Projects!$C$2,((YEAR(I$5)-YEAR($C51))*12+MONTH(I$5)-MONTH($C51)+1)&lt;1,((YEAR(I$5)-YEAR($C51))*12+MONTH(I$5)-MONTH($C51)+1)&gt;$D51),0,$E51*IF($G51,1,N(INDEX(Phasing!$I51:$AF51,((YEAR(I$5)-YEAR($C51))*12+MONTH(I$5)-MONTH($C51)+1))))/$F51))</f>
        <v>0</v>
      </c>
      <c r="J51" s="38" t="n">
        <f aca="false">IF(OR($C51="",$D51="",$F51=0),0,IF(OR(J$5&lt;=Projects!$C$2,((YEAR(J$5)-YEAR($C51))*12+MONTH(J$5)-MONTH($C51)+1)&lt;1,((YEAR(J$5)-YEAR($C51))*12+MONTH(J$5)-MONTH($C51)+1)&gt;$D51),0,$E51*IF($G51,1,N(INDEX(Phasing!$I51:$AF51,((YEAR(J$5)-YEAR($C51))*12+MONTH(J$5)-MONTH($C51)+1))))/$F51))</f>
        <v>0</v>
      </c>
      <c r="K51" s="38" t="n">
        <f aca="false">IF(OR($C51="",$D51="",$F51=0),0,IF(OR(K$5&lt;=Projects!$C$2,((YEAR(K$5)-YEAR($C51))*12+MONTH(K$5)-MONTH($C51)+1)&lt;1,((YEAR(K$5)-YEAR($C51))*12+MONTH(K$5)-MONTH($C51)+1)&gt;$D51),0,$E51*IF($G51,1,N(INDEX(Phasing!$I51:$AF51,((YEAR(K$5)-YEAR($C51))*12+MONTH(K$5)-MONTH($C51)+1))))/$F51))</f>
        <v>0</v>
      </c>
      <c r="L51" s="38" t="n">
        <f aca="false">IF(OR($C51="",$D51="",$F51=0),0,IF(OR(L$5&lt;=Projects!$C$2,((YEAR(L$5)-YEAR($C51))*12+MONTH(L$5)-MONTH($C51)+1)&lt;1,((YEAR(L$5)-YEAR($C51))*12+MONTH(L$5)-MONTH($C51)+1)&gt;$D51),0,$E51*IF($G51,1,N(INDEX(Phasing!$I51:$AF51,((YEAR(L$5)-YEAR($C51))*12+MONTH(L$5)-MONTH($C51)+1))))/$F51))</f>
        <v>0</v>
      </c>
      <c r="M51" s="38" t="n">
        <f aca="false">IF(OR($C51="",$D51="",$F51=0),0,IF(OR(M$5&lt;=Projects!$C$2,((YEAR(M$5)-YEAR($C51))*12+MONTH(M$5)-MONTH($C51)+1)&lt;1,((YEAR(M$5)-YEAR($C51))*12+MONTH(M$5)-MONTH($C51)+1)&gt;$D51),0,$E51*IF($G51,1,N(INDEX(Phasing!$I51:$AF51,((YEAR(M$5)-YEAR($C51))*12+MONTH(M$5)-MONTH($C51)+1))))/$F51))</f>
        <v>0</v>
      </c>
      <c r="N51" s="38" t="n">
        <f aca="false">IF(OR($C51="",$D51="",$F51=0),0,IF(OR(N$5&lt;=Projects!$C$2,((YEAR(N$5)-YEAR($C51))*12+MONTH(N$5)-MONTH($C51)+1)&lt;1,((YEAR(N$5)-YEAR($C51))*12+MONTH(N$5)-MONTH($C51)+1)&gt;$D51),0,$E51*IF($G51,1,N(INDEX(Phasing!$I51:$AF51,((YEAR(N$5)-YEAR($C51))*12+MONTH(N$5)-MONTH($C51)+1))))/$F51))</f>
        <v>0</v>
      </c>
      <c r="O51" s="38" t="n">
        <f aca="false">IF(OR($C51="",$D51="",$F51=0),0,IF(OR(O$5&lt;=Projects!$C$2,((YEAR(O$5)-YEAR($C51))*12+MONTH(O$5)-MONTH($C51)+1)&lt;1,((YEAR(O$5)-YEAR($C51))*12+MONTH(O$5)-MONTH($C51)+1)&gt;$D51),0,$E51*IF($G51,1,N(INDEX(Phasing!$I51:$AF51,((YEAR(O$5)-YEAR($C51))*12+MONTH(O$5)-MONTH($C51)+1))))/$F51))</f>
        <v>0</v>
      </c>
      <c r="P51" s="38" t="n">
        <f aca="false">IF(OR($C51="",$D51="",$F51=0),0,IF(OR(P$5&lt;=Projects!$C$2,((YEAR(P$5)-YEAR($C51))*12+MONTH(P$5)-MONTH($C51)+1)&lt;1,((YEAR(P$5)-YEAR($C51))*12+MONTH(P$5)-MONTH($C51)+1)&gt;$D51),0,$E51*IF($G51,1,N(INDEX(Phasing!$I51:$AF51,((YEAR(P$5)-YEAR($C51))*12+MONTH(P$5)-MONTH($C51)+1))))/$F51))</f>
        <v>0</v>
      </c>
      <c r="Q51" s="38" t="n">
        <f aca="false">IF(OR($C51="",$D51="",$F51=0),0,IF(OR(Q$5&lt;=Projects!$C$2,((YEAR(Q$5)-YEAR($C51))*12+MONTH(Q$5)-MONTH($C51)+1)&lt;1,((YEAR(Q$5)-YEAR($C51))*12+MONTH(Q$5)-MONTH($C51)+1)&gt;$D51),0,$E51*IF($G51,1,N(INDEX(Phasing!$I51:$AF51,((YEAR(Q$5)-YEAR($C51))*12+MONTH(Q$5)-MONTH($C51)+1))))/$F51))</f>
        <v>0</v>
      </c>
      <c r="R51" s="38" t="n">
        <f aca="false">IF(OR($C51="",$D51="",$F51=0),0,IF(OR(R$5&lt;=Projects!$C$2,((YEAR(R$5)-YEAR($C51))*12+MONTH(R$5)-MONTH($C51)+1)&lt;1,((YEAR(R$5)-YEAR($C51))*12+MONTH(R$5)-MONTH($C51)+1)&gt;$D51),0,$E51*IF($G51,1,N(INDEX(Phasing!$I51:$AF51,((YEAR(R$5)-YEAR($C51))*12+MONTH(R$5)-MONTH($C51)+1))))/$F51))</f>
        <v>0</v>
      </c>
      <c r="S51" s="38" t="n">
        <f aca="false">IF(OR($C51="",$D51="",$F51=0),0,IF(OR(S$5&lt;=Projects!$C$2,((YEAR(S$5)-YEAR($C51))*12+MONTH(S$5)-MONTH($C51)+1)&lt;1,((YEAR(S$5)-YEAR($C51))*12+MONTH(S$5)-MONTH($C51)+1)&gt;$D51),0,$E51*IF($G51,1,N(INDEX(Phasing!$I51:$AF51,((YEAR(S$5)-YEAR($C51))*12+MONTH(S$5)-MONTH($C51)+1))))/$F51))</f>
        <v>0</v>
      </c>
      <c r="T51" s="38" t="n">
        <f aca="false">IF(OR($C51="",$D51="",$F51=0),0,IF(OR(T$5&lt;=Projects!$C$2,((YEAR(T$5)-YEAR($C51))*12+MONTH(T$5)-MONTH($C51)+1)&lt;1,((YEAR(T$5)-YEAR($C51))*12+MONTH(T$5)-MONTH($C51)+1)&gt;$D51),0,$E51*IF($G51,1,N(INDEX(Phasing!$I51:$AF51,((YEAR(T$5)-YEAR($C51))*12+MONTH(T$5)-MONTH($C51)+1))))/$F51))</f>
        <v>0</v>
      </c>
      <c r="U51" s="38" t="n">
        <f aca="false">IF(OR($C51="",$D51="",$F51=0),0,IF(OR(U$5&lt;=Projects!$C$2,((YEAR(U$5)-YEAR($C51))*12+MONTH(U$5)-MONTH($C51)+1)&lt;1,((YEAR(U$5)-YEAR($C51))*12+MONTH(U$5)-MONTH($C51)+1)&gt;$D51),0,$E51*IF($G51,1,N(INDEX(Phasing!$I51:$AF51,((YEAR(U$5)-YEAR($C51))*12+MONTH(U$5)-MONTH($C51)+1))))/$F51))</f>
        <v>0</v>
      </c>
      <c r="V51" s="38" t="n">
        <f aca="false">IF(OR($C51="",$D51="",$F51=0),0,IF(OR(V$5&lt;=Projects!$C$2,((YEAR(V$5)-YEAR($C51))*12+MONTH(V$5)-MONTH($C51)+1)&lt;1,((YEAR(V$5)-YEAR($C51))*12+MONTH(V$5)-MONTH($C51)+1)&gt;$D51),0,$E51*IF($G51,1,N(INDEX(Phasing!$I51:$AF51,((YEAR(V$5)-YEAR($C51))*12+MONTH(V$5)-MONTH($C51)+1))))/$F51))</f>
        <v>0</v>
      </c>
      <c r="W51" s="38" t="n">
        <f aca="false">IF(OR($C51="",$D51="",$F51=0),0,IF(OR(W$5&lt;=Projects!$C$2,((YEAR(W$5)-YEAR($C51))*12+MONTH(W$5)-MONTH($C51)+1)&lt;1,((YEAR(W$5)-YEAR($C51))*12+MONTH(W$5)-MONTH($C51)+1)&gt;$D51),0,$E51*IF($G51,1,N(INDEX(Phasing!$I51:$AF51,((YEAR(W$5)-YEAR($C51))*12+MONTH(W$5)-MONTH($C51)+1))))/$F51))</f>
        <v>0</v>
      </c>
      <c r="X51" s="38" t="n">
        <f aca="false">IF(OR($C51="",$D51="",$F51=0),0,IF(OR(X$5&lt;=Projects!$C$2,((YEAR(X$5)-YEAR($C51))*12+MONTH(X$5)-MONTH($C51)+1)&lt;1,((YEAR(X$5)-YEAR($C51))*12+MONTH(X$5)-MONTH($C51)+1)&gt;$D51),0,$E51*IF($G51,1,N(INDEX(Phasing!$I51:$AF51,((YEAR(X$5)-YEAR($C51))*12+MONTH(X$5)-MONTH($C51)+1))))/$F51))</f>
        <v>0</v>
      </c>
      <c r="Y51" s="38" t="n">
        <f aca="false">IF(OR($C51="",$D51="",$F51=0),0,IF(OR(Y$5&lt;=Projects!$C$2,((YEAR(Y$5)-YEAR($C51))*12+MONTH(Y$5)-MONTH($C51)+1)&lt;1,((YEAR(Y$5)-YEAR($C51))*12+MONTH(Y$5)-MONTH($C51)+1)&gt;$D51),0,$E51*IF($G51,1,N(INDEX(Phasing!$I51:$AF51,((YEAR(Y$5)-YEAR($C51))*12+MONTH(Y$5)-MONTH($C51)+1))))/$F51))</f>
        <v>0</v>
      </c>
      <c r="Z51" s="38" t="n">
        <f aca="false">IF(OR($C51="",$D51="",$F51=0),0,IF(OR(Z$5&lt;=Projects!$C$2,((YEAR(Z$5)-YEAR($C51))*12+MONTH(Z$5)-MONTH($C51)+1)&lt;1,((YEAR(Z$5)-YEAR($C51))*12+MONTH(Z$5)-MONTH($C51)+1)&gt;$D51),0,$E51*IF($G51,1,N(INDEX(Phasing!$I51:$AF51,((YEAR(Z$5)-YEAR($C51))*12+MONTH(Z$5)-MONTH($C51)+1))))/$F51))</f>
        <v>0</v>
      </c>
      <c r="AA51" s="38" t="n">
        <f aca="false">IF(OR($C51="",$D51="",$F51=0),0,IF(OR(AA$5&lt;=Projects!$C$2,((YEAR(AA$5)-YEAR($C51))*12+MONTH(AA$5)-MONTH($C51)+1)&lt;1,((YEAR(AA$5)-YEAR($C51))*12+MONTH(AA$5)-MONTH($C51)+1)&gt;$D51),0,$E51*IF($G51,1,N(INDEX(Phasing!$I51:$AF51,((YEAR(AA$5)-YEAR($C51))*12+MONTH(AA$5)-MONTH($C51)+1))))/$F51))</f>
        <v>0</v>
      </c>
      <c r="AB51" s="38" t="n">
        <f aca="false">IF(OR($C51="",$D51="",$F51=0),0,IF(OR(AB$5&lt;=Projects!$C$2,((YEAR(AB$5)-YEAR($C51))*12+MONTH(AB$5)-MONTH($C51)+1)&lt;1,((YEAR(AB$5)-YEAR($C51))*12+MONTH(AB$5)-MONTH($C51)+1)&gt;$D51),0,$E51*IF($G51,1,N(INDEX(Phasing!$I51:$AF51,((YEAR(AB$5)-YEAR($C51))*12+MONTH(AB$5)-MONTH($C51)+1))))/$F51))</f>
        <v>0</v>
      </c>
      <c r="AC51" s="38" t="n">
        <f aca="false">IF(OR($C51="",$D51="",$F51=0),0,IF(OR(AC$5&lt;=Projects!$C$2,((YEAR(AC$5)-YEAR($C51))*12+MONTH(AC$5)-MONTH($C51)+1)&lt;1,((YEAR(AC$5)-YEAR($C51))*12+MONTH(AC$5)-MONTH($C51)+1)&gt;$D51),0,$E51*IF($G51,1,N(INDEX(Phasing!$I51:$AF51,((YEAR(AC$5)-YEAR($C51))*12+MONTH(AC$5)-MONTH($C51)+1))))/$F51))</f>
        <v>0</v>
      </c>
      <c r="AD51" s="38" t="n">
        <f aca="false">IF(OR($C51="",$D51="",$F51=0),0,IF(OR(AD$5&lt;=Projects!$C$2,((YEAR(AD$5)-YEAR($C51))*12+MONTH(AD$5)-MONTH($C51)+1)&lt;1,((YEAR(AD$5)-YEAR($C51))*12+MONTH(AD$5)-MONTH($C51)+1)&gt;$D51),0,$E51*IF($G51,1,N(INDEX(Phasing!$I51:$AF51,((YEAR(AD$5)-YEAR($C51))*12+MONTH(AD$5)-MONTH($C51)+1))))/$F51))</f>
        <v>0</v>
      </c>
      <c r="AE51" s="38" t="n">
        <f aca="false">IF(OR($C51="",$D51="",$F51=0),0,IF(OR(AE$5&lt;=Projects!$C$2,((YEAR(AE$5)-YEAR($C51))*12+MONTH(AE$5)-MONTH($C51)+1)&lt;1,((YEAR(AE$5)-YEAR($C51))*12+MONTH(AE$5)-MONTH($C51)+1)&gt;$D51),0,$E51*IF($G51,1,N(INDEX(Phasing!$I51:$AF51,((YEAR(AE$5)-YEAR($C51))*12+MONTH(AE$5)-MONTH($C51)+1))))/$F51))</f>
        <v>0</v>
      </c>
      <c r="AF51" s="38" t="n">
        <f aca="false">IF(OR($C51="",$D51="",$F51=0),0,IF(OR(AF$5&lt;=Projects!$C$2,((YEAR(AF$5)-YEAR($C51))*12+MONTH(AF$5)-MONTH($C51)+1)&lt;1,((YEAR(AF$5)-YEAR($C51))*12+MONTH(AF$5)-MONTH($C51)+1)&gt;$D51),0,$E51*IF($G51,1,N(INDEX(Phasing!$I51:$AF51,((YEAR(AF$5)-YEAR($C51))*12+MONTH(AF$5)-MONTH($C51)+1))))/$F51))</f>
        <v>0</v>
      </c>
      <c r="AG51" s="38" t="n">
        <f aca="false">IF(OR($C51="",$D51="",$F51=0),0,IF(OR(AG$5&lt;=Projects!$C$2,((YEAR(AG$5)-YEAR($C51))*12+MONTH(AG$5)-MONTH($C51)+1)&lt;1,((YEAR(AG$5)-YEAR($C51))*12+MONTH(AG$5)-MONTH($C51)+1)&gt;$D51),0,$E51*IF($G51,1,N(INDEX(Phasing!$I51:$AF51,((YEAR(AG$5)-YEAR($C51))*12+MONTH(AG$5)-MONTH($C51)+1))))/$F51))</f>
        <v>0</v>
      </c>
      <c r="AH51" s="38" t="n">
        <f aca="false">IF(OR($C51="",$D51="",$F51=0),0,IF(OR(AH$5&lt;=Projects!$C$2,((YEAR(AH$5)-YEAR($C51))*12+MONTH(AH$5)-MONTH($C51)+1)&lt;1,((YEAR(AH$5)-YEAR($C51))*12+MONTH(AH$5)-MONTH($C51)+1)&gt;$D51),0,$E51*IF($G51,1,N(INDEX(Phasing!$I51:$AF51,((YEAR(AH$5)-YEAR($C51))*12+MONTH(AH$5)-MONTH($C51)+1))))/$F51))</f>
        <v>0</v>
      </c>
      <c r="AI51" s="38" t="n">
        <f aca="false">IF(OR($C51="",$D51="",$F51=0),0,IF(OR(AI$5&lt;=Projects!$C$2,((YEAR(AI$5)-YEAR($C51))*12+MONTH(AI$5)-MONTH($C51)+1)&lt;1,((YEAR(AI$5)-YEAR($C51))*12+MONTH(AI$5)-MONTH($C51)+1)&gt;$D51),0,$E51*IF($G51,1,N(INDEX(Phasing!$I51:$AF51,((YEAR(AI$5)-YEAR($C51))*12+MONTH(AI$5)-MONTH($C51)+1))))/$F51))</f>
        <v>0</v>
      </c>
      <c r="AJ51" s="38" t="n">
        <f aca="false">IF(OR($C51="",$D51="",$F51=0),0,IF(OR(AJ$5&lt;=Projects!$C$2,((YEAR(AJ$5)-YEAR($C51))*12+MONTH(AJ$5)-MONTH($C51)+1)&lt;1,((YEAR(AJ$5)-YEAR($C51))*12+MONTH(AJ$5)-MONTH($C51)+1)&gt;$D51),0,$E51*IF($G51,1,N(INDEX(Phasing!$I51:$AF51,((YEAR(AJ$5)-YEAR($C51))*12+MONTH(AJ$5)-MONTH($C51)+1))))/$F51))</f>
        <v>0</v>
      </c>
      <c r="AK51" s="38" t="n">
        <f aca="false">IF(OR($C51="",$D51="",$F51=0),0,IF(OR(AK$5&lt;=Projects!$C$2,((YEAR(AK$5)-YEAR($C51))*12+MONTH(AK$5)-MONTH($C51)+1)&lt;1,((YEAR(AK$5)-YEAR($C51))*12+MONTH(AK$5)-MONTH($C51)+1)&gt;$D51),0,$E51*IF($G51,1,N(INDEX(Phasing!$I51:$AF51,((YEAR(AK$5)-YEAR($C51))*12+MONTH(AK$5)-MONTH($C51)+1))))/$F51))</f>
        <v>0</v>
      </c>
      <c r="AL51" s="38" t="n">
        <f aca="false">IF(OR($C51="",$D51="",$F51=0),0,IF(OR(AL$5&lt;=Projects!$C$2,((YEAR(AL$5)-YEAR($C51))*12+MONTH(AL$5)-MONTH($C51)+1)&lt;1,((YEAR(AL$5)-YEAR($C51))*12+MONTH(AL$5)-MONTH($C51)+1)&gt;$D51),0,$E51*IF($G51,1,N(INDEX(Phasing!$I51:$AF51,((YEAR(AL$5)-YEAR($C51))*12+MONTH(AL$5)-MONTH($C51)+1))))/$F51))</f>
        <v>0</v>
      </c>
      <c r="AM51" s="38" t="n">
        <f aca="false">IF(OR($C51="",$D51="",$F51=0),0,IF(OR(AM$5&lt;=Projects!$C$2,((YEAR(AM$5)-YEAR($C51))*12+MONTH(AM$5)-MONTH($C51)+1)&lt;1,((YEAR(AM$5)-YEAR($C51))*12+MONTH(AM$5)-MONTH($C51)+1)&gt;$D51),0,$E51*IF($G51,1,N(INDEX(Phasing!$I51:$AF51,((YEAR(AM$5)-YEAR($C51))*12+MONTH(AM$5)-MONTH($C51)+1))))/$F51))</f>
        <v>0</v>
      </c>
      <c r="AN51" s="38" t="n">
        <f aca="false">IF(OR($C51="",$D51="",$F51=0),0,IF(OR(AN$5&lt;=Projects!$C$2,((YEAR(AN$5)-YEAR($C51))*12+MONTH(AN$5)-MONTH($C51)+1)&lt;1,((YEAR(AN$5)-YEAR($C51))*12+MONTH(AN$5)-MONTH($C51)+1)&gt;$D51),0,$E51*IF($G51,1,N(INDEX(Phasing!$I51:$AF51,((YEAR(AN$5)-YEAR($C51))*12+MONTH(AN$5)-MONTH($C51)+1))))/$F51))</f>
        <v>0</v>
      </c>
      <c r="AO51" s="38" t="n">
        <f aca="false">IF(OR($C51="",$D51="",$F51=0),0,IF(OR(AO$5&lt;=Projects!$C$2,((YEAR(AO$5)-YEAR($C51))*12+MONTH(AO$5)-MONTH($C51)+1)&lt;1,((YEAR(AO$5)-YEAR($C51))*12+MONTH(AO$5)-MONTH($C51)+1)&gt;$D51),0,$E51*IF($G51,1,N(INDEX(Phasing!$I51:$AF51,((YEAR(AO$5)-YEAR($C51))*12+MONTH(AO$5)-MONTH($C51)+1))))/$F51))</f>
        <v>0</v>
      </c>
      <c r="AP51" s="38" t="n">
        <f aca="false">IF(OR($C51="",$D51="",$F51=0),0,IF(OR(AP$5&lt;=Projects!$C$2,((YEAR(AP$5)-YEAR($C51))*12+MONTH(AP$5)-MONTH($C51)+1)&lt;1,((YEAR(AP$5)-YEAR($C51))*12+MONTH(AP$5)-MONTH($C51)+1)&gt;$D51),0,$E51*IF($G51,1,N(INDEX(Phasing!$I51:$AF51,((YEAR(AP$5)-YEAR($C51))*12+MONTH(AP$5)-MONTH($C51)+1))))/$F51))</f>
        <v>0</v>
      </c>
      <c r="AQ51" s="38" t="n">
        <f aca="false">IF(OR($C51="",$D51="",$F51=0),0,IF(OR(AQ$5&lt;=Projects!$C$2,((YEAR(AQ$5)-YEAR($C51))*12+MONTH(AQ$5)-MONTH($C51)+1)&lt;1,((YEAR(AQ$5)-YEAR($C51))*12+MONTH(AQ$5)-MONTH($C51)+1)&gt;$D51),0,$E51*IF($G51,1,N(INDEX(Phasing!$I51:$AF51,((YEAR(AQ$5)-YEAR($C51))*12+MONTH(AQ$5)-MONTH($C51)+1))))/$F51))</f>
        <v>0</v>
      </c>
    </row>
    <row r="52" customFormat="false" ht="15" hidden="false" customHeight="false" outlineLevel="0" collapsed="false">
      <c r="A52" s="11" t="n">
        <v>47</v>
      </c>
      <c r="B52" s="21" t="str">
        <f aca="false">IF(Projects!B52="","",Projects!B52)</f>
        <v/>
      </c>
      <c r="C52" s="31" t="str">
        <f aca="false">IF(Projects!D52="","",Projects!D52)</f>
        <v/>
      </c>
      <c r="D52" s="21" t="str">
        <f aca="false">IF(Projects!E52="","",Projects!E52)</f>
        <v/>
      </c>
      <c r="E52" s="33" t="n">
        <f aca="false">IF(Projects!B52="",0,N(Projects!I52))</f>
        <v>0</v>
      </c>
      <c r="F52" s="21" t="n">
        <f aca="false">Phasing!G52</f>
        <v>0</v>
      </c>
      <c r="G52" s="48" t="b">
        <f aca="false">Phasing!D52=0</f>
        <v>1</v>
      </c>
      <c r="H52" s="38" t="n">
        <f aca="false">IF(OR($C52="",$D52="",$F52=0),0,IF(OR(H$5&lt;=Projects!$C$2,((YEAR(H$5)-YEAR($C52))*12+MONTH(H$5)-MONTH($C52)+1)&lt;1,((YEAR(H$5)-YEAR($C52))*12+MONTH(H$5)-MONTH($C52)+1)&gt;$D52),0,$E52*IF($G52,1,N(INDEX(Phasing!$I52:$AF52,((YEAR(H$5)-YEAR($C52))*12+MONTH(H$5)-MONTH($C52)+1))))/$F52))</f>
        <v>0</v>
      </c>
      <c r="I52" s="38" t="n">
        <f aca="false">IF(OR($C52="",$D52="",$F52=0),0,IF(OR(I$5&lt;=Projects!$C$2,((YEAR(I$5)-YEAR($C52))*12+MONTH(I$5)-MONTH($C52)+1)&lt;1,((YEAR(I$5)-YEAR($C52))*12+MONTH(I$5)-MONTH($C52)+1)&gt;$D52),0,$E52*IF($G52,1,N(INDEX(Phasing!$I52:$AF52,((YEAR(I$5)-YEAR($C52))*12+MONTH(I$5)-MONTH($C52)+1))))/$F52))</f>
        <v>0</v>
      </c>
      <c r="J52" s="38" t="n">
        <f aca="false">IF(OR($C52="",$D52="",$F52=0),0,IF(OR(J$5&lt;=Projects!$C$2,((YEAR(J$5)-YEAR($C52))*12+MONTH(J$5)-MONTH($C52)+1)&lt;1,((YEAR(J$5)-YEAR($C52))*12+MONTH(J$5)-MONTH($C52)+1)&gt;$D52),0,$E52*IF($G52,1,N(INDEX(Phasing!$I52:$AF52,((YEAR(J$5)-YEAR($C52))*12+MONTH(J$5)-MONTH($C52)+1))))/$F52))</f>
        <v>0</v>
      </c>
      <c r="K52" s="38" t="n">
        <f aca="false">IF(OR($C52="",$D52="",$F52=0),0,IF(OR(K$5&lt;=Projects!$C$2,((YEAR(K$5)-YEAR($C52))*12+MONTH(K$5)-MONTH($C52)+1)&lt;1,((YEAR(K$5)-YEAR($C52))*12+MONTH(K$5)-MONTH($C52)+1)&gt;$D52),0,$E52*IF($G52,1,N(INDEX(Phasing!$I52:$AF52,((YEAR(K$5)-YEAR($C52))*12+MONTH(K$5)-MONTH($C52)+1))))/$F52))</f>
        <v>0</v>
      </c>
      <c r="L52" s="38" t="n">
        <f aca="false">IF(OR($C52="",$D52="",$F52=0),0,IF(OR(L$5&lt;=Projects!$C$2,((YEAR(L$5)-YEAR($C52))*12+MONTH(L$5)-MONTH($C52)+1)&lt;1,((YEAR(L$5)-YEAR($C52))*12+MONTH(L$5)-MONTH($C52)+1)&gt;$D52),0,$E52*IF($G52,1,N(INDEX(Phasing!$I52:$AF52,((YEAR(L$5)-YEAR($C52))*12+MONTH(L$5)-MONTH($C52)+1))))/$F52))</f>
        <v>0</v>
      </c>
      <c r="M52" s="38" t="n">
        <f aca="false">IF(OR($C52="",$D52="",$F52=0),0,IF(OR(M$5&lt;=Projects!$C$2,((YEAR(M$5)-YEAR($C52))*12+MONTH(M$5)-MONTH($C52)+1)&lt;1,((YEAR(M$5)-YEAR($C52))*12+MONTH(M$5)-MONTH($C52)+1)&gt;$D52),0,$E52*IF($G52,1,N(INDEX(Phasing!$I52:$AF52,((YEAR(M$5)-YEAR($C52))*12+MONTH(M$5)-MONTH($C52)+1))))/$F52))</f>
        <v>0</v>
      </c>
      <c r="N52" s="38" t="n">
        <f aca="false">IF(OR($C52="",$D52="",$F52=0),0,IF(OR(N$5&lt;=Projects!$C$2,((YEAR(N$5)-YEAR($C52))*12+MONTH(N$5)-MONTH($C52)+1)&lt;1,((YEAR(N$5)-YEAR($C52))*12+MONTH(N$5)-MONTH($C52)+1)&gt;$D52),0,$E52*IF($G52,1,N(INDEX(Phasing!$I52:$AF52,((YEAR(N$5)-YEAR($C52))*12+MONTH(N$5)-MONTH($C52)+1))))/$F52))</f>
        <v>0</v>
      </c>
      <c r="O52" s="38" t="n">
        <f aca="false">IF(OR($C52="",$D52="",$F52=0),0,IF(OR(O$5&lt;=Projects!$C$2,((YEAR(O$5)-YEAR($C52))*12+MONTH(O$5)-MONTH($C52)+1)&lt;1,((YEAR(O$5)-YEAR($C52))*12+MONTH(O$5)-MONTH($C52)+1)&gt;$D52),0,$E52*IF($G52,1,N(INDEX(Phasing!$I52:$AF52,((YEAR(O$5)-YEAR($C52))*12+MONTH(O$5)-MONTH($C52)+1))))/$F52))</f>
        <v>0</v>
      </c>
      <c r="P52" s="38" t="n">
        <f aca="false">IF(OR($C52="",$D52="",$F52=0),0,IF(OR(P$5&lt;=Projects!$C$2,((YEAR(P$5)-YEAR($C52))*12+MONTH(P$5)-MONTH($C52)+1)&lt;1,((YEAR(P$5)-YEAR($C52))*12+MONTH(P$5)-MONTH($C52)+1)&gt;$D52),0,$E52*IF($G52,1,N(INDEX(Phasing!$I52:$AF52,((YEAR(P$5)-YEAR($C52))*12+MONTH(P$5)-MONTH($C52)+1))))/$F52))</f>
        <v>0</v>
      </c>
      <c r="Q52" s="38" t="n">
        <f aca="false">IF(OR($C52="",$D52="",$F52=0),0,IF(OR(Q$5&lt;=Projects!$C$2,((YEAR(Q$5)-YEAR($C52))*12+MONTH(Q$5)-MONTH($C52)+1)&lt;1,((YEAR(Q$5)-YEAR($C52))*12+MONTH(Q$5)-MONTH($C52)+1)&gt;$D52),0,$E52*IF($G52,1,N(INDEX(Phasing!$I52:$AF52,((YEAR(Q$5)-YEAR($C52))*12+MONTH(Q$5)-MONTH($C52)+1))))/$F52))</f>
        <v>0</v>
      </c>
      <c r="R52" s="38" t="n">
        <f aca="false">IF(OR($C52="",$D52="",$F52=0),0,IF(OR(R$5&lt;=Projects!$C$2,((YEAR(R$5)-YEAR($C52))*12+MONTH(R$5)-MONTH($C52)+1)&lt;1,((YEAR(R$5)-YEAR($C52))*12+MONTH(R$5)-MONTH($C52)+1)&gt;$D52),0,$E52*IF($G52,1,N(INDEX(Phasing!$I52:$AF52,((YEAR(R$5)-YEAR($C52))*12+MONTH(R$5)-MONTH($C52)+1))))/$F52))</f>
        <v>0</v>
      </c>
      <c r="S52" s="38" t="n">
        <f aca="false">IF(OR($C52="",$D52="",$F52=0),0,IF(OR(S$5&lt;=Projects!$C$2,((YEAR(S$5)-YEAR($C52))*12+MONTH(S$5)-MONTH($C52)+1)&lt;1,((YEAR(S$5)-YEAR($C52))*12+MONTH(S$5)-MONTH($C52)+1)&gt;$D52),0,$E52*IF($G52,1,N(INDEX(Phasing!$I52:$AF52,((YEAR(S$5)-YEAR($C52))*12+MONTH(S$5)-MONTH($C52)+1))))/$F52))</f>
        <v>0</v>
      </c>
      <c r="T52" s="38" t="n">
        <f aca="false">IF(OR($C52="",$D52="",$F52=0),0,IF(OR(T$5&lt;=Projects!$C$2,((YEAR(T$5)-YEAR($C52))*12+MONTH(T$5)-MONTH($C52)+1)&lt;1,((YEAR(T$5)-YEAR($C52))*12+MONTH(T$5)-MONTH($C52)+1)&gt;$D52),0,$E52*IF($G52,1,N(INDEX(Phasing!$I52:$AF52,((YEAR(T$5)-YEAR($C52))*12+MONTH(T$5)-MONTH($C52)+1))))/$F52))</f>
        <v>0</v>
      </c>
      <c r="U52" s="38" t="n">
        <f aca="false">IF(OR($C52="",$D52="",$F52=0),0,IF(OR(U$5&lt;=Projects!$C$2,((YEAR(U$5)-YEAR($C52))*12+MONTH(U$5)-MONTH($C52)+1)&lt;1,((YEAR(U$5)-YEAR($C52))*12+MONTH(U$5)-MONTH($C52)+1)&gt;$D52),0,$E52*IF($G52,1,N(INDEX(Phasing!$I52:$AF52,((YEAR(U$5)-YEAR($C52))*12+MONTH(U$5)-MONTH($C52)+1))))/$F52))</f>
        <v>0</v>
      </c>
      <c r="V52" s="38" t="n">
        <f aca="false">IF(OR($C52="",$D52="",$F52=0),0,IF(OR(V$5&lt;=Projects!$C$2,((YEAR(V$5)-YEAR($C52))*12+MONTH(V$5)-MONTH($C52)+1)&lt;1,((YEAR(V$5)-YEAR($C52))*12+MONTH(V$5)-MONTH($C52)+1)&gt;$D52),0,$E52*IF($G52,1,N(INDEX(Phasing!$I52:$AF52,((YEAR(V$5)-YEAR($C52))*12+MONTH(V$5)-MONTH($C52)+1))))/$F52))</f>
        <v>0</v>
      </c>
      <c r="W52" s="38" t="n">
        <f aca="false">IF(OR($C52="",$D52="",$F52=0),0,IF(OR(W$5&lt;=Projects!$C$2,((YEAR(W$5)-YEAR($C52))*12+MONTH(W$5)-MONTH($C52)+1)&lt;1,((YEAR(W$5)-YEAR($C52))*12+MONTH(W$5)-MONTH($C52)+1)&gt;$D52),0,$E52*IF($G52,1,N(INDEX(Phasing!$I52:$AF52,((YEAR(W$5)-YEAR($C52))*12+MONTH(W$5)-MONTH($C52)+1))))/$F52))</f>
        <v>0</v>
      </c>
      <c r="X52" s="38" t="n">
        <f aca="false">IF(OR($C52="",$D52="",$F52=0),0,IF(OR(X$5&lt;=Projects!$C$2,((YEAR(X$5)-YEAR($C52))*12+MONTH(X$5)-MONTH($C52)+1)&lt;1,((YEAR(X$5)-YEAR($C52))*12+MONTH(X$5)-MONTH($C52)+1)&gt;$D52),0,$E52*IF($G52,1,N(INDEX(Phasing!$I52:$AF52,((YEAR(X$5)-YEAR($C52))*12+MONTH(X$5)-MONTH($C52)+1))))/$F52))</f>
        <v>0</v>
      </c>
      <c r="Y52" s="38" t="n">
        <f aca="false">IF(OR($C52="",$D52="",$F52=0),0,IF(OR(Y$5&lt;=Projects!$C$2,((YEAR(Y$5)-YEAR($C52))*12+MONTH(Y$5)-MONTH($C52)+1)&lt;1,((YEAR(Y$5)-YEAR($C52))*12+MONTH(Y$5)-MONTH($C52)+1)&gt;$D52),0,$E52*IF($G52,1,N(INDEX(Phasing!$I52:$AF52,((YEAR(Y$5)-YEAR($C52))*12+MONTH(Y$5)-MONTH($C52)+1))))/$F52))</f>
        <v>0</v>
      </c>
      <c r="Z52" s="38" t="n">
        <f aca="false">IF(OR($C52="",$D52="",$F52=0),0,IF(OR(Z$5&lt;=Projects!$C$2,((YEAR(Z$5)-YEAR($C52))*12+MONTH(Z$5)-MONTH($C52)+1)&lt;1,((YEAR(Z$5)-YEAR($C52))*12+MONTH(Z$5)-MONTH($C52)+1)&gt;$D52),0,$E52*IF($G52,1,N(INDEX(Phasing!$I52:$AF52,((YEAR(Z$5)-YEAR($C52))*12+MONTH(Z$5)-MONTH($C52)+1))))/$F52))</f>
        <v>0</v>
      </c>
      <c r="AA52" s="38" t="n">
        <f aca="false">IF(OR($C52="",$D52="",$F52=0),0,IF(OR(AA$5&lt;=Projects!$C$2,((YEAR(AA$5)-YEAR($C52))*12+MONTH(AA$5)-MONTH($C52)+1)&lt;1,((YEAR(AA$5)-YEAR($C52))*12+MONTH(AA$5)-MONTH($C52)+1)&gt;$D52),0,$E52*IF($G52,1,N(INDEX(Phasing!$I52:$AF52,((YEAR(AA$5)-YEAR($C52))*12+MONTH(AA$5)-MONTH($C52)+1))))/$F52))</f>
        <v>0</v>
      </c>
      <c r="AB52" s="38" t="n">
        <f aca="false">IF(OR($C52="",$D52="",$F52=0),0,IF(OR(AB$5&lt;=Projects!$C$2,((YEAR(AB$5)-YEAR($C52))*12+MONTH(AB$5)-MONTH($C52)+1)&lt;1,((YEAR(AB$5)-YEAR($C52))*12+MONTH(AB$5)-MONTH($C52)+1)&gt;$D52),0,$E52*IF($G52,1,N(INDEX(Phasing!$I52:$AF52,((YEAR(AB$5)-YEAR($C52))*12+MONTH(AB$5)-MONTH($C52)+1))))/$F52))</f>
        <v>0</v>
      </c>
      <c r="AC52" s="38" t="n">
        <f aca="false">IF(OR($C52="",$D52="",$F52=0),0,IF(OR(AC$5&lt;=Projects!$C$2,((YEAR(AC$5)-YEAR($C52))*12+MONTH(AC$5)-MONTH($C52)+1)&lt;1,((YEAR(AC$5)-YEAR($C52))*12+MONTH(AC$5)-MONTH($C52)+1)&gt;$D52),0,$E52*IF($G52,1,N(INDEX(Phasing!$I52:$AF52,((YEAR(AC$5)-YEAR($C52))*12+MONTH(AC$5)-MONTH($C52)+1))))/$F52))</f>
        <v>0</v>
      </c>
      <c r="AD52" s="38" t="n">
        <f aca="false">IF(OR($C52="",$D52="",$F52=0),0,IF(OR(AD$5&lt;=Projects!$C$2,((YEAR(AD$5)-YEAR($C52))*12+MONTH(AD$5)-MONTH($C52)+1)&lt;1,((YEAR(AD$5)-YEAR($C52))*12+MONTH(AD$5)-MONTH($C52)+1)&gt;$D52),0,$E52*IF($G52,1,N(INDEX(Phasing!$I52:$AF52,((YEAR(AD$5)-YEAR($C52))*12+MONTH(AD$5)-MONTH($C52)+1))))/$F52))</f>
        <v>0</v>
      </c>
      <c r="AE52" s="38" t="n">
        <f aca="false">IF(OR($C52="",$D52="",$F52=0),0,IF(OR(AE$5&lt;=Projects!$C$2,((YEAR(AE$5)-YEAR($C52))*12+MONTH(AE$5)-MONTH($C52)+1)&lt;1,((YEAR(AE$5)-YEAR($C52))*12+MONTH(AE$5)-MONTH($C52)+1)&gt;$D52),0,$E52*IF($G52,1,N(INDEX(Phasing!$I52:$AF52,((YEAR(AE$5)-YEAR($C52))*12+MONTH(AE$5)-MONTH($C52)+1))))/$F52))</f>
        <v>0</v>
      </c>
      <c r="AF52" s="38" t="n">
        <f aca="false">IF(OR($C52="",$D52="",$F52=0),0,IF(OR(AF$5&lt;=Projects!$C$2,((YEAR(AF$5)-YEAR($C52))*12+MONTH(AF$5)-MONTH($C52)+1)&lt;1,((YEAR(AF$5)-YEAR($C52))*12+MONTH(AF$5)-MONTH($C52)+1)&gt;$D52),0,$E52*IF($G52,1,N(INDEX(Phasing!$I52:$AF52,((YEAR(AF$5)-YEAR($C52))*12+MONTH(AF$5)-MONTH($C52)+1))))/$F52))</f>
        <v>0</v>
      </c>
      <c r="AG52" s="38" t="n">
        <f aca="false">IF(OR($C52="",$D52="",$F52=0),0,IF(OR(AG$5&lt;=Projects!$C$2,((YEAR(AG$5)-YEAR($C52))*12+MONTH(AG$5)-MONTH($C52)+1)&lt;1,((YEAR(AG$5)-YEAR($C52))*12+MONTH(AG$5)-MONTH($C52)+1)&gt;$D52),0,$E52*IF($G52,1,N(INDEX(Phasing!$I52:$AF52,((YEAR(AG$5)-YEAR($C52))*12+MONTH(AG$5)-MONTH($C52)+1))))/$F52))</f>
        <v>0</v>
      </c>
      <c r="AH52" s="38" t="n">
        <f aca="false">IF(OR($C52="",$D52="",$F52=0),0,IF(OR(AH$5&lt;=Projects!$C$2,((YEAR(AH$5)-YEAR($C52))*12+MONTH(AH$5)-MONTH($C52)+1)&lt;1,((YEAR(AH$5)-YEAR($C52))*12+MONTH(AH$5)-MONTH($C52)+1)&gt;$D52),0,$E52*IF($G52,1,N(INDEX(Phasing!$I52:$AF52,((YEAR(AH$5)-YEAR($C52))*12+MONTH(AH$5)-MONTH($C52)+1))))/$F52))</f>
        <v>0</v>
      </c>
      <c r="AI52" s="38" t="n">
        <f aca="false">IF(OR($C52="",$D52="",$F52=0),0,IF(OR(AI$5&lt;=Projects!$C$2,((YEAR(AI$5)-YEAR($C52))*12+MONTH(AI$5)-MONTH($C52)+1)&lt;1,((YEAR(AI$5)-YEAR($C52))*12+MONTH(AI$5)-MONTH($C52)+1)&gt;$D52),0,$E52*IF($G52,1,N(INDEX(Phasing!$I52:$AF52,((YEAR(AI$5)-YEAR($C52))*12+MONTH(AI$5)-MONTH($C52)+1))))/$F52))</f>
        <v>0</v>
      </c>
      <c r="AJ52" s="38" t="n">
        <f aca="false">IF(OR($C52="",$D52="",$F52=0),0,IF(OR(AJ$5&lt;=Projects!$C$2,((YEAR(AJ$5)-YEAR($C52))*12+MONTH(AJ$5)-MONTH($C52)+1)&lt;1,((YEAR(AJ$5)-YEAR($C52))*12+MONTH(AJ$5)-MONTH($C52)+1)&gt;$D52),0,$E52*IF($G52,1,N(INDEX(Phasing!$I52:$AF52,((YEAR(AJ$5)-YEAR($C52))*12+MONTH(AJ$5)-MONTH($C52)+1))))/$F52))</f>
        <v>0</v>
      </c>
      <c r="AK52" s="38" t="n">
        <f aca="false">IF(OR($C52="",$D52="",$F52=0),0,IF(OR(AK$5&lt;=Projects!$C$2,((YEAR(AK$5)-YEAR($C52))*12+MONTH(AK$5)-MONTH($C52)+1)&lt;1,((YEAR(AK$5)-YEAR($C52))*12+MONTH(AK$5)-MONTH($C52)+1)&gt;$D52),0,$E52*IF($G52,1,N(INDEX(Phasing!$I52:$AF52,((YEAR(AK$5)-YEAR($C52))*12+MONTH(AK$5)-MONTH($C52)+1))))/$F52))</f>
        <v>0</v>
      </c>
      <c r="AL52" s="38" t="n">
        <f aca="false">IF(OR($C52="",$D52="",$F52=0),0,IF(OR(AL$5&lt;=Projects!$C$2,((YEAR(AL$5)-YEAR($C52))*12+MONTH(AL$5)-MONTH($C52)+1)&lt;1,((YEAR(AL$5)-YEAR($C52))*12+MONTH(AL$5)-MONTH($C52)+1)&gt;$D52),0,$E52*IF($G52,1,N(INDEX(Phasing!$I52:$AF52,((YEAR(AL$5)-YEAR($C52))*12+MONTH(AL$5)-MONTH($C52)+1))))/$F52))</f>
        <v>0</v>
      </c>
      <c r="AM52" s="38" t="n">
        <f aca="false">IF(OR($C52="",$D52="",$F52=0),0,IF(OR(AM$5&lt;=Projects!$C$2,((YEAR(AM$5)-YEAR($C52))*12+MONTH(AM$5)-MONTH($C52)+1)&lt;1,((YEAR(AM$5)-YEAR($C52))*12+MONTH(AM$5)-MONTH($C52)+1)&gt;$D52),0,$E52*IF($G52,1,N(INDEX(Phasing!$I52:$AF52,((YEAR(AM$5)-YEAR($C52))*12+MONTH(AM$5)-MONTH($C52)+1))))/$F52))</f>
        <v>0</v>
      </c>
      <c r="AN52" s="38" t="n">
        <f aca="false">IF(OR($C52="",$D52="",$F52=0),0,IF(OR(AN$5&lt;=Projects!$C$2,((YEAR(AN$5)-YEAR($C52))*12+MONTH(AN$5)-MONTH($C52)+1)&lt;1,((YEAR(AN$5)-YEAR($C52))*12+MONTH(AN$5)-MONTH($C52)+1)&gt;$D52),0,$E52*IF($G52,1,N(INDEX(Phasing!$I52:$AF52,((YEAR(AN$5)-YEAR($C52))*12+MONTH(AN$5)-MONTH($C52)+1))))/$F52))</f>
        <v>0</v>
      </c>
      <c r="AO52" s="38" t="n">
        <f aca="false">IF(OR($C52="",$D52="",$F52=0),0,IF(OR(AO$5&lt;=Projects!$C$2,((YEAR(AO$5)-YEAR($C52))*12+MONTH(AO$5)-MONTH($C52)+1)&lt;1,((YEAR(AO$5)-YEAR($C52))*12+MONTH(AO$5)-MONTH($C52)+1)&gt;$D52),0,$E52*IF($G52,1,N(INDEX(Phasing!$I52:$AF52,((YEAR(AO$5)-YEAR($C52))*12+MONTH(AO$5)-MONTH($C52)+1))))/$F52))</f>
        <v>0</v>
      </c>
      <c r="AP52" s="38" t="n">
        <f aca="false">IF(OR($C52="",$D52="",$F52=0),0,IF(OR(AP$5&lt;=Projects!$C$2,((YEAR(AP$5)-YEAR($C52))*12+MONTH(AP$5)-MONTH($C52)+1)&lt;1,((YEAR(AP$5)-YEAR($C52))*12+MONTH(AP$5)-MONTH($C52)+1)&gt;$D52),0,$E52*IF($G52,1,N(INDEX(Phasing!$I52:$AF52,((YEAR(AP$5)-YEAR($C52))*12+MONTH(AP$5)-MONTH($C52)+1))))/$F52))</f>
        <v>0</v>
      </c>
      <c r="AQ52" s="38" t="n">
        <f aca="false">IF(OR($C52="",$D52="",$F52=0),0,IF(OR(AQ$5&lt;=Projects!$C$2,((YEAR(AQ$5)-YEAR($C52))*12+MONTH(AQ$5)-MONTH($C52)+1)&lt;1,((YEAR(AQ$5)-YEAR($C52))*12+MONTH(AQ$5)-MONTH($C52)+1)&gt;$D52),0,$E52*IF($G52,1,N(INDEX(Phasing!$I52:$AF52,((YEAR(AQ$5)-YEAR($C52))*12+MONTH(AQ$5)-MONTH($C52)+1))))/$F52))</f>
        <v>0</v>
      </c>
    </row>
    <row r="53" customFormat="false" ht="15" hidden="false" customHeight="false" outlineLevel="0" collapsed="false">
      <c r="A53" s="11" t="n">
        <v>48</v>
      </c>
      <c r="B53" s="21" t="str">
        <f aca="false">IF(Projects!B53="","",Projects!B53)</f>
        <v/>
      </c>
      <c r="C53" s="31" t="str">
        <f aca="false">IF(Projects!D53="","",Projects!D53)</f>
        <v/>
      </c>
      <c r="D53" s="21" t="str">
        <f aca="false">IF(Projects!E53="","",Projects!E53)</f>
        <v/>
      </c>
      <c r="E53" s="33" t="n">
        <f aca="false">IF(Projects!B53="",0,N(Projects!I53))</f>
        <v>0</v>
      </c>
      <c r="F53" s="21" t="n">
        <f aca="false">Phasing!G53</f>
        <v>0</v>
      </c>
      <c r="G53" s="48" t="b">
        <f aca="false">Phasing!D53=0</f>
        <v>1</v>
      </c>
      <c r="H53" s="38" t="n">
        <f aca="false">IF(OR($C53="",$D53="",$F53=0),0,IF(OR(H$5&lt;=Projects!$C$2,((YEAR(H$5)-YEAR($C53))*12+MONTH(H$5)-MONTH($C53)+1)&lt;1,((YEAR(H$5)-YEAR($C53))*12+MONTH(H$5)-MONTH($C53)+1)&gt;$D53),0,$E53*IF($G53,1,N(INDEX(Phasing!$I53:$AF53,((YEAR(H$5)-YEAR($C53))*12+MONTH(H$5)-MONTH($C53)+1))))/$F53))</f>
        <v>0</v>
      </c>
      <c r="I53" s="38" t="n">
        <f aca="false">IF(OR($C53="",$D53="",$F53=0),0,IF(OR(I$5&lt;=Projects!$C$2,((YEAR(I$5)-YEAR($C53))*12+MONTH(I$5)-MONTH($C53)+1)&lt;1,((YEAR(I$5)-YEAR($C53))*12+MONTH(I$5)-MONTH($C53)+1)&gt;$D53),0,$E53*IF($G53,1,N(INDEX(Phasing!$I53:$AF53,((YEAR(I$5)-YEAR($C53))*12+MONTH(I$5)-MONTH($C53)+1))))/$F53))</f>
        <v>0</v>
      </c>
      <c r="J53" s="38" t="n">
        <f aca="false">IF(OR($C53="",$D53="",$F53=0),0,IF(OR(J$5&lt;=Projects!$C$2,((YEAR(J$5)-YEAR($C53))*12+MONTH(J$5)-MONTH($C53)+1)&lt;1,((YEAR(J$5)-YEAR($C53))*12+MONTH(J$5)-MONTH($C53)+1)&gt;$D53),0,$E53*IF($G53,1,N(INDEX(Phasing!$I53:$AF53,((YEAR(J$5)-YEAR($C53))*12+MONTH(J$5)-MONTH($C53)+1))))/$F53))</f>
        <v>0</v>
      </c>
      <c r="K53" s="38" t="n">
        <f aca="false">IF(OR($C53="",$D53="",$F53=0),0,IF(OR(K$5&lt;=Projects!$C$2,((YEAR(K$5)-YEAR($C53))*12+MONTH(K$5)-MONTH($C53)+1)&lt;1,((YEAR(K$5)-YEAR($C53))*12+MONTH(K$5)-MONTH($C53)+1)&gt;$D53),0,$E53*IF($G53,1,N(INDEX(Phasing!$I53:$AF53,((YEAR(K$5)-YEAR($C53))*12+MONTH(K$5)-MONTH($C53)+1))))/$F53))</f>
        <v>0</v>
      </c>
      <c r="L53" s="38" t="n">
        <f aca="false">IF(OR($C53="",$D53="",$F53=0),0,IF(OR(L$5&lt;=Projects!$C$2,((YEAR(L$5)-YEAR($C53))*12+MONTH(L$5)-MONTH($C53)+1)&lt;1,((YEAR(L$5)-YEAR($C53))*12+MONTH(L$5)-MONTH($C53)+1)&gt;$D53),0,$E53*IF($G53,1,N(INDEX(Phasing!$I53:$AF53,((YEAR(L$5)-YEAR($C53))*12+MONTH(L$5)-MONTH($C53)+1))))/$F53))</f>
        <v>0</v>
      </c>
      <c r="M53" s="38" t="n">
        <f aca="false">IF(OR($C53="",$D53="",$F53=0),0,IF(OR(M$5&lt;=Projects!$C$2,((YEAR(M$5)-YEAR($C53))*12+MONTH(M$5)-MONTH($C53)+1)&lt;1,((YEAR(M$5)-YEAR($C53))*12+MONTH(M$5)-MONTH($C53)+1)&gt;$D53),0,$E53*IF($G53,1,N(INDEX(Phasing!$I53:$AF53,((YEAR(M$5)-YEAR($C53))*12+MONTH(M$5)-MONTH($C53)+1))))/$F53))</f>
        <v>0</v>
      </c>
      <c r="N53" s="38" t="n">
        <f aca="false">IF(OR($C53="",$D53="",$F53=0),0,IF(OR(N$5&lt;=Projects!$C$2,((YEAR(N$5)-YEAR($C53))*12+MONTH(N$5)-MONTH($C53)+1)&lt;1,((YEAR(N$5)-YEAR($C53))*12+MONTH(N$5)-MONTH($C53)+1)&gt;$D53),0,$E53*IF($G53,1,N(INDEX(Phasing!$I53:$AF53,((YEAR(N$5)-YEAR($C53))*12+MONTH(N$5)-MONTH($C53)+1))))/$F53))</f>
        <v>0</v>
      </c>
      <c r="O53" s="38" t="n">
        <f aca="false">IF(OR($C53="",$D53="",$F53=0),0,IF(OR(O$5&lt;=Projects!$C$2,((YEAR(O$5)-YEAR($C53))*12+MONTH(O$5)-MONTH($C53)+1)&lt;1,((YEAR(O$5)-YEAR($C53))*12+MONTH(O$5)-MONTH($C53)+1)&gt;$D53),0,$E53*IF($G53,1,N(INDEX(Phasing!$I53:$AF53,((YEAR(O$5)-YEAR($C53))*12+MONTH(O$5)-MONTH($C53)+1))))/$F53))</f>
        <v>0</v>
      </c>
      <c r="P53" s="38" t="n">
        <f aca="false">IF(OR($C53="",$D53="",$F53=0),0,IF(OR(P$5&lt;=Projects!$C$2,((YEAR(P$5)-YEAR($C53))*12+MONTH(P$5)-MONTH($C53)+1)&lt;1,((YEAR(P$5)-YEAR($C53))*12+MONTH(P$5)-MONTH($C53)+1)&gt;$D53),0,$E53*IF($G53,1,N(INDEX(Phasing!$I53:$AF53,((YEAR(P$5)-YEAR($C53))*12+MONTH(P$5)-MONTH($C53)+1))))/$F53))</f>
        <v>0</v>
      </c>
      <c r="Q53" s="38" t="n">
        <f aca="false">IF(OR($C53="",$D53="",$F53=0),0,IF(OR(Q$5&lt;=Projects!$C$2,((YEAR(Q$5)-YEAR($C53))*12+MONTH(Q$5)-MONTH($C53)+1)&lt;1,((YEAR(Q$5)-YEAR($C53))*12+MONTH(Q$5)-MONTH($C53)+1)&gt;$D53),0,$E53*IF($G53,1,N(INDEX(Phasing!$I53:$AF53,((YEAR(Q$5)-YEAR($C53))*12+MONTH(Q$5)-MONTH($C53)+1))))/$F53))</f>
        <v>0</v>
      </c>
      <c r="R53" s="38" t="n">
        <f aca="false">IF(OR($C53="",$D53="",$F53=0),0,IF(OR(R$5&lt;=Projects!$C$2,((YEAR(R$5)-YEAR($C53))*12+MONTH(R$5)-MONTH($C53)+1)&lt;1,((YEAR(R$5)-YEAR($C53))*12+MONTH(R$5)-MONTH($C53)+1)&gt;$D53),0,$E53*IF($G53,1,N(INDEX(Phasing!$I53:$AF53,((YEAR(R$5)-YEAR($C53))*12+MONTH(R$5)-MONTH($C53)+1))))/$F53))</f>
        <v>0</v>
      </c>
      <c r="S53" s="38" t="n">
        <f aca="false">IF(OR($C53="",$D53="",$F53=0),0,IF(OR(S$5&lt;=Projects!$C$2,((YEAR(S$5)-YEAR($C53))*12+MONTH(S$5)-MONTH($C53)+1)&lt;1,((YEAR(S$5)-YEAR($C53))*12+MONTH(S$5)-MONTH($C53)+1)&gt;$D53),0,$E53*IF($G53,1,N(INDEX(Phasing!$I53:$AF53,((YEAR(S$5)-YEAR($C53))*12+MONTH(S$5)-MONTH($C53)+1))))/$F53))</f>
        <v>0</v>
      </c>
      <c r="T53" s="38" t="n">
        <f aca="false">IF(OR($C53="",$D53="",$F53=0),0,IF(OR(T$5&lt;=Projects!$C$2,((YEAR(T$5)-YEAR($C53))*12+MONTH(T$5)-MONTH($C53)+1)&lt;1,((YEAR(T$5)-YEAR($C53))*12+MONTH(T$5)-MONTH($C53)+1)&gt;$D53),0,$E53*IF($G53,1,N(INDEX(Phasing!$I53:$AF53,((YEAR(T$5)-YEAR($C53))*12+MONTH(T$5)-MONTH($C53)+1))))/$F53))</f>
        <v>0</v>
      </c>
      <c r="U53" s="38" t="n">
        <f aca="false">IF(OR($C53="",$D53="",$F53=0),0,IF(OR(U$5&lt;=Projects!$C$2,((YEAR(U$5)-YEAR($C53))*12+MONTH(U$5)-MONTH($C53)+1)&lt;1,((YEAR(U$5)-YEAR($C53))*12+MONTH(U$5)-MONTH($C53)+1)&gt;$D53),0,$E53*IF($G53,1,N(INDEX(Phasing!$I53:$AF53,((YEAR(U$5)-YEAR($C53))*12+MONTH(U$5)-MONTH($C53)+1))))/$F53))</f>
        <v>0</v>
      </c>
      <c r="V53" s="38" t="n">
        <f aca="false">IF(OR($C53="",$D53="",$F53=0),0,IF(OR(V$5&lt;=Projects!$C$2,((YEAR(V$5)-YEAR($C53))*12+MONTH(V$5)-MONTH($C53)+1)&lt;1,((YEAR(V$5)-YEAR($C53))*12+MONTH(V$5)-MONTH($C53)+1)&gt;$D53),0,$E53*IF($G53,1,N(INDEX(Phasing!$I53:$AF53,((YEAR(V$5)-YEAR($C53))*12+MONTH(V$5)-MONTH($C53)+1))))/$F53))</f>
        <v>0</v>
      </c>
      <c r="W53" s="38" t="n">
        <f aca="false">IF(OR($C53="",$D53="",$F53=0),0,IF(OR(W$5&lt;=Projects!$C$2,((YEAR(W$5)-YEAR($C53))*12+MONTH(W$5)-MONTH($C53)+1)&lt;1,((YEAR(W$5)-YEAR($C53))*12+MONTH(W$5)-MONTH($C53)+1)&gt;$D53),0,$E53*IF($G53,1,N(INDEX(Phasing!$I53:$AF53,((YEAR(W$5)-YEAR($C53))*12+MONTH(W$5)-MONTH($C53)+1))))/$F53))</f>
        <v>0</v>
      </c>
      <c r="X53" s="38" t="n">
        <f aca="false">IF(OR($C53="",$D53="",$F53=0),0,IF(OR(X$5&lt;=Projects!$C$2,((YEAR(X$5)-YEAR($C53))*12+MONTH(X$5)-MONTH($C53)+1)&lt;1,((YEAR(X$5)-YEAR($C53))*12+MONTH(X$5)-MONTH($C53)+1)&gt;$D53),0,$E53*IF($G53,1,N(INDEX(Phasing!$I53:$AF53,((YEAR(X$5)-YEAR($C53))*12+MONTH(X$5)-MONTH($C53)+1))))/$F53))</f>
        <v>0</v>
      </c>
      <c r="Y53" s="38" t="n">
        <f aca="false">IF(OR($C53="",$D53="",$F53=0),0,IF(OR(Y$5&lt;=Projects!$C$2,((YEAR(Y$5)-YEAR($C53))*12+MONTH(Y$5)-MONTH($C53)+1)&lt;1,((YEAR(Y$5)-YEAR($C53))*12+MONTH(Y$5)-MONTH($C53)+1)&gt;$D53),0,$E53*IF($G53,1,N(INDEX(Phasing!$I53:$AF53,((YEAR(Y$5)-YEAR($C53))*12+MONTH(Y$5)-MONTH($C53)+1))))/$F53))</f>
        <v>0</v>
      </c>
      <c r="Z53" s="38" t="n">
        <f aca="false">IF(OR($C53="",$D53="",$F53=0),0,IF(OR(Z$5&lt;=Projects!$C$2,((YEAR(Z$5)-YEAR($C53))*12+MONTH(Z$5)-MONTH($C53)+1)&lt;1,((YEAR(Z$5)-YEAR($C53))*12+MONTH(Z$5)-MONTH($C53)+1)&gt;$D53),0,$E53*IF($G53,1,N(INDEX(Phasing!$I53:$AF53,((YEAR(Z$5)-YEAR($C53))*12+MONTH(Z$5)-MONTH($C53)+1))))/$F53))</f>
        <v>0</v>
      </c>
      <c r="AA53" s="38" t="n">
        <f aca="false">IF(OR($C53="",$D53="",$F53=0),0,IF(OR(AA$5&lt;=Projects!$C$2,((YEAR(AA$5)-YEAR($C53))*12+MONTH(AA$5)-MONTH($C53)+1)&lt;1,((YEAR(AA$5)-YEAR($C53))*12+MONTH(AA$5)-MONTH($C53)+1)&gt;$D53),0,$E53*IF($G53,1,N(INDEX(Phasing!$I53:$AF53,((YEAR(AA$5)-YEAR($C53))*12+MONTH(AA$5)-MONTH($C53)+1))))/$F53))</f>
        <v>0</v>
      </c>
      <c r="AB53" s="38" t="n">
        <f aca="false">IF(OR($C53="",$D53="",$F53=0),0,IF(OR(AB$5&lt;=Projects!$C$2,((YEAR(AB$5)-YEAR($C53))*12+MONTH(AB$5)-MONTH($C53)+1)&lt;1,((YEAR(AB$5)-YEAR($C53))*12+MONTH(AB$5)-MONTH($C53)+1)&gt;$D53),0,$E53*IF($G53,1,N(INDEX(Phasing!$I53:$AF53,((YEAR(AB$5)-YEAR($C53))*12+MONTH(AB$5)-MONTH($C53)+1))))/$F53))</f>
        <v>0</v>
      </c>
      <c r="AC53" s="38" t="n">
        <f aca="false">IF(OR($C53="",$D53="",$F53=0),0,IF(OR(AC$5&lt;=Projects!$C$2,((YEAR(AC$5)-YEAR($C53))*12+MONTH(AC$5)-MONTH($C53)+1)&lt;1,((YEAR(AC$5)-YEAR($C53))*12+MONTH(AC$5)-MONTH($C53)+1)&gt;$D53),0,$E53*IF($G53,1,N(INDEX(Phasing!$I53:$AF53,((YEAR(AC$5)-YEAR($C53))*12+MONTH(AC$5)-MONTH($C53)+1))))/$F53))</f>
        <v>0</v>
      </c>
      <c r="AD53" s="38" t="n">
        <f aca="false">IF(OR($C53="",$D53="",$F53=0),0,IF(OR(AD$5&lt;=Projects!$C$2,((YEAR(AD$5)-YEAR($C53))*12+MONTH(AD$5)-MONTH($C53)+1)&lt;1,((YEAR(AD$5)-YEAR($C53))*12+MONTH(AD$5)-MONTH($C53)+1)&gt;$D53),0,$E53*IF($G53,1,N(INDEX(Phasing!$I53:$AF53,((YEAR(AD$5)-YEAR($C53))*12+MONTH(AD$5)-MONTH($C53)+1))))/$F53))</f>
        <v>0</v>
      </c>
      <c r="AE53" s="38" t="n">
        <f aca="false">IF(OR($C53="",$D53="",$F53=0),0,IF(OR(AE$5&lt;=Projects!$C$2,((YEAR(AE$5)-YEAR($C53))*12+MONTH(AE$5)-MONTH($C53)+1)&lt;1,((YEAR(AE$5)-YEAR($C53))*12+MONTH(AE$5)-MONTH($C53)+1)&gt;$D53),0,$E53*IF($G53,1,N(INDEX(Phasing!$I53:$AF53,((YEAR(AE$5)-YEAR($C53))*12+MONTH(AE$5)-MONTH($C53)+1))))/$F53))</f>
        <v>0</v>
      </c>
      <c r="AF53" s="38" t="n">
        <f aca="false">IF(OR($C53="",$D53="",$F53=0),0,IF(OR(AF$5&lt;=Projects!$C$2,((YEAR(AF$5)-YEAR($C53))*12+MONTH(AF$5)-MONTH($C53)+1)&lt;1,((YEAR(AF$5)-YEAR($C53))*12+MONTH(AF$5)-MONTH($C53)+1)&gt;$D53),0,$E53*IF($G53,1,N(INDEX(Phasing!$I53:$AF53,((YEAR(AF$5)-YEAR($C53))*12+MONTH(AF$5)-MONTH($C53)+1))))/$F53))</f>
        <v>0</v>
      </c>
      <c r="AG53" s="38" t="n">
        <f aca="false">IF(OR($C53="",$D53="",$F53=0),0,IF(OR(AG$5&lt;=Projects!$C$2,((YEAR(AG$5)-YEAR($C53))*12+MONTH(AG$5)-MONTH($C53)+1)&lt;1,((YEAR(AG$5)-YEAR($C53))*12+MONTH(AG$5)-MONTH($C53)+1)&gt;$D53),0,$E53*IF($G53,1,N(INDEX(Phasing!$I53:$AF53,((YEAR(AG$5)-YEAR($C53))*12+MONTH(AG$5)-MONTH($C53)+1))))/$F53))</f>
        <v>0</v>
      </c>
      <c r="AH53" s="38" t="n">
        <f aca="false">IF(OR($C53="",$D53="",$F53=0),0,IF(OR(AH$5&lt;=Projects!$C$2,((YEAR(AH$5)-YEAR($C53))*12+MONTH(AH$5)-MONTH($C53)+1)&lt;1,((YEAR(AH$5)-YEAR($C53))*12+MONTH(AH$5)-MONTH($C53)+1)&gt;$D53),0,$E53*IF($G53,1,N(INDEX(Phasing!$I53:$AF53,((YEAR(AH$5)-YEAR($C53))*12+MONTH(AH$5)-MONTH($C53)+1))))/$F53))</f>
        <v>0</v>
      </c>
      <c r="AI53" s="38" t="n">
        <f aca="false">IF(OR($C53="",$D53="",$F53=0),0,IF(OR(AI$5&lt;=Projects!$C$2,((YEAR(AI$5)-YEAR($C53))*12+MONTH(AI$5)-MONTH($C53)+1)&lt;1,((YEAR(AI$5)-YEAR($C53))*12+MONTH(AI$5)-MONTH($C53)+1)&gt;$D53),0,$E53*IF($G53,1,N(INDEX(Phasing!$I53:$AF53,((YEAR(AI$5)-YEAR($C53))*12+MONTH(AI$5)-MONTH($C53)+1))))/$F53))</f>
        <v>0</v>
      </c>
      <c r="AJ53" s="38" t="n">
        <f aca="false">IF(OR($C53="",$D53="",$F53=0),0,IF(OR(AJ$5&lt;=Projects!$C$2,((YEAR(AJ$5)-YEAR($C53))*12+MONTH(AJ$5)-MONTH($C53)+1)&lt;1,((YEAR(AJ$5)-YEAR($C53))*12+MONTH(AJ$5)-MONTH($C53)+1)&gt;$D53),0,$E53*IF($G53,1,N(INDEX(Phasing!$I53:$AF53,((YEAR(AJ$5)-YEAR($C53))*12+MONTH(AJ$5)-MONTH($C53)+1))))/$F53))</f>
        <v>0</v>
      </c>
      <c r="AK53" s="38" t="n">
        <f aca="false">IF(OR($C53="",$D53="",$F53=0),0,IF(OR(AK$5&lt;=Projects!$C$2,((YEAR(AK$5)-YEAR($C53))*12+MONTH(AK$5)-MONTH($C53)+1)&lt;1,((YEAR(AK$5)-YEAR($C53))*12+MONTH(AK$5)-MONTH($C53)+1)&gt;$D53),0,$E53*IF($G53,1,N(INDEX(Phasing!$I53:$AF53,((YEAR(AK$5)-YEAR($C53))*12+MONTH(AK$5)-MONTH($C53)+1))))/$F53))</f>
        <v>0</v>
      </c>
      <c r="AL53" s="38" t="n">
        <f aca="false">IF(OR($C53="",$D53="",$F53=0),0,IF(OR(AL$5&lt;=Projects!$C$2,((YEAR(AL$5)-YEAR($C53))*12+MONTH(AL$5)-MONTH($C53)+1)&lt;1,((YEAR(AL$5)-YEAR($C53))*12+MONTH(AL$5)-MONTH($C53)+1)&gt;$D53),0,$E53*IF($G53,1,N(INDEX(Phasing!$I53:$AF53,((YEAR(AL$5)-YEAR($C53))*12+MONTH(AL$5)-MONTH($C53)+1))))/$F53))</f>
        <v>0</v>
      </c>
      <c r="AM53" s="38" t="n">
        <f aca="false">IF(OR($C53="",$D53="",$F53=0),0,IF(OR(AM$5&lt;=Projects!$C$2,((YEAR(AM$5)-YEAR($C53))*12+MONTH(AM$5)-MONTH($C53)+1)&lt;1,((YEAR(AM$5)-YEAR($C53))*12+MONTH(AM$5)-MONTH($C53)+1)&gt;$D53),0,$E53*IF($G53,1,N(INDEX(Phasing!$I53:$AF53,((YEAR(AM$5)-YEAR($C53))*12+MONTH(AM$5)-MONTH($C53)+1))))/$F53))</f>
        <v>0</v>
      </c>
      <c r="AN53" s="38" t="n">
        <f aca="false">IF(OR($C53="",$D53="",$F53=0),0,IF(OR(AN$5&lt;=Projects!$C$2,((YEAR(AN$5)-YEAR($C53))*12+MONTH(AN$5)-MONTH($C53)+1)&lt;1,((YEAR(AN$5)-YEAR($C53))*12+MONTH(AN$5)-MONTH($C53)+1)&gt;$D53),0,$E53*IF($G53,1,N(INDEX(Phasing!$I53:$AF53,((YEAR(AN$5)-YEAR($C53))*12+MONTH(AN$5)-MONTH($C53)+1))))/$F53))</f>
        <v>0</v>
      </c>
      <c r="AO53" s="38" t="n">
        <f aca="false">IF(OR($C53="",$D53="",$F53=0),0,IF(OR(AO$5&lt;=Projects!$C$2,((YEAR(AO$5)-YEAR($C53))*12+MONTH(AO$5)-MONTH($C53)+1)&lt;1,((YEAR(AO$5)-YEAR($C53))*12+MONTH(AO$5)-MONTH($C53)+1)&gt;$D53),0,$E53*IF($G53,1,N(INDEX(Phasing!$I53:$AF53,((YEAR(AO$5)-YEAR($C53))*12+MONTH(AO$5)-MONTH($C53)+1))))/$F53))</f>
        <v>0</v>
      </c>
      <c r="AP53" s="38" t="n">
        <f aca="false">IF(OR($C53="",$D53="",$F53=0),0,IF(OR(AP$5&lt;=Projects!$C$2,((YEAR(AP$5)-YEAR($C53))*12+MONTH(AP$5)-MONTH($C53)+1)&lt;1,((YEAR(AP$5)-YEAR($C53))*12+MONTH(AP$5)-MONTH($C53)+1)&gt;$D53),0,$E53*IF($G53,1,N(INDEX(Phasing!$I53:$AF53,((YEAR(AP$5)-YEAR($C53))*12+MONTH(AP$5)-MONTH($C53)+1))))/$F53))</f>
        <v>0</v>
      </c>
      <c r="AQ53" s="38" t="n">
        <f aca="false">IF(OR($C53="",$D53="",$F53=0),0,IF(OR(AQ$5&lt;=Projects!$C$2,((YEAR(AQ$5)-YEAR($C53))*12+MONTH(AQ$5)-MONTH($C53)+1)&lt;1,((YEAR(AQ$5)-YEAR($C53))*12+MONTH(AQ$5)-MONTH($C53)+1)&gt;$D53),0,$E53*IF($G53,1,N(INDEX(Phasing!$I53:$AF53,((YEAR(AQ$5)-YEAR($C53))*12+MONTH(AQ$5)-MONTH($C53)+1))))/$F53))</f>
        <v>0</v>
      </c>
    </row>
    <row r="54" customFormat="false" ht="15" hidden="false" customHeight="false" outlineLevel="0" collapsed="false">
      <c r="A54" s="11" t="n">
        <v>49</v>
      </c>
      <c r="B54" s="21" t="str">
        <f aca="false">IF(Projects!B54="","",Projects!B54)</f>
        <v/>
      </c>
      <c r="C54" s="31" t="str">
        <f aca="false">IF(Projects!D54="","",Projects!D54)</f>
        <v/>
      </c>
      <c r="D54" s="21" t="str">
        <f aca="false">IF(Projects!E54="","",Projects!E54)</f>
        <v/>
      </c>
      <c r="E54" s="33" t="n">
        <f aca="false">IF(Projects!B54="",0,N(Projects!I54))</f>
        <v>0</v>
      </c>
      <c r="F54" s="21" t="n">
        <f aca="false">Phasing!G54</f>
        <v>0</v>
      </c>
      <c r="G54" s="48" t="b">
        <f aca="false">Phasing!D54=0</f>
        <v>1</v>
      </c>
      <c r="H54" s="38" t="n">
        <f aca="false">IF(OR($C54="",$D54="",$F54=0),0,IF(OR(H$5&lt;=Projects!$C$2,((YEAR(H$5)-YEAR($C54))*12+MONTH(H$5)-MONTH($C54)+1)&lt;1,((YEAR(H$5)-YEAR($C54))*12+MONTH(H$5)-MONTH($C54)+1)&gt;$D54),0,$E54*IF($G54,1,N(INDEX(Phasing!$I54:$AF54,((YEAR(H$5)-YEAR($C54))*12+MONTH(H$5)-MONTH($C54)+1))))/$F54))</f>
        <v>0</v>
      </c>
      <c r="I54" s="38" t="n">
        <f aca="false">IF(OR($C54="",$D54="",$F54=0),0,IF(OR(I$5&lt;=Projects!$C$2,((YEAR(I$5)-YEAR($C54))*12+MONTH(I$5)-MONTH($C54)+1)&lt;1,((YEAR(I$5)-YEAR($C54))*12+MONTH(I$5)-MONTH($C54)+1)&gt;$D54),0,$E54*IF($G54,1,N(INDEX(Phasing!$I54:$AF54,((YEAR(I$5)-YEAR($C54))*12+MONTH(I$5)-MONTH($C54)+1))))/$F54))</f>
        <v>0</v>
      </c>
      <c r="J54" s="38" t="n">
        <f aca="false">IF(OR($C54="",$D54="",$F54=0),0,IF(OR(J$5&lt;=Projects!$C$2,((YEAR(J$5)-YEAR($C54))*12+MONTH(J$5)-MONTH($C54)+1)&lt;1,((YEAR(J$5)-YEAR($C54))*12+MONTH(J$5)-MONTH($C54)+1)&gt;$D54),0,$E54*IF($G54,1,N(INDEX(Phasing!$I54:$AF54,((YEAR(J$5)-YEAR($C54))*12+MONTH(J$5)-MONTH($C54)+1))))/$F54))</f>
        <v>0</v>
      </c>
      <c r="K54" s="38" t="n">
        <f aca="false">IF(OR($C54="",$D54="",$F54=0),0,IF(OR(K$5&lt;=Projects!$C$2,((YEAR(K$5)-YEAR($C54))*12+MONTH(K$5)-MONTH($C54)+1)&lt;1,((YEAR(K$5)-YEAR($C54))*12+MONTH(K$5)-MONTH($C54)+1)&gt;$D54),0,$E54*IF($G54,1,N(INDEX(Phasing!$I54:$AF54,((YEAR(K$5)-YEAR($C54))*12+MONTH(K$5)-MONTH($C54)+1))))/$F54))</f>
        <v>0</v>
      </c>
      <c r="L54" s="38" t="n">
        <f aca="false">IF(OR($C54="",$D54="",$F54=0),0,IF(OR(L$5&lt;=Projects!$C$2,((YEAR(L$5)-YEAR($C54))*12+MONTH(L$5)-MONTH($C54)+1)&lt;1,((YEAR(L$5)-YEAR($C54))*12+MONTH(L$5)-MONTH($C54)+1)&gt;$D54),0,$E54*IF($G54,1,N(INDEX(Phasing!$I54:$AF54,((YEAR(L$5)-YEAR($C54))*12+MONTH(L$5)-MONTH($C54)+1))))/$F54))</f>
        <v>0</v>
      </c>
      <c r="M54" s="38" t="n">
        <f aca="false">IF(OR($C54="",$D54="",$F54=0),0,IF(OR(M$5&lt;=Projects!$C$2,((YEAR(M$5)-YEAR($C54))*12+MONTH(M$5)-MONTH($C54)+1)&lt;1,((YEAR(M$5)-YEAR($C54))*12+MONTH(M$5)-MONTH($C54)+1)&gt;$D54),0,$E54*IF($G54,1,N(INDEX(Phasing!$I54:$AF54,((YEAR(M$5)-YEAR($C54))*12+MONTH(M$5)-MONTH($C54)+1))))/$F54))</f>
        <v>0</v>
      </c>
      <c r="N54" s="38" t="n">
        <f aca="false">IF(OR($C54="",$D54="",$F54=0),0,IF(OR(N$5&lt;=Projects!$C$2,((YEAR(N$5)-YEAR($C54))*12+MONTH(N$5)-MONTH($C54)+1)&lt;1,((YEAR(N$5)-YEAR($C54))*12+MONTH(N$5)-MONTH($C54)+1)&gt;$D54),0,$E54*IF($G54,1,N(INDEX(Phasing!$I54:$AF54,((YEAR(N$5)-YEAR($C54))*12+MONTH(N$5)-MONTH($C54)+1))))/$F54))</f>
        <v>0</v>
      </c>
      <c r="O54" s="38" t="n">
        <f aca="false">IF(OR($C54="",$D54="",$F54=0),0,IF(OR(O$5&lt;=Projects!$C$2,((YEAR(O$5)-YEAR($C54))*12+MONTH(O$5)-MONTH($C54)+1)&lt;1,((YEAR(O$5)-YEAR($C54))*12+MONTH(O$5)-MONTH($C54)+1)&gt;$D54),0,$E54*IF($G54,1,N(INDEX(Phasing!$I54:$AF54,((YEAR(O$5)-YEAR($C54))*12+MONTH(O$5)-MONTH($C54)+1))))/$F54))</f>
        <v>0</v>
      </c>
      <c r="P54" s="38" t="n">
        <f aca="false">IF(OR($C54="",$D54="",$F54=0),0,IF(OR(P$5&lt;=Projects!$C$2,((YEAR(P$5)-YEAR($C54))*12+MONTH(P$5)-MONTH($C54)+1)&lt;1,((YEAR(P$5)-YEAR($C54))*12+MONTH(P$5)-MONTH($C54)+1)&gt;$D54),0,$E54*IF($G54,1,N(INDEX(Phasing!$I54:$AF54,((YEAR(P$5)-YEAR($C54))*12+MONTH(P$5)-MONTH($C54)+1))))/$F54))</f>
        <v>0</v>
      </c>
      <c r="Q54" s="38" t="n">
        <f aca="false">IF(OR($C54="",$D54="",$F54=0),0,IF(OR(Q$5&lt;=Projects!$C$2,((YEAR(Q$5)-YEAR($C54))*12+MONTH(Q$5)-MONTH($C54)+1)&lt;1,((YEAR(Q$5)-YEAR($C54))*12+MONTH(Q$5)-MONTH($C54)+1)&gt;$D54),0,$E54*IF($G54,1,N(INDEX(Phasing!$I54:$AF54,((YEAR(Q$5)-YEAR($C54))*12+MONTH(Q$5)-MONTH($C54)+1))))/$F54))</f>
        <v>0</v>
      </c>
      <c r="R54" s="38" t="n">
        <f aca="false">IF(OR($C54="",$D54="",$F54=0),0,IF(OR(R$5&lt;=Projects!$C$2,((YEAR(R$5)-YEAR($C54))*12+MONTH(R$5)-MONTH($C54)+1)&lt;1,((YEAR(R$5)-YEAR($C54))*12+MONTH(R$5)-MONTH($C54)+1)&gt;$D54),0,$E54*IF($G54,1,N(INDEX(Phasing!$I54:$AF54,((YEAR(R$5)-YEAR($C54))*12+MONTH(R$5)-MONTH($C54)+1))))/$F54))</f>
        <v>0</v>
      </c>
      <c r="S54" s="38" t="n">
        <f aca="false">IF(OR($C54="",$D54="",$F54=0),0,IF(OR(S$5&lt;=Projects!$C$2,((YEAR(S$5)-YEAR($C54))*12+MONTH(S$5)-MONTH($C54)+1)&lt;1,((YEAR(S$5)-YEAR($C54))*12+MONTH(S$5)-MONTH($C54)+1)&gt;$D54),0,$E54*IF($G54,1,N(INDEX(Phasing!$I54:$AF54,((YEAR(S$5)-YEAR($C54))*12+MONTH(S$5)-MONTH($C54)+1))))/$F54))</f>
        <v>0</v>
      </c>
      <c r="T54" s="38" t="n">
        <f aca="false">IF(OR($C54="",$D54="",$F54=0),0,IF(OR(T$5&lt;=Projects!$C$2,((YEAR(T$5)-YEAR($C54))*12+MONTH(T$5)-MONTH($C54)+1)&lt;1,((YEAR(T$5)-YEAR($C54))*12+MONTH(T$5)-MONTH($C54)+1)&gt;$D54),0,$E54*IF($G54,1,N(INDEX(Phasing!$I54:$AF54,((YEAR(T$5)-YEAR($C54))*12+MONTH(T$5)-MONTH($C54)+1))))/$F54))</f>
        <v>0</v>
      </c>
      <c r="U54" s="38" t="n">
        <f aca="false">IF(OR($C54="",$D54="",$F54=0),0,IF(OR(U$5&lt;=Projects!$C$2,((YEAR(U$5)-YEAR($C54))*12+MONTH(U$5)-MONTH($C54)+1)&lt;1,((YEAR(U$5)-YEAR($C54))*12+MONTH(U$5)-MONTH($C54)+1)&gt;$D54),0,$E54*IF($G54,1,N(INDEX(Phasing!$I54:$AF54,((YEAR(U$5)-YEAR($C54))*12+MONTH(U$5)-MONTH($C54)+1))))/$F54))</f>
        <v>0</v>
      </c>
      <c r="V54" s="38" t="n">
        <f aca="false">IF(OR($C54="",$D54="",$F54=0),0,IF(OR(V$5&lt;=Projects!$C$2,((YEAR(V$5)-YEAR($C54))*12+MONTH(V$5)-MONTH($C54)+1)&lt;1,((YEAR(V$5)-YEAR($C54))*12+MONTH(V$5)-MONTH($C54)+1)&gt;$D54),0,$E54*IF($G54,1,N(INDEX(Phasing!$I54:$AF54,((YEAR(V$5)-YEAR($C54))*12+MONTH(V$5)-MONTH($C54)+1))))/$F54))</f>
        <v>0</v>
      </c>
      <c r="W54" s="38" t="n">
        <f aca="false">IF(OR($C54="",$D54="",$F54=0),0,IF(OR(W$5&lt;=Projects!$C$2,((YEAR(W$5)-YEAR($C54))*12+MONTH(W$5)-MONTH($C54)+1)&lt;1,((YEAR(W$5)-YEAR($C54))*12+MONTH(W$5)-MONTH($C54)+1)&gt;$D54),0,$E54*IF($G54,1,N(INDEX(Phasing!$I54:$AF54,((YEAR(W$5)-YEAR($C54))*12+MONTH(W$5)-MONTH($C54)+1))))/$F54))</f>
        <v>0</v>
      </c>
      <c r="X54" s="38" t="n">
        <f aca="false">IF(OR($C54="",$D54="",$F54=0),0,IF(OR(X$5&lt;=Projects!$C$2,((YEAR(X$5)-YEAR($C54))*12+MONTH(X$5)-MONTH($C54)+1)&lt;1,((YEAR(X$5)-YEAR($C54))*12+MONTH(X$5)-MONTH($C54)+1)&gt;$D54),0,$E54*IF($G54,1,N(INDEX(Phasing!$I54:$AF54,((YEAR(X$5)-YEAR($C54))*12+MONTH(X$5)-MONTH($C54)+1))))/$F54))</f>
        <v>0</v>
      </c>
      <c r="Y54" s="38" t="n">
        <f aca="false">IF(OR($C54="",$D54="",$F54=0),0,IF(OR(Y$5&lt;=Projects!$C$2,((YEAR(Y$5)-YEAR($C54))*12+MONTH(Y$5)-MONTH($C54)+1)&lt;1,((YEAR(Y$5)-YEAR($C54))*12+MONTH(Y$5)-MONTH($C54)+1)&gt;$D54),0,$E54*IF($G54,1,N(INDEX(Phasing!$I54:$AF54,((YEAR(Y$5)-YEAR($C54))*12+MONTH(Y$5)-MONTH($C54)+1))))/$F54))</f>
        <v>0</v>
      </c>
      <c r="Z54" s="38" t="n">
        <f aca="false">IF(OR($C54="",$D54="",$F54=0),0,IF(OR(Z$5&lt;=Projects!$C$2,((YEAR(Z$5)-YEAR($C54))*12+MONTH(Z$5)-MONTH($C54)+1)&lt;1,((YEAR(Z$5)-YEAR($C54))*12+MONTH(Z$5)-MONTH($C54)+1)&gt;$D54),0,$E54*IF($G54,1,N(INDEX(Phasing!$I54:$AF54,((YEAR(Z$5)-YEAR($C54))*12+MONTH(Z$5)-MONTH($C54)+1))))/$F54))</f>
        <v>0</v>
      </c>
      <c r="AA54" s="38" t="n">
        <f aca="false">IF(OR($C54="",$D54="",$F54=0),0,IF(OR(AA$5&lt;=Projects!$C$2,((YEAR(AA$5)-YEAR($C54))*12+MONTH(AA$5)-MONTH($C54)+1)&lt;1,((YEAR(AA$5)-YEAR($C54))*12+MONTH(AA$5)-MONTH($C54)+1)&gt;$D54),0,$E54*IF($G54,1,N(INDEX(Phasing!$I54:$AF54,((YEAR(AA$5)-YEAR($C54))*12+MONTH(AA$5)-MONTH($C54)+1))))/$F54))</f>
        <v>0</v>
      </c>
      <c r="AB54" s="38" t="n">
        <f aca="false">IF(OR($C54="",$D54="",$F54=0),0,IF(OR(AB$5&lt;=Projects!$C$2,((YEAR(AB$5)-YEAR($C54))*12+MONTH(AB$5)-MONTH($C54)+1)&lt;1,((YEAR(AB$5)-YEAR($C54))*12+MONTH(AB$5)-MONTH($C54)+1)&gt;$D54),0,$E54*IF($G54,1,N(INDEX(Phasing!$I54:$AF54,((YEAR(AB$5)-YEAR($C54))*12+MONTH(AB$5)-MONTH($C54)+1))))/$F54))</f>
        <v>0</v>
      </c>
      <c r="AC54" s="38" t="n">
        <f aca="false">IF(OR($C54="",$D54="",$F54=0),0,IF(OR(AC$5&lt;=Projects!$C$2,((YEAR(AC$5)-YEAR($C54))*12+MONTH(AC$5)-MONTH($C54)+1)&lt;1,((YEAR(AC$5)-YEAR($C54))*12+MONTH(AC$5)-MONTH($C54)+1)&gt;$D54),0,$E54*IF($G54,1,N(INDEX(Phasing!$I54:$AF54,((YEAR(AC$5)-YEAR($C54))*12+MONTH(AC$5)-MONTH($C54)+1))))/$F54))</f>
        <v>0</v>
      </c>
      <c r="AD54" s="38" t="n">
        <f aca="false">IF(OR($C54="",$D54="",$F54=0),0,IF(OR(AD$5&lt;=Projects!$C$2,((YEAR(AD$5)-YEAR($C54))*12+MONTH(AD$5)-MONTH($C54)+1)&lt;1,((YEAR(AD$5)-YEAR($C54))*12+MONTH(AD$5)-MONTH($C54)+1)&gt;$D54),0,$E54*IF($G54,1,N(INDEX(Phasing!$I54:$AF54,((YEAR(AD$5)-YEAR($C54))*12+MONTH(AD$5)-MONTH($C54)+1))))/$F54))</f>
        <v>0</v>
      </c>
      <c r="AE54" s="38" t="n">
        <f aca="false">IF(OR($C54="",$D54="",$F54=0),0,IF(OR(AE$5&lt;=Projects!$C$2,((YEAR(AE$5)-YEAR($C54))*12+MONTH(AE$5)-MONTH($C54)+1)&lt;1,((YEAR(AE$5)-YEAR($C54))*12+MONTH(AE$5)-MONTH($C54)+1)&gt;$D54),0,$E54*IF($G54,1,N(INDEX(Phasing!$I54:$AF54,((YEAR(AE$5)-YEAR($C54))*12+MONTH(AE$5)-MONTH($C54)+1))))/$F54))</f>
        <v>0</v>
      </c>
      <c r="AF54" s="38" t="n">
        <f aca="false">IF(OR($C54="",$D54="",$F54=0),0,IF(OR(AF$5&lt;=Projects!$C$2,((YEAR(AF$5)-YEAR($C54))*12+MONTH(AF$5)-MONTH($C54)+1)&lt;1,((YEAR(AF$5)-YEAR($C54))*12+MONTH(AF$5)-MONTH($C54)+1)&gt;$D54),0,$E54*IF($G54,1,N(INDEX(Phasing!$I54:$AF54,((YEAR(AF$5)-YEAR($C54))*12+MONTH(AF$5)-MONTH($C54)+1))))/$F54))</f>
        <v>0</v>
      </c>
      <c r="AG54" s="38" t="n">
        <f aca="false">IF(OR($C54="",$D54="",$F54=0),0,IF(OR(AG$5&lt;=Projects!$C$2,((YEAR(AG$5)-YEAR($C54))*12+MONTH(AG$5)-MONTH($C54)+1)&lt;1,((YEAR(AG$5)-YEAR($C54))*12+MONTH(AG$5)-MONTH($C54)+1)&gt;$D54),0,$E54*IF($G54,1,N(INDEX(Phasing!$I54:$AF54,((YEAR(AG$5)-YEAR($C54))*12+MONTH(AG$5)-MONTH($C54)+1))))/$F54))</f>
        <v>0</v>
      </c>
      <c r="AH54" s="38" t="n">
        <f aca="false">IF(OR($C54="",$D54="",$F54=0),0,IF(OR(AH$5&lt;=Projects!$C$2,((YEAR(AH$5)-YEAR($C54))*12+MONTH(AH$5)-MONTH($C54)+1)&lt;1,((YEAR(AH$5)-YEAR($C54))*12+MONTH(AH$5)-MONTH($C54)+1)&gt;$D54),0,$E54*IF($G54,1,N(INDEX(Phasing!$I54:$AF54,((YEAR(AH$5)-YEAR($C54))*12+MONTH(AH$5)-MONTH($C54)+1))))/$F54))</f>
        <v>0</v>
      </c>
      <c r="AI54" s="38" t="n">
        <f aca="false">IF(OR($C54="",$D54="",$F54=0),0,IF(OR(AI$5&lt;=Projects!$C$2,((YEAR(AI$5)-YEAR($C54))*12+MONTH(AI$5)-MONTH($C54)+1)&lt;1,((YEAR(AI$5)-YEAR($C54))*12+MONTH(AI$5)-MONTH($C54)+1)&gt;$D54),0,$E54*IF($G54,1,N(INDEX(Phasing!$I54:$AF54,((YEAR(AI$5)-YEAR($C54))*12+MONTH(AI$5)-MONTH($C54)+1))))/$F54))</f>
        <v>0</v>
      </c>
      <c r="AJ54" s="38" t="n">
        <f aca="false">IF(OR($C54="",$D54="",$F54=0),0,IF(OR(AJ$5&lt;=Projects!$C$2,((YEAR(AJ$5)-YEAR($C54))*12+MONTH(AJ$5)-MONTH($C54)+1)&lt;1,((YEAR(AJ$5)-YEAR($C54))*12+MONTH(AJ$5)-MONTH($C54)+1)&gt;$D54),0,$E54*IF($G54,1,N(INDEX(Phasing!$I54:$AF54,((YEAR(AJ$5)-YEAR($C54))*12+MONTH(AJ$5)-MONTH($C54)+1))))/$F54))</f>
        <v>0</v>
      </c>
      <c r="AK54" s="38" t="n">
        <f aca="false">IF(OR($C54="",$D54="",$F54=0),0,IF(OR(AK$5&lt;=Projects!$C$2,((YEAR(AK$5)-YEAR($C54))*12+MONTH(AK$5)-MONTH($C54)+1)&lt;1,((YEAR(AK$5)-YEAR($C54))*12+MONTH(AK$5)-MONTH($C54)+1)&gt;$D54),0,$E54*IF($G54,1,N(INDEX(Phasing!$I54:$AF54,((YEAR(AK$5)-YEAR($C54))*12+MONTH(AK$5)-MONTH($C54)+1))))/$F54))</f>
        <v>0</v>
      </c>
      <c r="AL54" s="38" t="n">
        <f aca="false">IF(OR($C54="",$D54="",$F54=0),0,IF(OR(AL$5&lt;=Projects!$C$2,((YEAR(AL$5)-YEAR($C54))*12+MONTH(AL$5)-MONTH($C54)+1)&lt;1,((YEAR(AL$5)-YEAR($C54))*12+MONTH(AL$5)-MONTH($C54)+1)&gt;$D54),0,$E54*IF($G54,1,N(INDEX(Phasing!$I54:$AF54,((YEAR(AL$5)-YEAR($C54))*12+MONTH(AL$5)-MONTH($C54)+1))))/$F54))</f>
        <v>0</v>
      </c>
      <c r="AM54" s="38" t="n">
        <f aca="false">IF(OR($C54="",$D54="",$F54=0),0,IF(OR(AM$5&lt;=Projects!$C$2,((YEAR(AM$5)-YEAR($C54))*12+MONTH(AM$5)-MONTH($C54)+1)&lt;1,((YEAR(AM$5)-YEAR($C54))*12+MONTH(AM$5)-MONTH($C54)+1)&gt;$D54),0,$E54*IF($G54,1,N(INDEX(Phasing!$I54:$AF54,((YEAR(AM$5)-YEAR($C54))*12+MONTH(AM$5)-MONTH($C54)+1))))/$F54))</f>
        <v>0</v>
      </c>
      <c r="AN54" s="38" t="n">
        <f aca="false">IF(OR($C54="",$D54="",$F54=0),0,IF(OR(AN$5&lt;=Projects!$C$2,((YEAR(AN$5)-YEAR($C54))*12+MONTH(AN$5)-MONTH($C54)+1)&lt;1,((YEAR(AN$5)-YEAR($C54))*12+MONTH(AN$5)-MONTH($C54)+1)&gt;$D54),0,$E54*IF($G54,1,N(INDEX(Phasing!$I54:$AF54,((YEAR(AN$5)-YEAR($C54))*12+MONTH(AN$5)-MONTH($C54)+1))))/$F54))</f>
        <v>0</v>
      </c>
      <c r="AO54" s="38" t="n">
        <f aca="false">IF(OR($C54="",$D54="",$F54=0),0,IF(OR(AO$5&lt;=Projects!$C$2,((YEAR(AO$5)-YEAR($C54))*12+MONTH(AO$5)-MONTH($C54)+1)&lt;1,((YEAR(AO$5)-YEAR($C54))*12+MONTH(AO$5)-MONTH($C54)+1)&gt;$D54),0,$E54*IF($G54,1,N(INDEX(Phasing!$I54:$AF54,((YEAR(AO$5)-YEAR($C54))*12+MONTH(AO$5)-MONTH($C54)+1))))/$F54))</f>
        <v>0</v>
      </c>
      <c r="AP54" s="38" t="n">
        <f aca="false">IF(OR($C54="",$D54="",$F54=0),0,IF(OR(AP$5&lt;=Projects!$C$2,((YEAR(AP$5)-YEAR($C54))*12+MONTH(AP$5)-MONTH($C54)+1)&lt;1,((YEAR(AP$5)-YEAR($C54))*12+MONTH(AP$5)-MONTH($C54)+1)&gt;$D54),0,$E54*IF($G54,1,N(INDEX(Phasing!$I54:$AF54,((YEAR(AP$5)-YEAR($C54))*12+MONTH(AP$5)-MONTH($C54)+1))))/$F54))</f>
        <v>0</v>
      </c>
      <c r="AQ54" s="38" t="n">
        <f aca="false">IF(OR($C54="",$D54="",$F54=0),0,IF(OR(AQ$5&lt;=Projects!$C$2,((YEAR(AQ$5)-YEAR($C54))*12+MONTH(AQ$5)-MONTH($C54)+1)&lt;1,((YEAR(AQ$5)-YEAR($C54))*12+MONTH(AQ$5)-MONTH($C54)+1)&gt;$D54),0,$E54*IF($G54,1,N(INDEX(Phasing!$I54:$AF54,((YEAR(AQ$5)-YEAR($C54))*12+MONTH(AQ$5)-MONTH($C54)+1))))/$F54))</f>
        <v>0</v>
      </c>
    </row>
    <row r="55" customFormat="false" ht="15" hidden="false" customHeight="false" outlineLevel="0" collapsed="false">
      <c r="A55" s="11" t="n">
        <v>50</v>
      </c>
      <c r="B55" s="21" t="str">
        <f aca="false">IF(Projects!B55="","",Projects!B55)</f>
        <v/>
      </c>
      <c r="C55" s="31" t="str">
        <f aca="false">IF(Projects!D55="","",Projects!D55)</f>
        <v/>
      </c>
      <c r="D55" s="21" t="str">
        <f aca="false">IF(Projects!E55="","",Projects!E55)</f>
        <v/>
      </c>
      <c r="E55" s="33" t="n">
        <f aca="false">IF(Projects!B55="",0,N(Projects!I55))</f>
        <v>0</v>
      </c>
      <c r="F55" s="21" t="n">
        <f aca="false">Phasing!G55</f>
        <v>0</v>
      </c>
      <c r="G55" s="48" t="b">
        <f aca="false">Phasing!D55=0</f>
        <v>1</v>
      </c>
      <c r="H55" s="38" t="n">
        <f aca="false">IF(OR($C55="",$D55="",$F55=0),0,IF(OR(H$5&lt;=Projects!$C$2,((YEAR(H$5)-YEAR($C55))*12+MONTH(H$5)-MONTH($C55)+1)&lt;1,((YEAR(H$5)-YEAR($C55))*12+MONTH(H$5)-MONTH($C55)+1)&gt;$D55),0,$E55*IF($G55,1,N(INDEX(Phasing!$I55:$AF55,((YEAR(H$5)-YEAR($C55))*12+MONTH(H$5)-MONTH($C55)+1))))/$F55))</f>
        <v>0</v>
      </c>
      <c r="I55" s="38" t="n">
        <f aca="false">IF(OR($C55="",$D55="",$F55=0),0,IF(OR(I$5&lt;=Projects!$C$2,((YEAR(I$5)-YEAR($C55))*12+MONTH(I$5)-MONTH($C55)+1)&lt;1,((YEAR(I$5)-YEAR($C55))*12+MONTH(I$5)-MONTH($C55)+1)&gt;$D55),0,$E55*IF($G55,1,N(INDEX(Phasing!$I55:$AF55,((YEAR(I$5)-YEAR($C55))*12+MONTH(I$5)-MONTH($C55)+1))))/$F55))</f>
        <v>0</v>
      </c>
      <c r="J55" s="38" t="n">
        <f aca="false">IF(OR($C55="",$D55="",$F55=0),0,IF(OR(J$5&lt;=Projects!$C$2,((YEAR(J$5)-YEAR($C55))*12+MONTH(J$5)-MONTH($C55)+1)&lt;1,((YEAR(J$5)-YEAR($C55))*12+MONTH(J$5)-MONTH($C55)+1)&gt;$D55),0,$E55*IF($G55,1,N(INDEX(Phasing!$I55:$AF55,((YEAR(J$5)-YEAR($C55))*12+MONTH(J$5)-MONTH($C55)+1))))/$F55))</f>
        <v>0</v>
      </c>
      <c r="K55" s="38" t="n">
        <f aca="false">IF(OR($C55="",$D55="",$F55=0),0,IF(OR(K$5&lt;=Projects!$C$2,((YEAR(K$5)-YEAR($C55))*12+MONTH(K$5)-MONTH($C55)+1)&lt;1,((YEAR(K$5)-YEAR($C55))*12+MONTH(K$5)-MONTH($C55)+1)&gt;$D55),0,$E55*IF($G55,1,N(INDEX(Phasing!$I55:$AF55,((YEAR(K$5)-YEAR($C55))*12+MONTH(K$5)-MONTH($C55)+1))))/$F55))</f>
        <v>0</v>
      </c>
      <c r="L55" s="38" t="n">
        <f aca="false">IF(OR($C55="",$D55="",$F55=0),0,IF(OR(L$5&lt;=Projects!$C$2,((YEAR(L$5)-YEAR($C55))*12+MONTH(L$5)-MONTH($C55)+1)&lt;1,((YEAR(L$5)-YEAR($C55))*12+MONTH(L$5)-MONTH($C55)+1)&gt;$D55),0,$E55*IF($G55,1,N(INDEX(Phasing!$I55:$AF55,((YEAR(L$5)-YEAR($C55))*12+MONTH(L$5)-MONTH($C55)+1))))/$F55))</f>
        <v>0</v>
      </c>
      <c r="M55" s="38" t="n">
        <f aca="false">IF(OR($C55="",$D55="",$F55=0),0,IF(OR(M$5&lt;=Projects!$C$2,((YEAR(M$5)-YEAR($C55))*12+MONTH(M$5)-MONTH($C55)+1)&lt;1,((YEAR(M$5)-YEAR($C55))*12+MONTH(M$5)-MONTH($C55)+1)&gt;$D55),0,$E55*IF($G55,1,N(INDEX(Phasing!$I55:$AF55,((YEAR(M$5)-YEAR($C55))*12+MONTH(M$5)-MONTH($C55)+1))))/$F55))</f>
        <v>0</v>
      </c>
      <c r="N55" s="38" t="n">
        <f aca="false">IF(OR($C55="",$D55="",$F55=0),0,IF(OR(N$5&lt;=Projects!$C$2,((YEAR(N$5)-YEAR($C55))*12+MONTH(N$5)-MONTH($C55)+1)&lt;1,((YEAR(N$5)-YEAR($C55))*12+MONTH(N$5)-MONTH($C55)+1)&gt;$D55),0,$E55*IF($G55,1,N(INDEX(Phasing!$I55:$AF55,((YEAR(N$5)-YEAR($C55))*12+MONTH(N$5)-MONTH($C55)+1))))/$F55))</f>
        <v>0</v>
      </c>
      <c r="O55" s="38" t="n">
        <f aca="false">IF(OR($C55="",$D55="",$F55=0),0,IF(OR(O$5&lt;=Projects!$C$2,((YEAR(O$5)-YEAR($C55))*12+MONTH(O$5)-MONTH($C55)+1)&lt;1,((YEAR(O$5)-YEAR($C55))*12+MONTH(O$5)-MONTH($C55)+1)&gt;$D55),0,$E55*IF($G55,1,N(INDEX(Phasing!$I55:$AF55,((YEAR(O$5)-YEAR($C55))*12+MONTH(O$5)-MONTH($C55)+1))))/$F55))</f>
        <v>0</v>
      </c>
      <c r="P55" s="38" t="n">
        <f aca="false">IF(OR($C55="",$D55="",$F55=0),0,IF(OR(P$5&lt;=Projects!$C$2,((YEAR(P$5)-YEAR($C55))*12+MONTH(P$5)-MONTH($C55)+1)&lt;1,((YEAR(P$5)-YEAR($C55))*12+MONTH(P$5)-MONTH($C55)+1)&gt;$D55),0,$E55*IF($G55,1,N(INDEX(Phasing!$I55:$AF55,((YEAR(P$5)-YEAR($C55))*12+MONTH(P$5)-MONTH($C55)+1))))/$F55))</f>
        <v>0</v>
      </c>
      <c r="Q55" s="38" t="n">
        <f aca="false">IF(OR($C55="",$D55="",$F55=0),0,IF(OR(Q$5&lt;=Projects!$C$2,((YEAR(Q$5)-YEAR($C55))*12+MONTH(Q$5)-MONTH($C55)+1)&lt;1,((YEAR(Q$5)-YEAR($C55))*12+MONTH(Q$5)-MONTH($C55)+1)&gt;$D55),0,$E55*IF($G55,1,N(INDEX(Phasing!$I55:$AF55,((YEAR(Q$5)-YEAR($C55))*12+MONTH(Q$5)-MONTH($C55)+1))))/$F55))</f>
        <v>0</v>
      </c>
      <c r="R55" s="38" t="n">
        <f aca="false">IF(OR($C55="",$D55="",$F55=0),0,IF(OR(R$5&lt;=Projects!$C$2,((YEAR(R$5)-YEAR($C55))*12+MONTH(R$5)-MONTH($C55)+1)&lt;1,((YEAR(R$5)-YEAR($C55))*12+MONTH(R$5)-MONTH($C55)+1)&gt;$D55),0,$E55*IF($G55,1,N(INDEX(Phasing!$I55:$AF55,((YEAR(R$5)-YEAR($C55))*12+MONTH(R$5)-MONTH($C55)+1))))/$F55))</f>
        <v>0</v>
      </c>
      <c r="S55" s="38" t="n">
        <f aca="false">IF(OR($C55="",$D55="",$F55=0),0,IF(OR(S$5&lt;=Projects!$C$2,((YEAR(S$5)-YEAR($C55))*12+MONTH(S$5)-MONTH($C55)+1)&lt;1,((YEAR(S$5)-YEAR($C55))*12+MONTH(S$5)-MONTH($C55)+1)&gt;$D55),0,$E55*IF($G55,1,N(INDEX(Phasing!$I55:$AF55,((YEAR(S$5)-YEAR($C55))*12+MONTH(S$5)-MONTH($C55)+1))))/$F55))</f>
        <v>0</v>
      </c>
      <c r="T55" s="38" t="n">
        <f aca="false">IF(OR($C55="",$D55="",$F55=0),0,IF(OR(T$5&lt;=Projects!$C$2,((YEAR(T$5)-YEAR($C55))*12+MONTH(T$5)-MONTH($C55)+1)&lt;1,((YEAR(T$5)-YEAR($C55))*12+MONTH(T$5)-MONTH($C55)+1)&gt;$D55),0,$E55*IF($G55,1,N(INDEX(Phasing!$I55:$AF55,((YEAR(T$5)-YEAR($C55))*12+MONTH(T$5)-MONTH($C55)+1))))/$F55))</f>
        <v>0</v>
      </c>
      <c r="U55" s="38" t="n">
        <f aca="false">IF(OR($C55="",$D55="",$F55=0),0,IF(OR(U$5&lt;=Projects!$C$2,((YEAR(U$5)-YEAR($C55))*12+MONTH(U$5)-MONTH($C55)+1)&lt;1,((YEAR(U$5)-YEAR($C55))*12+MONTH(U$5)-MONTH($C55)+1)&gt;$D55),0,$E55*IF($G55,1,N(INDEX(Phasing!$I55:$AF55,((YEAR(U$5)-YEAR($C55))*12+MONTH(U$5)-MONTH($C55)+1))))/$F55))</f>
        <v>0</v>
      </c>
      <c r="V55" s="38" t="n">
        <f aca="false">IF(OR($C55="",$D55="",$F55=0),0,IF(OR(V$5&lt;=Projects!$C$2,((YEAR(V$5)-YEAR($C55))*12+MONTH(V$5)-MONTH($C55)+1)&lt;1,((YEAR(V$5)-YEAR($C55))*12+MONTH(V$5)-MONTH($C55)+1)&gt;$D55),0,$E55*IF($G55,1,N(INDEX(Phasing!$I55:$AF55,((YEAR(V$5)-YEAR($C55))*12+MONTH(V$5)-MONTH($C55)+1))))/$F55))</f>
        <v>0</v>
      </c>
      <c r="W55" s="38" t="n">
        <f aca="false">IF(OR($C55="",$D55="",$F55=0),0,IF(OR(W$5&lt;=Projects!$C$2,((YEAR(W$5)-YEAR($C55))*12+MONTH(W$5)-MONTH($C55)+1)&lt;1,((YEAR(W$5)-YEAR($C55))*12+MONTH(W$5)-MONTH($C55)+1)&gt;$D55),0,$E55*IF($G55,1,N(INDEX(Phasing!$I55:$AF55,((YEAR(W$5)-YEAR($C55))*12+MONTH(W$5)-MONTH($C55)+1))))/$F55))</f>
        <v>0</v>
      </c>
      <c r="X55" s="38" t="n">
        <f aca="false">IF(OR($C55="",$D55="",$F55=0),0,IF(OR(X$5&lt;=Projects!$C$2,((YEAR(X$5)-YEAR($C55))*12+MONTH(X$5)-MONTH($C55)+1)&lt;1,((YEAR(X$5)-YEAR($C55))*12+MONTH(X$5)-MONTH($C55)+1)&gt;$D55),0,$E55*IF($G55,1,N(INDEX(Phasing!$I55:$AF55,((YEAR(X$5)-YEAR($C55))*12+MONTH(X$5)-MONTH($C55)+1))))/$F55))</f>
        <v>0</v>
      </c>
      <c r="Y55" s="38" t="n">
        <f aca="false">IF(OR($C55="",$D55="",$F55=0),0,IF(OR(Y$5&lt;=Projects!$C$2,((YEAR(Y$5)-YEAR($C55))*12+MONTH(Y$5)-MONTH($C55)+1)&lt;1,((YEAR(Y$5)-YEAR($C55))*12+MONTH(Y$5)-MONTH($C55)+1)&gt;$D55),0,$E55*IF($G55,1,N(INDEX(Phasing!$I55:$AF55,((YEAR(Y$5)-YEAR($C55))*12+MONTH(Y$5)-MONTH($C55)+1))))/$F55))</f>
        <v>0</v>
      </c>
      <c r="Z55" s="38" t="n">
        <f aca="false">IF(OR($C55="",$D55="",$F55=0),0,IF(OR(Z$5&lt;=Projects!$C$2,((YEAR(Z$5)-YEAR($C55))*12+MONTH(Z$5)-MONTH($C55)+1)&lt;1,((YEAR(Z$5)-YEAR($C55))*12+MONTH(Z$5)-MONTH($C55)+1)&gt;$D55),0,$E55*IF($G55,1,N(INDEX(Phasing!$I55:$AF55,((YEAR(Z$5)-YEAR($C55))*12+MONTH(Z$5)-MONTH($C55)+1))))/$F55))</f>
        <v>0</v>
      </c>
      <c r="AA55" s="38" t="n">
        <f aca="false">IF(OR($C55="",$D55="",$F55=0),0,IF(OR(AA$5&lt;=Projects!$C$2,((YEAR(AA$5)-YEAR($C55))*12+MONTH(AA$5)-MONTH($C55)+1)&lt;1,((YEAR(AA$5)-YEAR($C55))*12+MONTH(AA$5)-MONTH($C55)+1)&gt;$D55),0,$E55*IF($G55,1,N(INDEX(Phasing!$I55:$AF55,((YEAR(AA$5)-YEAR($C55))*12+MONTH(AA$5)-MONTH($C55)+1))))/$F55))</f>
        <v>0</v>
      </c>
      <c r="AB55" s="38" t="n">
        <f aca="false">IF(OR($C55="",$D55="",$F55=0),0,IF(OR(AB$5&lt;=Projects!$C$2,((YEAR(AB$5)-YEAR($C55))*12+MONTH(AB$5)-MONTH($C55)+1)&lt;1,((YEAR(AB$5)-YEAR($C55))*12+MONTH(AB$5)-MONTH($C55)+1)&gt;$D55),0,$E55*IF($G55,1,N(INDEX(Phasing!$I55:$AF55,((YEAR(AB$5)-YEAR($C55))*12+MONTH(AB$5)-MONTH($C55)+1))))/$F55))</f>
        <v>0</v>
      </c>
      <c r="AC55" s="38" t="n">
        <f aca="false">IF(OR($C55="",$D55="",$F55=0),0,IF(OR(AC$5&lt;=Projects!$C$2,((YEAR(AC$5)-YEAR($C55))*12+MONTH(AC$5)-MONTH($C55)+1)&lt;1,((YEAR(AC$5)-YEAR($C55))*12+MONTH(AC$5)-MONTH($C55)+1)&gt;$D55),0,$E55*IF($G55,1,N(INDEX(Phasing!$I55:$AF55,((YEAR(AC$5)-YEAR($C55))*12+MONTH(AC$5)-MONTH($C55)+1))))/$F55))</f>
        <v>0</v>
      </c>
      <c r="AD55" s="38" t="n">
        <f aca="false">IF(OR($C55="",$D55="",$F55=0),0,IF(OR(AD$5&lt;=Projects!$C$2,((YEAR(AD$5)-YEAR($C55))*12+MONTH(AD$5)-MONTH($C55)+1)&lt;1,((YEAR(AD$5)-YEAR($C55))*12+MONTH(AD$5)-MONTH($C55)+1)&gt;$D55),0,$E55*IF($G55,1,N(INDEX(Phasing!$I55:$AF55,((YEAR(AD$5)-YEAR($C55))*12+MONTH(AD$5)-MONTH($C55)+1))))/$F55))</f>
        <v>0</v>
      </c>
      <c r="AE55" s="38" t="n">
        <f aca="false">IF(OR($C55="",$D55="",$F55=0),0,IF(OR(AE$5&lt;=Projects!$C$2,((YEAR(AE$5)-YEAR($C55))*12+MONTH(AE$5)-MONTH($C55)+1)&lt;1,((YEAR(AE$5)-YEAR($C55))*12+MONTH(AE$5)-MONTH($C55)+1)&gt;$D55),0,$E55*IF($G55,1,N(INDEX(Phasing!$I55:$AF55,((YEAR(AE$5)-YEAR($C55))*12+MONTH(AE$5)-MONTH($C55)+1))))/$F55))</f>
        <v>0</v>
      </c>
      <c r="AF55" s="38" t="n">
        <f aca="false">IF(OR($C55="",$D55="",$F55=0),0,IF(OR(AF$5&lt;=Projects!$C$2,((YEAR(AF$5)-YEAR($C55))*12+MONTH(AF$5)-MONTH($C55)+1)&lt;1,((YEAR(AF$5)-YEAR($C55))*12+MONTH(AF$5)-MONTH($C55)+1)&gt;$D55),0,$E55*IF($G55,1,N(INDEX(Phasing!$I55:$AF55,((YEAR(AF$5)-YEAR($C55))*12+MONTH(AF$5)-MONTH($C55)+1))))/$F55))</f>
        <v>0</v>
      </c>
      <c r="AG55" s="38" t="n">
        <f aca="false">IF(OR($C55="",$D55="",$F55=0),0,IF(OR(AG$5&lt;=Projects!$C$2,((YEAR(AG$5)-YEAR($C55))*12+MONTH(AG$5)-MONTH($C55)+1)&lt;1,((YEAR(AG$5)-YEAR($C55))*12+MONTH(AG$5)-MONTH($C55)+1)&gt;$D55),0,$E55*IF($G55,1,N(INDEX(Phasing!$I55:$AF55,((YEAR(AG$5)-YEAR($C55))*12+MONTH(AG$5)-MONTH($C55)+1))))/$F55))</f>
        <v>0</v>
      </c>
      <c r="AH55" s="38" t="n">
        <f aca="false">IF(OR($C55="",$D55="",$F55=0),0,IF(OR(AH$5&lt;=Projects!$C$2,((YEAR(AH$5)-YEAR($C55))*12+MONTH(AH$5)-MONTH($C55)+1)&lt;1,((YEAR(AH$5)-YEAR($C55))*12+MONTH(AH$5)-MONTH($C55)+1)&gt;$D55),0,$E55*IF($G55,1,N(INDEX(Phasing!$I55:$AF55,((YEAR(AH$5)-YEAR($C55))*12+MONTH(AH$5)-MONTH($C55)+1))))/$F55))</f>
        <v>0</v>
      </c>
      <c r="AI55" s="38" t="n">
        <f aca="false">IF(OR($C55="",$D55="",$F55=0),0,IF(OR(AI$5&lt;=Projects!$C$2,((YEAR(AI$5)-YEAR($C55))*12+MONTH(AI$5)-MONTH($C55)+1)&lt;1,((YEAR(AI$5)-YEAR($C55))*12+MONTH(AI$5)-MONTH($C55)+1)&gt;$D55),0,$E55*IF($G55,1,N(INDEX(Phasing!$I55:$AF55,((YEAR(AI$5)-YEAR($C55))*12+MONTH(AI$5)-MONTH($C55)+1))))/$F55))</f>
        <v>0</v>
      </c>
      <c r="AJ55" s="38" t="n">
        <f aca="false">IF(OR($C55="",$D55="",$F55=0),0,IF(OR(AJ$5&lt;=Projects!$C$2,((YEAR(AJ$5)-YEAR($C55))*12+MONTH(AJ$5)-MONTH($C55)+1)&lt;1,((YEAR(AJ$5)-YEAR($C55))*12+MONTH(AJ$5)-MONTH($C55)+1)&gt;$D55),0,$E55*IF($G55,1,N(INDEX(Phasing!$I55:$AF55,((YEAR(AJ$5)-YEAR($C55))*12+MONTH(AJ$5)-MONTH($C55)+1))))/$F55))</f>
        <v>0</v>
      </c>
      <c r="AK55" s="38" t="n">
        <f aca="false">IF(OR($C55="",$D55="",$F55=0),0,IF(OR(AK$5&lt;=Projects!$C$2,((YEAR(AK$5)-YEAR($C55))*12+MONTH(AK$5)-MONTH($C55)+1)&lt;1,((YEAR(AK$5)-YEAR($C55))*12+MONTH(AK$5)-MONTH($C55)+1)&gt;$D55),0,$E55*IF($G55,1,N(INDEX(Phasing!$I55:$AF55,((YEAR(AK$5)-YEAR($C55))*12+MONTH(AK$5)-MONTH($C55)+1))))/$F55))</f>
        <v>0</v>
      </c>
      <c r="AL55" s="38" t="n">
        <f aca="false">IF(OR($C55="",$D55="",$F55=0),0,IF(OR(AL$5&lt;=Projects!$C$2,((YEAR(AL$5)-YEAR($C55))*12+MONTH(AL$5)-MONTH($C55)+1)&lt;1,((YEAR(AL$5)-YEAR($C55))*12+MONTH(AL$5)-MONTH($C55)+1)&gt;$D55),0,$E55*IF($G55,1,N(INDEX(Phasing!$I55:$AF55,((YEAR(AL$5)-YEAR($C55))*12+MONTH(AL$5)-MONTH($C55)+1))))/$F55))</f>
        <v>0</v>
      </c>
      <c r="AM55" s="38" t="n">
        <f aca="false">IF(OR($C55="",$D55="",$F55=0),0,IF(OR(AM$5&lt;=Projects!$C$2,((YEAR(AM$5)-YEAR($C55))*12+MONTH(AM$5)-MONTH($C55)+1)&lt;1,((YEAR(AM$5)-YEAR($C55))*12+MONTH(AM$5)-MONTH($C55)+1)&gt;$D55),0,$E55*IF($G55,1,N(INDEX(Phasing!$I55:$AF55,((YEAR(AM$5)-YEAR($C55))*12+MONTH(AM$5)-MONTH($C55)+1))))/$F55))</f>
        <v>0</v>
      </c>
      <c r="AN55" s="38" t="n">
        <f aca="false">IF(OR($C55="",$D55="",$F55=0),0,IF(OR(AN$5&lt;=Projects!$C$2,((YEAR(AN$5)-YEAR($C55))*12+MONTH(AN$5)-MONTH($C55)+1)&lt;1,((YEAR(AN$5)-YEAR($C55))*12+MONTH(AN$5)-MONTH($C55)+1)&gt;$D55),0,$E55*IF($G55,1,N(INDEX(Phasing!$I55:$AF55,((YEAR(AN$5)-YEAR($C55))*12+MONTH(AN$5)-MONTH($C55)+1))))/$F55))</f>
        <v>0</v>
      </c>
      <c r="AO55" s="38" t="n">
        <f aca="false">IF(OR($C55="",$D55="",$F55=0),0,IF(OR(AO$5&lt;=Projects!$C$2,((YEAR(AO$5)-YEAR($C55))*12+MONTH(AO$5)-MONTH($C55)+1)&lt;1,((YEAR(AO$5)-YEAR($C55))*12+MONTH(AO$5)-MONTH($C55)+1)&gt;$D55),0,$E55*IF($G55,1,N(INDEX(Phasing!$I55:$AF55,((YEAR(AO$5)-YEAR($C55))*12+MONTH(AO$5)-MONTH($C55)+1))))/$F55))</f>
        <v>0</v>
      </c>
      <c r="AP55" s="38" t="n">
        <f aca="false">IF(OR($C55="",$D55="",$F55=0),0,IF(OR(AP$5&lt;=Projects!$C$2,((YEAR(AP$5)-YEAR($C55))*12+MONTH(AP$5)-MONTH($C55)+1)&lt;1,((YEAR(AP$5)-YEAR($C55))*12+MONTH(AP$5)-MONTH($C55)+1)&gt;$D55),0,$E55*IF($G55,1,N(INDEX(Phasing!$I55:$AF55,((YEAR(AP$5)-YEAR($C55))*12+MONTH(AP$5)-MONTH($C55)+1))))/$F55))</f>
        <v>0</v>
      </c>
      <c r="AQ55" s="38" t="n">
        <f aca="false">IF(OR($C55="",$D55="",$F55=0),0,IF(OR(AQ$5&lt;=Projects!$C$2,((YEAR(AQ$5)-YEAR($C55))*12+MONTH(AQ$5)-MONTH($C55)+1)&lt;1,((YEAR(AQ$5)-YEAR($C55))*12+MONTH(AQ$5)-MONTH($C55)+1)&gt;$D55),0,$E55*IF($G55,1,N(INDEX(Phasing!$I55:$AF55,((YEAR(AQ$5)-YEAR($C55))*12+MONTH(AQ$5)-MONTH($C55)+1))))/$F55))</f>
        <v>0</v>
      </c>
    </row>
    <row r="57" customFormat="false" ht="15" hidden="false" customHeight="false" outlineLevel="0" collapsed="false">
      <c r="B57" s="4" t="s">
        <v>75</v>
      </c>
      <c r="E57" s="28" t="n">
        <f aca="false">SUM(E6:E55)</f>
        <v>9000</v>
      </c>
      <c r="H57" s="28" t="n">
        <f aca="false">SUM(H6:H55)</f>
        <v>0</v>
      </c>
      <c r="I57" s="28" t="n">
        <f aca="false">SUM(I6:I55)</f>
        <v>0</v>
      </c>
      <c r="J57" s="28" t="n">
        <f aca="false">SUM(J6:J55)</f>
        <v>0</v>
      </c>
      <c r="K57" s="28" t="n">
        <f aca="false">SUM(K6:K55)</f>
        <v>0</v>
      </c>
      <c r="L57" s="28" t="n">
        <f aca="false">SUM(L6:L55)</f>
        <v>0</v>
      </c>
      <c r="M57" s="28" t="n">
        <f aca="false">SUM(M6:M55)</f>
        <v>0</v>
      </c>
      <c r="N57" s="28" t="n">
        <f aca="false">SUM(N6:N55)</f>
        <v>0</v>
      </c>
      <c r="O57" s="28" t="n">
        <f aca="false">SUM(O6:O55)</f>
        <v>0</v>
      </c>
      <c r="P57" s="28" t="n">
        <f aca="false">SUM(P6:P55)</f>
        <v>0</v>
      </c>
      <c r="Q57" s="28" t="n">
        <f aca="false">SUM(Q6:Q55)</f>
        <v>0</v>
      </c>
      <c r="R57" s="28" t="n">
        <f aca="false">SUM(R6:R55)</f>
        <v>2250</v>
      </c>
      <c r="S57" s="28" t="n">
        <f aca="false">SUM(S6:S55)</f>
        <v>2250</v>
      </c>
      <c r="T57" s="28" t="n">
        <f aca="false">SUM(T6:T55)</f>
        <v>2250</v>
      </c>
      <c r="U57" s="28" t="n">
        <f aca="false">SUM(U6:U55)</f>
        <v>2250</v>
      </c>
      <c r="V57" s="28" t="n">
        <f aca="false">SUM(V6:V55)</f>
        <v>0</v>
      </c>
      <c r="W57" s="28" t="n">
        <f aca="false">SUM(W6:W55)</f>
        <v>0</v>
      </c>
      <c r="X57" s="28" t="n">
        <f aca="false">SUM(X6:X55)</f>
        <v>0</v>
      </c>
      <c r="Y57" s="28" t="n">
        <f aca="false">SUM(Y6:Y55)</f>
        <v>0</v>
      </c>
      <c r="Z57" s="28" t="n">
        <f aca="false">SUM(Z6:Z55)</f>
        <v>0</v>
      </c>
      <c r="AA57" s="28" t="n">
        <f aca="false">SUM(AA6:AA55)</f>
        <v>0</v>
      </c>
      <c r="AB57" s="28" t="n">
        <f aca="false">SUM(AB6:AB55)</f>
        <v>0</v>
      </c>
      <c r="AC57" s="28" t="n">
        <f aca="false">SUM(AC6:AC55)</f>
        <v>0</v>
      </c>
      <c r="AD57" s="28" t="n">
        <f aca="false">SUM(AD6:AD55)</f>
        <v>0</v>
      </c>
      <c r="AE57" s="28" t="n">
        <f aca="false">SUM(AE6:AE55)</f>
        <v>0</v>
      </c>
      <c r="AF57" s="28" t="n">
        <f aca="false">SUM(AF6:AF55)</f>
        <v>0</v>
      </c>
      <c r="AG57" s="28" t="n">
        <f aca="false">SUM(AG6:AG55)</f>
        <v>0</v>
      </c>
      <c r="AH57" s="28" t="n">
        <f aca="false">SUM(AH6:AH55)</f>
        <v>0</v>
      </c>
      <c r="AI57" s="28" t="n">
        <f aca="false">SUM(AI6:AI55)</f>
        <v>0</v>
      </c>
      <c r="AJ57" s="28" t="n">
        <f aca="false">SUM(AJ6:AJ55)</f>
        <v>0</v>
      </c>
      <c r="AK57" s="28" t="n">
        <f aca="false">SUM(AK6:AK55)</f>
        <v>0</v>
      </c>
      <c r="AL57" s="28" t="n">
        <f aca="false">SUM(AL6:AL55)</f>
        <v>0</v>
      </c>
      <c r="AM57" s="28" t="n">
        <f aca="false">SUM(AM6:AM55)</f>
        <v>0</v>
      </c>
      <c r="AN57" s="28" t="n">
        <f aca="false">SUM(AN6:AN55)</f>
        <v>0</v>
      </c>
      <c r="AO57" s="28" t="n">
        <f aca="false">SUM(AO6:AO55)</f>
        <v>0</v>
      </c>
      <c r="AP57" s="28" t="n">
        <f aca="false">SUM(AP6:AP55)</f>
        <v>0</v>
      </c>
      <c r="AQ57" s="28" t="n">
        <f aca="false">SUM(AQ6:AQ55)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2026-10-06T13:09:18Z</dcterms:created>
  <dc:creator>openpyxl</dc:creator>
  <dc:description/>
  <dc:language>en-US</dc:language>
  <cp:lastModifiedBy/>
  <dcterms:modified xsi:type="dcterms:W3CDTF">2026-10-06T13:09:20Z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